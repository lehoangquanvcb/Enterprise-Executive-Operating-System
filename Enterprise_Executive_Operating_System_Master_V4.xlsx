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e28e7e2f2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u_hinh" sheetId="1" r:id="Rfdb6bfbc943c43f3"/>
    <x:sheet xmlns:r="http://schemas.openxmlformats.org/officeDocument/2006/relationships" name="Don_vi" sheetId="2" r:id="R1473fa6526824fde"/>
    <x:sheet xmlns:r="http://schemas.openxmlformats.org/officeDocument/2006/relationships" name="Thuong_hieu" sheetId="3" r:id="R61701ef1b55e47f0"/>
    <x:sheet xmlns:r="http://schemas.openxmlformats.org/officeDocument/2006/relationships" name="Mau_xe" sheetId="4" r:id="R586bd8c2371246dc"/>
    <x:sheet xmlns:r="http://schemas.openxmlformats.org/officeDocument/2006/relationships" name="Ban_hang" sheetId="5" r:id="R198f7feea9654d2d"/>
    <x:sheet xmlns:r="http://schemas.openxmlformats.org/officeDocument/2006/relationships" name="Ton_kho" sheetId="6" r:id="Re68e1c12ab694a15"/>
    <x:sheet xmlns:r="http://schemas.openxmlformats.org/officeDocument/2006/relationships" name="Dich_vu" sheetId="7" r:id="R5124a6b6352d4baf"/>
    <x:sheet xmlns:r="http://schemas.openxmlformats.org/officeDocument/2006/relationships" name="Phu_tung" sheetId="8" r:id="R5a61fbea777b4944"/>
    <x:sheet xmlns:r="http://schemas.openxmlformats.org/officeDocument/2006/relationships" name="Dealer_KPI" sheetId="9" r:id="Rb3a2ca6d3aa14240"/>
    <x:sheet xmlns:r="http://schemas.openxmlformats.org/officeDocument/2006/relationships" name="Tai_chinh" sheetId="10" r:id="R6688cb9709cf4f7d"/>
    <x:sheet xmlns:r="http://schemas.openxmlformats.org/officeDocument/2006/relationships" name="Forecast" sheetId="11" r:id="R598e34a1ae61411c"/>
    <x:sheet xmlns:r="http://schemas.openxmlformats.org/officeDocument/2006/relationships" name="Scenario" sheetId="12" r:id="R0c3258f3ddff4085"/>
    <x:sheet xmlns:r="http://schemas.openxmlformats.org/officeDocument/2006/relationships" name="KPI" sheetId="13" r:id="R40a827330550461a"/>
    <x:sheet xmlns:r="http://schemas.openxmlformats.org/officeDocument/2006/relationships" name="Du_an" sheetId="14" r:id="Reac88fc913e6442b"/>
    <x:sheet xmlns:r="http://schemas.openxmlformats.org/officeDocument/2006/relationships" name="Rui_ro" sheetId="15" r:id="R490f795d7e9f4fe9"/>
    <x:sheet xmlns:r="http://schemas.openxmlformats.org/officeDocument/2006/relationships" name="RCM" sheetId="16" r:id="Ra470537434ef4bf3"/>
    <x:sheet xmlns:r="http://schemas.openxmlformats.org/officeDocument/2006/relationships" name="Quyet_dinh" sheetId="17" r:id="R8be912ae40c544bd"/>
    <x:sheet xmlns:r="http://schemas.openxmlformats.org/officeDocument/2006/relationships" name="Hanh_dong" sheetId="18" r:id="R2bc25d93cdb9436a"/>
    <x:sheet xmlns:r="http://schemas.openxmlformats.org/officeDocument/2006/relationships" name="Lich_hop" sheetId="19" r:id="R2947a7b54cbb4014"/>
    <x:sheet xmlns:r="http://schemas.openxmlformats.org/officeDocument/2006/relationships" name="Nghi_quyet" sheetId="20" r:id="R72440a69963943d2"/>
    <x:sheet xmlns:r="http://schemas.openxmlformats.org/officeDocument/2006/relationships" name="Dau_tu" sheetId="21" r:id="R697a299bbc20415f"/>
    <x:sheet xmlns:r="http://schemas.openxmlformats.org/officeDocument/2006/relationships" name="Chat_luong_DL" sheetId="22" r:id="R2cfd7ab50a7c4cdb"/>
    <x:sheet xmlns:r="http://schemas.openxmlformats.org/officeDocument/2006/relationships" name="Assumptions" sheetId="23" r:id="R0f5c2cfc6d694802"/>
    <x:sheet xmlns:r="http://schemas.openxmlformats.org/officeDocument/2006/relationships" name="Strategy_Map" sheetId="24" r:id="R7c836c5d1d384f4d"/>
    <x:sheet xmlns:r="http://schemas.openxmlformats.org/officeDocument/2006/relationships" name="KPI_Tree" sheetId="25" r:id="R1687e9ef62ff4800"/>
    <x:sheet xmlns:r="http://schemas.openxmlformats.org/officeDocument/2006/relationships" name="Customer_Funnel" sheetId="26" r:id="R629ec61061b742a7"/>
    <x:sheet xmlns:r="http://schemas.openxmlformats.org/officeDocument/2006/relationships" name="Lead_Pipeline" sheetId="27" r:id="R2ee809a1ee104e0a"/>
    <x:sheet xmlns:r="http://schemas.openxmlformats.org/officeDocument/2006/relationships" name="Order_Delivery" sheetId="28" r:id="Rd14db6e4299a4465"/>
    <x:sheet xmlns:r="http://schemas.openxmlformats.org/officeDocument/2006/relationships" name="Pricing_Discount" sheetId="29" r:id="R2cd684da69ab4dad"/>
    <x:sheet xmlns:r="http://schemas.openxmlformats.org/officeDocument/2006/relationships" name="Dealer_PnL" sheetId="30" r:id="Rcaa7321985724a0f"/>
    <x:sheet xmlns:r="http://schemas.openxmlformats.org/officeDocument/2006/relationships" name="Working_Capital" sheetId="31" r:id="R70ff161413a74da2"/>
    <x:sheet xmlns:r="http://schemas.openxmlformats.org/officeDocument/2006/relationships" name="Cash_Flow_13W" sheetId="32" r:id="Raf265e6656704962"/>
    <x:sheet xmlns:r="http://schemas.openxmlformats.org/officeDocument/2006/relationships" name="Workforce" sheetId="33" r:id="R3d714fe96b2445c2"/>
    <x:sheet xmlns:r="http://schemas.openxmlformats.org/officeDocument/2006/relationships" name="Vendor_Performance" sheetId="34" r:id="Rd1b43fdcb66f46fc"/>
    <x:sheet xmlns:r="http://schemas.openxmlformats.org/officeDocument/2006/relationships" name="Audit_Findings" sheetId="35" r:id="Rce153b30de2b4f06"/>
    <x:sheet xmlns:r="http://schemas.openxmlformats.org/officeDocument/2006/relationships" name="Policy_Register" sheetId="36" r:id="R5d5965f9f52e4976"/>
    <x:sheet xmlns:r="http://schemas.openxmlformats.org/officeDocument/2006/relationships" name="ESG" sheetId="37" r:id="R61ff7c711cca43fa"/>
    <x:sheet xmlns:r="http://schemas.openxmlformats.org/officeDocument/2006/relationships" name="Early_Warning" sheetId="38" r:id="Rf5dbbdbe79ba4319"/>
    <x:sheet xmlns:r="http://schemas.openxmlformats.org/officeDocument/2006/relationships" name="Executive_Brief" sheetId="39" r:id="Ra03036fce70b4063"/>
    <x:sheet xmlns:r="http://schemas.openxmlformats.org/officeDocument/2006/relationships" name="Data_Lineage" sheetId="40" r:id="R0b6a795c810c4bae"/>
    <x:sheet xmlns:r="http://schemas.openxmlformats.org/officeDocument/2006/relationships" name="Action_Impact" sheetId="41" r:id="R4a64e65820fd4ab8"/>
    <x:sheet xmlns:r="http://schemas.openxmlformats.org/officeDocument/2006/relationships" name="Scenario_Drivers" sheetId="42" r:id="Raabcf3186a17498f"/>
    <x:sheet xmlns:r="http://schemas.openxmlformats.org/officeDocument/2006/relationships" name="Board_Pack_Map" sheetId="43" r:id="Rd51fa04435b64a49"/>
    <x:sheet xmlns:r="http://schemas.openxmlformats.org/officeDocument/2006/relationships" name="Validation_Rules" sheetId="44" r:id="Rc5b7e48ccc4342de"/>
    <x:sheet xmlns:r="http://schemas.openxmlformats.org/officeDocument/2006/relationships" name="Model_Documentation" sheetId="45" r:id="R730684db807b4e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-yyyy"/>
    <x:numFmt numFmtId="201" formatCode="0.0%"/>
    <x:numFmt numFmtId="202" formatCode="dd/mm/yyyy"/>
    <x:numFmt numFmtId="203" formatCode="0.0"/>
    <x:numFmt numFmtId="204" formatCode="dd/mm/yyyy hh:mm"/>
    <x:numFmt numFmtId="205" formatCode="0.0%;[Red](0.0%);-"/>
    <x:numFmt numFmtId="206" formatCode="#,##0.0;[Red](#,##0.0);-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8FAF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1182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5" fontId="2" fillId="4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205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d60b7e90e94e3a" /><Relationship Type="http://schemas.openxmlformats.org/officeDocument/2006/relationships/theme" Target="/xl/theme/theme1.xml" Id="R4251e01997fa451e" /><Relationship Type="http://schemas.openxmlformats.org/officeDocument/2006/relationships/sharedStrings" Target="/xl/sharedStrings.xml" Id="R1b55bd4401e14b73" /><Relationship Type="http://schemas.openxmlformats.org/officeDocument/2006/relationships/worksheet" Target="/xl/worksheets/sheet1.xml" Id="Rfdb6bfbc943c43f3" /><Relationship Type="http://schemas.openxmlformats.org/officeDocument/2006/relationships/worksheet" Target="/xl/worksheets/sheet2.xml" Id="R1473fa6526824fde" /><Relationship Type="http://schemas.openxmlformats.org/officeDocument/2006/relationships/worksheet" Target="/xl/worksheets/sheet3.xml" Id="R61701ef1b55e47f0" /><Relationship Type="http://schemas.openxmlformats.org/officeDocument/2006/relationships/worksheet" Target="/xl/worksheets/sheet4.xml" Id="R586bd8c2371246dc" /><Relationship Type="http://schemas.openxmlformats.org/officeDocument/2006/relationships/worksheet" Target="/xl/worksheets/sheet5.xml" Id="R198f7feea9654d2d" /><Relationship Type="http://schemas.openxmlformats.org/officeDocument/2006/relationships/worksheet" Target="/xl/worksheets/sheet6.xml" Id="Re68e1c12ab694a15" /><Relationship Type="http://schemas.openxmlformats.org/officeDocument/2006/relationships/worksheet" Target="/xl/worksheets/sheet7.xml" Id="R5124a6b6352d4baf" /><Relationship Type="http://schemas.openxmlformats.org/officeDocument/2006/relationships/worksheet" Target="/xl/worksheets/sheet8.xml" Id="R5a61fbea777b4944" /><Relationship Type="http://schemas.openxmlformats.org/officeDocument/2006/relationships/worksheet" Target="/xl/worksheets/sheet9.xml" Id="Rb3a2ca6d3aa14240" /><Relationship Type="http://schemas.openxmlformats.org/officeDocument/2006/relationships/worksheet" Target="/xl/worksheets/sheet10.xml" Id="R6688cb9709cf4f7d" /><Relationship Type="http://schemas.openxmlformats.org/officeDocument/2006/relationships/worksheet" Target="/xl/worksheets/sheet11.xml" Id="R598e34a1ae61411c" /><Relationship Type="http://schemas.openxmlformats.org/officeDocument/2006/relationships/worksheet" Target="/xl/worksheets/sheet12.xml" Id="R0c3258f3ddff4085" /><Relationship Type="http://schemas.openxmlformats.org/officeDocument/2006/relationships/worksheet" Target="/xl/worksheets/sheet13.xml" Id="R40a827330550461a" /><Relationship Type="http://schemas.openxmlformats.org/officeDocument/2006/relationships/worksheet" Target="/xl/worksheets/sheet14.xml" Id="Reac88fc913e6442b" /><Relationship Type="http://schemas.openxmlformats.org/officeDocument/2006/relationships/worksheet" Target="/xl/worksheets/sheet15.xml" Id="R490f795d7e9f4fe9" /><Relationship Type="http://schemas.openxmlformats.org/officeDocument/2006/relationships/worksheet" Target="/xl/worksheets/sheet16.xml" Id="Ra470537434ef4bf3" /><Relationship Type="http://schemas.openxmlformats.org/officeDocument/2006/relationships/worksheet" Target="/xl/worksheets/sheet17.xml" Id="R8be912ae40c544bd" /><Relationship Type="http://schemas.openxmlformats.org/officeDocument/2006/relationships/worksheet" Target="/xl/worksheets/sheet18.xml" Id="R2bc25d93cdb9436a" /><Relationship Type="http://schemas.openxmlformats.org/officeDocument/2006/relationships/worksheet" Target="/xl/worksheets/sheet19.xml" Id="R2947a7b54cbb4014" /><Relationship Type="http://schemas.openxmlformats.org/officeDocument/2006/relationships/worksheet" Target="/xl/worksheets/sheet20.xml" Id="R72440a69963943d2" /><Relationship Type="http://schemas.openxmlformats.org/officeDocument/2006/relationships/worksheet" Target="/xl/worksheets/sheet21.xml" Id="R697a299bbc20415f" /><Relationship Type="http://schemas.openxmlformats.org/officeDocument/2006/relationships/worksheet" Target="/xl/worksheets/sheet22.xml" Id="R2cfd7ab50a7c4cdb" /><Relationship Type="http://schemas.openxmlformats.org/officeDocument/2006/relationships/worksheet" Target="/xl/worksheets/sheet23.xml" Id="R0f5c2cfc6d694802" /><Relationship Type="http://schemas.openxmlformats.org/officeDocument/2006/relationships/worksheet" Target="/xl/worksheets/sheet24.xml" Id="R7c836c5d1d384f4d" /><Relationship Type="http://schemas.openxmlformats.org/officeDocument/2006/relationships/worksheet" Target="/xl/worksheets/sheet25.xml" Id="R1687e9ef62ff4800" /><Relationship Type="http://schemas.openxmlformats.org/officeDocument/2006/relationships/worksheet" Target="/xl/worksheets/sheet26.xml" Id="R629ec61061b742a7" /><Relationship Type="http://schemas.openxmlformats.org/officeDocument/2006/relationships/worksheet" Target="/xl/worksheets/sheet27.xml" Id="R2ee809a1ee104e0a" /><Relationship Type="http://schemas.openxmlformats.org/officeDocument/2006/relationships/worksheet" Target="/xl/worksheets/sheet28.xml" Id="Rd14db6e4299a4465" /><Relationship Type="http://schemas.openxmlformats.org/officeDocument/2006/relationships/worksheet" Target="/xl/worksheets/sheet29.xml" Id="R2cd684da69ab4dad" /><Relationship Type="http://schemas.openxmlformats.org/officeDocument/2006/relationships/worksheet" Target="/xl/worksheets/sheet30.xml" Id="Rcaa7321985724a0f" /><Relationship Type="http://schemas.openxmlformats.org/officeDocument/2006/relationships/worksheet" Target="/xl/worksheets/sheet31.xml" Id="R70ff161413a74da2" /><Relationship Type="http://schemas.openxmlformats.org/officeDocument/2006/relationships/worksheet" Target="/xl/worksheets/sheet32.xml" Id="Raf265e6656704962" /><Relationship Type="http://schemas.openxmlformats.org/officeDocument/2006/relationships/worksheet" Target="/xl/worksheets/sheet33.xml" Id="R3d714fe96b2445c2" /><Relationship Type="http://schemas.openxmlformats.org/officeDocument/2006/relationships/worksheet" Target="/xl/worksheets/sheet34.xml" Id="Rd1b43fdcb66f46fc" /><Relationship Type="http://schemas.openxmlformats.org/officeDocument/2006/relationships/worksheet" Target="/xl/worksheets/sheet35.xml" Id="Rce153b30de2b4f06" /><Relationship Type="http://schemas.openxmlformats.org/officeDocument/2006/relationships/worksheet" Target="/xl/worksheets/sheet36.xml" Id="R5d5965f9f52e4976" /><Relationship Type="http://schemas.openxmlformats.org/officeDocument/2006/relationships/worksheet" Target="/xl/worksheets/sheet37.xml" Id="R61ff7c711cca43fa" /><Relationship Type="http://schemas.openxmlformats.org/officeDocument/2006/relationships/worksheet" Target="/xl/worksheets/sheet38.xml" Id="Rf5dbbdbe79ba4319" /><Relationship Type="http://schemas.openxmlformats.org/officeDocument/2006/relationships/worksheet" Target="/xl/worksheets/sheet39.xml" Id="Ra03036fce70b4063" /><Relationship Type="http://schemas.openxmlformats.org/officeDocument/2006/relationships/worksheet" Target="/xl/worksheets/sheet40.xml" Id="R0b6a795c810c4bae" /><Relationship Type="http://schemas.openxmlformats.org/officeDocument/2006/relationships/worksheet" Target="/xl/worksheets/sheet41.xml" Id="R4a64e65820fd4ab8" /><Relationship Type="http://schemas.openxmlformats.org/officeDocument/2006/relationships/worksheet" Target="/xl/worksheets/sheet42.xml" Id="Raabcf3186a17498f" /><Relationship Type="http://schemas.openxmlformats.org/officeDocument/2006/relationships/worksheet" Target="/xl/worksheets/sheet43.xml" Id="Rd51fa04435b64a49" /><Relationship Type="http://schemas.openxmlformats.org/officeDocument/2006/relationships/worksheet" Target="/xl/worksheets/sheet44.xml" Id="Rc5b7e48ccc4342de" /><Relationship Type="http://schemas.openxmlformats.org/officeDocument/2006/relationships/worksheet" Target="/xl/worksheets/sheet45.xml" Id="R730684db807b4ecb" /></Relationships>
</file>

<file path=xl/tables/table1.xml><?xml version="1.0" encoding="utf-8"?>
<x:table xmlns:x="http://schemas.openxmlformats.org/spreadsheetml/2006/main" id="1" name="TblConfig" displayName="TblConfig" ref="A1:B10" headerRowCount="1">
  <x:tableColumns count="2">
    <x:tableColumn id="1" name="Thông số"/>
    <x:tableColumn id="2" name="Giá trị"/>
  </x:tableColumns>
  <x:tableStyleInfo name="TableStyleMedium2" showRowStripes="1"/>
</x:table>
</file>

<file path=xl/tables/table2.xml><?xml version="1.0" encoding="utf-8"?>
<x:table xmlns:x="http://schemas.openxmlformats.org/spreadsheetml/2006/main" id="2" name="TblDealers" displayName="TblDealers" ref="A1:F21" headerRowCount="1">
  <x:tableColumns count="6">
    <x:tableColumn id="1" name="Mã đại lý"/>
    <x:tableColumn id="2" name="Tên đại lý"/>
    <x:tableColumn id="3" name="Thương hiệu"/>
    <x:tableColumn id="4" name="Địa bàn"/>
    <x:tableColumn id="5" name="Mô hình"/>
    <x:tableColumn id="6" name="Trạng thái"/>
  </x:tableColumns>
  <x:tableStyleInfo name="TableStyleMedium2" showRowStripes="1"/>
</x:table>
</file>

<file path=xl/tables/table3.xml><?xml version="1.0" encoding="utf-8"?>
<x:table xmlns:x="http://schemas.openxmlformats.org/spreadsheetml/2006/main" id="3" name="TblBrands" displayName="TblBrands" ref="A1:E6" headerRowCount="1">
  <x:tableColumns count="5">
    <x:tableColumn id="1" name="Mã thương hiệu"/>
    <x:tableColumn id="2" name="Thương hiệu"/>
    <x:tableColumn id="3" name="Định vị mô phỏng"/>
    <x:tableColumn id="4" name="Nhóm động lực"/>
    <x:tableColumn id="5" name="Mục tiêu chiến lược 2026"/>
  </x:tableColumns>
  <x:tableStyleInfo name="TableStyleMedium2" showRowStripes="1"/>
</x:table>
</file>

<file path=xl/tables/table4.xml><?xml version="1.0" encoding="utf-8"?>
<x:table xmlns:x="http://schemas.openxmlformats.org/spreadsheetml/2006/main" id="4" name="TblModels" displayName="TblModels" ref="A1:E19" headerRowCount="1">
  <x:tableColumns count="5">
    <x:tableColumn id="1" name="Mã mẫu xe"/>
    <x:tableColumn id="2" name="Thương hiệu"/>
    <x:tableColumn id="3" name="Mẫu xe"/>
    <x:tableColumn id="4" name="Giá tham chiếu giả định (triệu)"/>
    <x:tableColumn id="5" name="Trạng thái"/>
  </x:tableColumns>
  <x:tableStyleInfo name="TableStyleMedium2" showRowStripes="1"/>
</x:table>
</file>

<file path=xl/tables/table5.xml><?xml version="1.0" encoding="utf-8"?>
<x:table xmlns:x="http://schemas.openxmlformats.org/spreadsheetml/2006/main" id="5" name="TblSales" displayName="TblSales" ref="A1:M659" headerRowCount="1">
  <x:tableColumns count="13">
    <x:tableColumn id="1" name="Mã giao dịch"/>
    <x:tableColumn id="2" name="Tháng"/>
    <x:tableColumn id="3" name="Mã đại lý"/>
    <x:tableColumn id="4" name="Đại lý"/>
    <x:tableColumn id="5" name="Thương hiệu"/>
    <x:tableColumn id="6" name="Mẫu xe"/>
    <x:tableColumn id="7" name="Số xe bán"/>
    <x:tableColumn id="8" name="Giá bán TB (triệu)"/>
    <x:tableColumn id="9" name="Doanh thu (tỷ)"/>
    <x:tableColumn id="10" name="Tỷ lệ chiết khấu"/>
    <x:tableColumn id="11" name="Giá vốn (tỷ)"/>
    <x:tableColumn id="12" name="Lợi nhuận gộp (tỷ)"/>
    <x:tableColumn id="13" name="Biên LN gộp"/>
  </x:tableColumns>
  <x:tableStyleInfo name="TableStyleMedium2" showRowStripes="1"/>
</x:table>
</file>

<file path=xl/tables/table6.xml><?xml version="1.0" encoding="utf-8"?>
<x:table xmlns:x="http://schemas.openxmlformats.org/spreadsheetml/2006/main" id="6" name="TblInventory" displayName="TblInventory" ref="A1:L95" headerRowCount="1">
  <x:tableColumns count="12">
    <x:tableColumn id="1" name="Mã tồn kho"/>
    <x:tableColumn id="2" name="Ngày báo cáo"/>
    <x:tableColumn id="3" name="Mã đại lý"/>
    <x:tableColumn id="4" name="Đại lý"/>
    <x:tableColumn id="5" name="Thương hiệu"/>
    <x:tableColumn id="6" name="Mẫu xe"/>
    <x:tableColumn id="7" name="Số xe tồn"/>
    <x:tableColumn id="8" name="Bán TB/tháng"/>
    <x:tableColumn id="9" name="Số ngày tồn kho"/>
    <x:tableColumn id="10" name="Xe tồn &gt;90 ngày"/>
    <x:tableColumn id="11" name="Giá trị tồn kho (tỷ)"/>
    <x:tableColumn id="12" name="Trạng thái"/>
  </x:tableColumns>
  <x:tableStyleInfo name="TableStyleMedium2" showRowStripes="1"/>
</x:table>
</file>

<file path=xl/tables/table7.xml><?xml version="1.0" encoding="utf-8"?>
<x:table xmlns:x="http://schemas.openxmlformats.org/spreadsheetml/2006/main" id="7" name="TblService" displayName="TblService" ref="A1:Q134" headerRowCount="1">
  <x:tableColumns count="17">
    <x:tableColumn id="1" name="Mã báo cáo"/>
    <x:tableColumn id="2" name="Tháng"/>
    <x:tableColumn id="3" name="Mã đại lý"/>
    <x:tableColumn id="4" name="Đại lý"/>
    <x:tableColumn id="5" name="Thương hiệu"/>
    <x:tableColumn id="6" name="Lệnh sửa chữa"/>
    <x:tableColumn id="7" name="Doanh thu công (tỷ)"/>
    <x:tableColumn id="8" name="Doanh thu phụ tùng (tỷ)"/>
    <x:tableColumn id="9" name="Chi phí bảo hành (tỷ)"/>
    <x:tableColumn id="10" name="Số khoang"/>
    <x:tableColumn id="11" name="Kỹ thuật viên"/>
    <x:tableColumn id="12" name="Hiệu suất khoang"/>
    <x:tableColumn id="13" name="Năng suất KTV"/>
    <x:tableColumn id="14" name="Chu kỳ sửa chữa (ngày)"/>
    <x:tableColumn id="15" name="Tỷ lệ sửa lại"/>
    <x:tableColumn id="16" name="CSI"/>
    <x:tableColumn id="17" name="Doanh thu dịch vụ (tỷ)"/>
  </x:tableColumns>
  <x:tableStyleInfo name="TableStyleMedium2" showRowStripes="1"/>
</x:table>
</file>

<file path=xl/tables/table8.xml><?xml version="1.0" encoding="utf-8"?>
<x:table xmlns:x="http://schemas.openxmlformats.org/spreadsheetml/2006/main" id="8" name="TblParts" displayName="TblParts" ref="A1:K20" headerRowCount="1">
  <x:tableColumns count="11">
    <x:tableColumn id="1" name="Mã báo cáo"/>
    <x:tableColumn id="2" name="Ngày báo cáo"/>
    <x:tableColumn id="3" name="Mã đại lý"/>
    <x:tableColumn id="4" name="Đại lý"/>
    <x:tableColumn id="5" name="Thương hiệu"/>
    <x:tableColumn id="6" name="Tồn đầu kỳ (tỷ)"/>
    <x:tableColumn id="7" name="Nhập trong kỳ (tỷ)"/>
    <x:tableColumn id="8" name="Xuất trong kỳ (tỷ)"/>
    <x:tableColumn id="9" name="Tồn cuối kỳ (tỷ)"/>
    <x:tableColumn id="10" name="Vòng quay năm hóa"/>
    <x:tableColumn id="11" name="Tỷ lệ chậm luân chuyển"/>
  </x:tableColumns>
  <x:tableStyleInfo name="TableStyleMedium2" showRowStripes="1"/>
</x:table>
</file>

<file path=xl/tables/table9.xml><?xml version="1.0" encoding="utf-8"?>
<x:table xmlns:x="http://schemas.openxmlformats.org/spreadsheetml/2006/main" id="9" name="TblDealerKPI" displayName="TblDealerKPI" ref="A1:N21" headerRowCount="1">
  <x:tableColumns count="14">
    <x:tableColumn id="1" name="Mã đại lý"/>
    <x:tableColumn id="2" name="Đại lý"/>
    <x:tableColumn id="3" name="Thương hiệu"/>
    <x:tableColumn id="4" name="Địa bàn"/>
    <x:tableColumn id="5" name="Doanh thu KH (tỷ)"/>
    <x:tableColumn id="6" name="Doanh thu TH (tỷ)"/>
    <x:tableColumn id="7" name="Xe bán"/>
    <x:tableColumn id="8" name="Doanh thu dịch vụ (tỷ)"/>
    <x:tableColumn id="9" name="Tồn kho xe (tỷ)"/>
    <x:tableColumn id="10" name="CSI"/>
    <x:tableColumn id="11" name="EBITDA (tỷ)"/>
    <x:tableColumn id="12" name="Tỷ lệ hoàn thành"/>
    <x:tableColumn id="13" name="Biên EBITDA"/>
    <x:tableColumn id="14" name="Xếp hạng"/>
  </x:tableColumns>
  <x:tableStyleInfo name="TableStyleMedium2" showRowStripes="1"/>
</x:table>
</file>

<file path=xl/tables/table10.xml><?xml version="1.0" encoding="utf-8"?>
<x:table xmlns:x="http://schemas.openxmlformats.org/spreadsheetml/2006/main" id="10" name="TblFinance" displayName="TblFinance" ref="A1:L8" headerRowCount="1">
  <x:tableColumns count="12">
    <x:tableColumn id="1" name="Tháng"/>
    <x:tableColumn id="2" name="Doanh thu KH"/>
    <x:tableColumn id="3" name="Doanh thu xe TH"/>
    <x:tableColumn id="4" name="Doanh thu dịch vụ TH"/>
    <x:tableColumn id="5" name="Giá vốn xe"/>
    <x:tableColumn id="6" name="OPEX"/>
    <x:tableColumn id="7" name="EBITDA KH"/>
    <x:tableColumn id="8" name="EBITDA TH"/>
    <x:tableColumn id="9" name="OCF"/>
    <x:tableColumn id="10" name="CAPEX"/>
    <x:tableColumn id="11" name="Tỷ lệ DT"/>
    <x:tableColumn id="12" name="Tỷ lệ EBITDA"/>
  </x:tableColumns>
  <x:tableStyleInfo name="TableStyleMedium2" showRowStripes="1"/>
</x:table>
</file>

<file path=xl/tables/table11.xml><?xml version="1.0" encoding="utf-8"?>
<x:table xmlns:x="http://schemas.openxmlformats.org/spreadsheetml/2006/main" id="11" name="TblForecast" displayName="TblForecast" ref="A1:E13" headerRowCount="1">
  <x:tableColumns count="5">
    <x:tableColumn id="1" name="Tháng"/>
    <x:tableColumn id="2" name="Doanh thu hợp nhất"/>
    <x:tableColumn id="3" name="EBITDA"/>
    <x:tableColumn id="4" name="Biên EBITDA"/>
    <x:tableColumn id="5" name="Loại dữ liệu"/>
  </x:tableColumns>
  <x:tableStyleInfo name="TableStyleMedium2" showRowStripes="1"/>
</x:table>
</file>

<file path=xl/tables/table12.xml><?xml version="1.0" encoding="utf-8"?>
<x:table xmlns:x="http://schemas.openxmlformats.org/spreadsheetml/2006/main" id="12" name="TblScenario" displayName="TblScenario" ref="A1:H4" headerRowCount="1">
  <x:tableColumns count="8">
    <x:tableColumn id="1" name="Kịch bản"/>
    <x:tableColumn id="2" name="Hệ số doanh thu"/>
    <x:tableColumn id="3" name="Hệ số biên"/>
    <x:tableColumn id="4" name="Hệ số tồn kho"/>
    <x:tableColumn id="5" name="Hệ số thu tiền"/>
    <x:tableColumn id="6" name="Doanh thu năm"/>
    <x:tableColumn id="7" name="EBITDA năm"/>
    <x:tableColumn id="8" name="OCF dự kiến"/>
  </x:tableColumns>
  <x:tableStyleInfo name="TableStyleMedium2" showRowStripes="1"/>
</x:table>
</file>

<file path=xl/tables/table13.xml><?xml version="1.0" encoding="utf-8"?>
<x:table xmlns:x="http://schemas.openxmlformats.org/spreadsheetml/2006/main" id="13" name="TblKPI" displayName="TblKPI" ref="A1:I11" headerRowCount="1">
  <x:tableColumns count="9">
    <x:tableColumn id="1" name="Mã KPI"/>
    <x:tableColumn id="2" name="Góc nhìn"/>
    <x:tableColumn id="3" name="Chỉ tiêu"/>
    <x:tableColumn id="4" name="Mục tiêu"/>
    <x:tableColumn id="5" name="Thực hiện"/>
    <x:tableColumn id="6" name="Trọng số"/>
    <x:tableColumn id="7" name="Chủ sở hữu"/>
    <x:tableColumn id="8" name="Trạng thái"/>
    <x:tableColumn id="9" name="Tỷ lệ hoàn thành"/>
  </x:tableColumns>
  <x:tableStyleInfo name="TableStyleMedium2" showRowStripes="1"/>
</x:table>
</file>

<file path=xl/tables/table14.xml><?xml version="1.0" encoding="utf-8"?>
<x:table xmlns:x="http://schemas.openxmlformats.org/spreadsheetml/2006/main" id="14" name="TblProjects" displayName="TblProjects" ref="A1:K6" headerRowCount="1">
  <x:tableColumns count="11">
    <x:tableColumn id="1" name="Mã dự án"/>
    <x:tableColumn id="2" name="Tên dự án"/>
    <x:tableColumn id="3" name="Nhóm"/>
    <x:tableColumn id="4" name="Ngân sách (tỷ)"/>
    <x:tableColumn id="5" name="Tiến độ KH"/>
    <x:tableColumn id="6" name="Tiến độ TH"/>
    <x:tableColumn id="7" name="Chủ trì"/>
    <x:tableColumn id="8" name="Hạn hoàn thành"/>
    <x:tableColumn id="9" name="Trạng thái"/>
    <x:tableColumn id="10" name="Rủi ro chính"/>
    <x:tableColumn id="11" name="Sai lệch"/>
  </x:tableColumns>
  <x:tableStyleInfo name="TableStyleMedium2" showRowStripes="1"/>
</x:table>
</file>

<file path=xl/tables/table15.xml><?xml version="1.0" encoding="utf-8"?>
<x:table xmlns:x="http://schemas.openxmlformats.org/spreadsheetml/2006/main" id="15" name="TblRisks" displayName="TblRisks" ref="A1:I7" headerRowCount="1">
  <x:tableColumns count="9">
    <x:tableColumn id="1" name="Mã rủi ro"/>
    <x:tableColumn id="2" name="Nhóm"/>
    <x:tableColumn id="3" name="Mô tả"/>
    <x:tableColumn id="4" name="Xác suất"/>
    <x:tableColumn id="5" name="Tác động"/>
    <x:tableColumn id="6" name="Chủ sở hữu"/>
    <x:tableColumn id="7" name="Biện pháp ứng phó"/>
    <x:tableColumn id="8" name="Mức độ"/>
    <x:tableColumn id="9" name="Điểm rủi ro"/>
  </x:tableColumns>
  <x:tableStyleInfo name="TableStyleMedium2" showRowStripes="1"/>
</x:table>
</file>

<file path=xl/tables/table16.xml><?xml version="1.0" encoding="utf-8"?>
<x:table xmlns:x="http://schemas.openxmlformats.org/spreadsheetml/2006/main" id="16" name="TblRCM" displayName="TblRCM" ref="A1:J6" headerRowCount="1">
  <x:tableColumns count="10">
    <x:tableColumn id="1" name="Mã kiểm soát"/>
    <x:tableColumn id="2" name="Quy trình"/>
    <x:tableColumn id="3" name="Hoạt động"/>
    <x:tableColumn id="4" name="Rủi ro"/>
    <x:tableColumn id="5" name="Kiểm soát chính"/>
    <x:tableColumn id="6" name="Chủ sở hữu"/>
    <x:tableColumn id="7" name="Tần suất"/>
    <x:tableColumn id="8" name="Đánh giá thiết kế"/>
    <x:tableColumn id="9" name="Đánh giá vận hành"/>
    <x:tableColumn id="10" name="Kết luận"/>
  </x:tableColumns>
  <x:tableStyleInfo name="TableStyleMedium2" showRowStripes="1"/>
</x:table>
</file>

<file path=xl/tables/table17.xml><?xml version="1.0" encoding="utf-8"?>
<x:table xmlns:x="http://schemas.openxmlformats.org/spreadsheetml/2006/main" id="17" name="TblDecisions" displayName="TblDecisions" ref="A1:I4" headerRowCount="1">
  <x:tableColumns count="9">
    <x:tableColumn id="1" name="Mã hồ sơ"/>
    <x:tableColumn id="2" name="Vấn đề cần quyết định"/>
    <x:tableColumn id="3" name="Bối cảnh"/>
    <x:tableColumn id="4" name="Người đề xuất"/>
    <x:tableColumn id="5" name="Cấp phê duyệt"/>
    <x:tableColumn id="6" name="Ngày trình"/>
    <x:tableColumn id="7" name="Hạn quyết định"/>
    <x:tableColumn id="8" name="Trạng thái"/>
    <x:tableColumn id="9" name="Khuyến nghị"/>
  </x:tableColumns>
  <x:tableStyleInfo name="TableStyleMedium2" showRowStripes="1"/>
</x:table>
</file>

<file path=xl/tables/table18.xml><?xml version="1.0" encoding="utf-8"?>
<x:table xmlns:x="http://schemas.openxmlformats.org/spreadsheetml/2006/main" id="18" name="TblActions" displayName="TblActions" ref="A1:J5" headerRowCount="1">
  <x:tableColumns count="10">
    <x:tableColumn id="1" name="Mã hành động"/>
    <x:tableColumn id="2" name="Nguồn chỉ đạo"/>
    <x:tableColumn id="3" name="Nội dung"/>
    <x:tableColumn id="4" name="Chủ trì"/>
    <x:tableColumn id="5" name="Ngày giao"/>
    <x:tableColumn id="6" name="Hạn hoàn thành"/>
    <x:tableColumn id="7" name="Tiến độ"/>
    <x:tableColumn id="8" name="Trạng thái"/>
    <x:tableColumn id="9" name="Vướng mắc"/>
    <x:tableColumn id="10" name="Hành động tiếp theo"/>
  </x:tableColumns>
  <x:tableStyleInfo name="TableStyleMedium2" showRowStripes="1"/>
</x:table>
</file>

<file path=xl/tables/table19.xml><?xml version="1.0" encoding="utf-8"?>
<x:table xmlns:x="http://schemas.openxmlformats.org/spreadsheetml/2006/main" id="19" name="TblMeetings" displayName="TblMeetings" ref="A1:H4" headerRowCount="1">
  <x:tableColumns count="8">
    <x:tableColumn id="1" name="Mã cuộc họp"/>
    <x:tableColumn id="2" name="Tên cuộc họp"/>
    <x:tableColumn id="3" name="Cấp họp"/>
    <x:tableColumn id="4" name="Bắt đầu"/>
    <x:tableColumn id="5" name="Kết thúc"/>
    <x:tableColumn id="6" name="Đơn vị chuẩn bị"/>
    <x:tableColumn id="7" name="Tài liệu"/>
    <x:tableColumn id="8" name="Trạng thái"/>
  </x:tableColumns>
  <x:tableStyleInfo name="TableStyleMedium2" showRowStripes="1"/>
</x:table>
</file>

<file path=xl/tables/table20.xml><?xml version="1.0" encoding="utf-8"?>
<x:table xmlns:x="http://schemas.openxmlformats.org/spreadsheetml/2006/main" id="20" name="TblResolutions" displayName="TblResolutions" ref="A1:H4" headerRowCount="1">
  <x:tableColumns count="8">
    <x:tableColumn id="1" name="Mã nghị quyết"/>
    <x:tableColumn id="2" name="Tên văn bản"/>
    <x:tableColumn id="3" name="Nội dung chính"/>
    <x:tableColumn id="4" name="Chủ trì"/>
    <x:tableColumn id="5" name="Ngày ban hành"/>
    <x:tableColumn id="6" name="Hạn hoàn thành"/>
    <x:tableColumn id="7" name="Tiến độ"/>
    <x:tableColumn id="8" name="Trạng thái"/>
  </x:tableColumns>
  <x:tableStyleInfo name="TableStyleMedium2" showRowStripes="1"/>
</x:table>
</file>

<file path=xl/tables/table21.xml><?xml version="1.0" encoding="utf-8"?>
<x:table xmlns:x="http://schemas.openxmlformats.org/spreadsheetml/2006/main" id="21" name="TblInvestments" displayName="TblInvestments" ref="A1:L4" headerRowCount="1">
  <x:tableColumns count="12">
    <x:tableColumn id="1" name="Mã đầu tư"/>
    <x:tableColumn id="2" name="Tên dự án"/>
    <x:tableColumn id="3" name="Lĩnh vực"/>
    <x:tableColumn id="4" name="Tổng mức đầu tư"/>
    <x:tableColumn id="5" name="NPV"/>
    <x:tableColumn id="6" name="IRR"/>
    <x:tableColumn id="7" name="Payback"/>
    <x:tableColumn id="8" name="Điểm rủi ro"/>
    <x:tableColumn id="9" name="Điểm chiến lược"/>
    <x:tableColumn id="10" name="Khuyến nghị"/>
    <x:tableColumn id="11" name="Cấp phê duyệt"/>
    <x:tableColumn id="12" name="Trạng thái"/>
  </x:tableColumns>
  <x:tableStyleInfo name="TableStyleMedium2" showRowStripes="1"/>
</x:table>
</file>

<file path=xl/tables/table22.xml><?xml version="1.0" encoding="utf-8"?>
<x:table xmlns:x="http://schemas.openxmlformats.org/spreadsheetml/2006/main" id="22" name="TblDQ" displayName="TblDQ" ref="A1:H6" headerRowCount="1">
  <x:tableColumns count="8">
    <x:tableColumn id="1" name="Mã kiểm tra"/>
    <x:tableColumn id="2" name="Bảng dữ liệu"/>
    <x:tableColumn id="3" name="Trường dữ liệu"/>
    <x:tableColumn id="4" name="Tiêu chí"/>
    <x:tableColumn id="5" name="Ngưỡng"/>
    <x:tableColumn id="6" name="Kết quả"/>
    <x:tableColumn id="7" name="Trạng thái"/>
    <x:tableColumn id="8" name="Nguồn"/>
  </x:tableColumns>
  <x:tableStyleInfo name="TableStyleMedium2" showRowStripes="1"/>
</x:table>
</file>

<file path=xl/tables/table23.xml><?xml version="1.0" encoding="utf-8"?>
<x:table xmlns:x="http://schemas.openxmlformats.org/spreadsheetml/2006/main" id="23" name="TblAssumptions" displayName="TblAssumptions" ref="A1:H11" headerRowCount="1">
  <x:tableColumns count="8">
    <x:tableColumn id="1" name="Mã"/>
    <x:tableColumn id="2" name="Nhóm"/>
    <x:tableColumn id="3" name="Giả định"/>
    <x:tableColumn id="4" name="Giá trị"/>
    <x:tableColumn id="5" name="Đơn vị"/>
    <x:tableColumn id="6" name="Phân loại"/>
    <x:tableColumn id="7" name="Owner"/>
    <x:tableColumn id="8" name="Nguồn"/>
  </x:tableColumns>
  <x:tableStyleInfo name="TableStyleMedium2" showRowStripes="1"/>
</x:table>
</file>

<file path=xl/tables/table24.xml><?xml version="1.0" encoding="utf-8"?>
<x:table xmlns:x="http://schemas.openxmlformats.org/spreadsheetml/2006/main" id="24" name="TblStrategy" displayName="TblStrategy" ref="A1:I6" headerRowCount="1">
  <x:tableColumns count="9">
    <x:tableColumn id="1" name="Mã mục tiêu"/>
    <x:tableColumn id="2" name="Góc nhìn"/>
    <x:tableColumn id="3" name="Mục tiêu chiến lược"/>
    <x:tableColumn id="4" name="Mô tả"/>
    <x:tableColumn id="5" name="KPI dẫn dắt"/>
    <x:tableColumn id="6" name="Trọng số"/>
    <x:tableColumn id="7" name="Owner"/>
    <x:tableColumn id="8" name="Chu kỳ"/>
    <x:tableColumn id="9" name="Trạng thái"/>
  </x:tableColumns>
  <x:tableStyleInfo name="TableStyleMedium2" showRowStripes="1"/>
</x:table>
</file>

<file path=xl/tables/table25.xml><?xml version="1.0" encoding="utf-8"?>
<x:table xmlns:x="http://schemas.openxmlformats.org/spreadsheetml/2006/main" id="25" name="TblKPITree" displayName="TblKPITree" ref="A1:G8" headerRowCount="1">
  <x:tableColumns count="7">
    <x:tableColumn id="1" name="Mã"/>
    <x:tableColumn id="2" name="Value Driver cấp 1"/>
    <x:tableColumn id="3" name="Value Driver cấp 2"/>
    <x:tableColumn id="4" name="KPI thành phần"/>
    <x:tableColumn id="5" name="Công thức logic"/>
    <x:tableColumn id="6" name="Loại"/>
    <x:tableColumn id="7" name="Owner"/>
  </x:tableColumns>
  <x:tableStyleInfo name="TableStyleMedium2" showRowStripes="1"/>
</x:table>
</file>

<file path=xl/tables/table26.xml><?xml version="1.0" encoding="utf-8"?>
<x:table xmlns:x="http://schemas.openxmlformats.org/spreadsheetml/2006/main" id="26" name="TblFunnel" displayName="TblFunnel" ref="A1:M141" headerRowCount="1">
  <x:tableColumns count="13">
    <x:tableColumn id="1" name="Tháng"/>
    <x:tableColumn id="2" name="Mã đại lý"/>
    <x:tableColumn id="3" name="Đại lý"/>
    <x:tableColumn id="4" name="Thương hiệu"/>
    <x:tableColumn id="5" name="Lead"/>
    <x:tableColumn id="6" name="Lead đạt chuẩn"/>
    <x:tableColumn id="7" name="Test drive"/>
    <x:tableColumn id="8" name="Đơn hàng"/>
    <x:tableColumn id="9" name="Giao xe"/>
    <x:tableColumn id="10" name="Lost"/>
    <x:tableColumn id="11" name="Lead→Order"/>
    <x:tableColumn id="12" name="Order→Delivery"/>
    <x:tableColumn id="13" name="Lead→Delivery"/>
  </x:tableColumns>
  <x:tableStyleInfo name="TableStyleMedium2" showRowStripes="1"/>
</x:table>
</file>

<file path=xl/tables/table27.xml><?xml version="1.0" encoding="utf-8"?>
<x:table xmlns:x="http://schemas.openxmlformats.org/spreadsheetml/2006/main" id="27" name="TblLeadPipeline" displayName="TblLeadPipeline" ref="A1:L501" headerRowCount="1">
  <x:tableColumns count="12">
    <x:tableColumn id="1" name="Lead ID"/>
    <x:tableColumn id="2" name="Ngày tạo"/>
    <x:tableColumn id="3" name="Mã đại lý"/>
    <x:tableColumn id="4" name="Đại lý"/>
    <x:tableColumn id="5" name="Thương hiệu"/>
    <x:tableColumn id="6" name="Nguồn lead"/>
    <x:tableColumn id="7" name="Giai đoạn"/>
    <x:tableColumn id="8" name="Xác suất"/>
    <x:tableColumn id="9" name="Giá trị dự kiến (tỷ)"/>
    <x:tableColumn id="10" name="Tuổi lead (ngày)"/>
    <x:tableColumn id="11" name="Salesperson"/>
    <x:tableColumn id="12" name="Ưu tiên"/>
  </x:tableColumns>
  <x:tableStyleInfo name="TableStyleMedium2" showRowStripes="1"/>
</x:table>
</file>

<file path=xl/tables/table28.xml><?xml version="1.0" encoding="utf-8"?>
<x:table xmlns:x="http://schemas.openxmlformats.org/spreadsheetml/2006/main" id="28" name="TblOrders" displayName="TblOrders" ref="A1:K241" headerRowCount="1">
  <x:tableColumns count="11">
    <x:tableColumn id="1" name="Order ID"/>
    <x:tableColumn id="2" name="Mã đại lý"/>
    <x:tableColumn id="3" name="Đại lý"/>
    <x:tableColumn id="4" name="Thương hiệu"/>
    <x:tableColumn id="5" name="Ngày đặt"/>
    <x:tableColumn id="6" name="Ngày hứa giao"/>
    <x:tableColumn id="7" name="Ngày giao dự kiến/thực tế"/>
    <x:tableColumn id="8" name="Trạng thái"/>
    <x:tableColumn id="9" name="Chậm giao (ngày)"/>
    <x:tableColumn id="10" name="Đúng hạn"/>
    <x:tableColumn id="11" name="Hình thức thanh toán"/>
  </x:tableColumns>
  <x:tableStyleInfo name="TableStyleMedium2" showRowStripes="1"/>
</x:table>
</file>

<file path=xl/tables/table29.xml><?xml version="1.0" encoding="utf-8"?>
<x:table xmlns:x="http://schemas.openxmlformats.org/spreadsheetml/2006/main" id="29" name="TblPricing" displayName="TblPricing" ref="A1:L321" headerRowCount="1">
  <x:tableColumns count="12">
    <x:tableColumn id="1" name="Giao dịch"/>
    <x:tableColumn id="2" name="Ngày"/>
    <x:tableColumn id="3" name="Mã đại lý"/>
    <x:tableColumn id="4" name="Đại lý"/>
    <x:tableColumn id="5" name="Thương hiệu"/>
    <x:tableColumn id="6" name="Giá niêm yết (tỷ)"/>
    <x:tableColumn id="7" name="Chiết khấu thực tế"/>
    <x:tableColumn id="8" name="Trần phê duyệt"/>
    <x:tableColumn id="9" name="Giá bán (tỷ)"/>
    <x:tableColumn id="10" name="Discount leakage (tỷ)"/>
    <x:tableColumn id="11" name="Cấp phê duyệt"/>
    <x:tableColumn id="12" name="Cờ kiểm soát"/>
  </x:tableColumns>
  <x:tableStyleInfo name="TableStyleMedium2" showRowStripes="1"/>
</x:table>
</file>

<file path=xl/tables/table30.xml><?xml version="1.0" encoding="utf-8"?>
<x:table xmlns:x="http://schemas.openxmlformats.org/spreadsheetml/2006/main" id="30" name="TblDealerPnL" displayName="TblDealerPnL" ref="A1:O21" headerRowCount="1">
  <x:tableColumns count="15">
    <x:tableColumn id="1" name="Mã đại lý"/>
    <x:tableColumn id="2" name="Đại lý"/>
    <x:tableColumn id="3" name="Thương hiệu"/>
    <x:tableColumn id="4" name="Địa bàn"/>
    <x:tableColumn id="5" name="Doanh thu xe"/>
    <x:tableColumn id="6" name="Doanh thu dịch vụ"/>
    <x:tableColumn id="7" name="LN gộp xe"/>
    <x:tableColumn id="8" name="LN gộp dịch vụ"/>
    <x:tableColumn id="9" name="Chi phí nhân sự"/>
    <x:tableColumn id="10" name="Chi phí mặt bằng"/>
    <x:tableColumn id="11" name="Marketing"/>
    <x:tableColumn id="12" name="Chi phí khác"/>
    <x:tableColumn id="13" name="EBITDA"/>
    <x:tableColumn id="14" name="Biên EBITDA"/>
    <x:tableColumn id="15" name="Doanh thu/nhân viên"/>
  </x:tableColumns>
  <x:tableStyleInfo name="TableStyleMedium2" showRowStripes="1"/>
</x:table>
</file>

<file path=xl/tables/table31.xml><?xml version="1.0" encoding="utf-8"?>
<x:table xmlns:x="http://schemas.openxmlformats.org/spreadsheetml/2006/main" id="31" name="TblWorkingCapital" displayName="TblWorkingCapital" ref="A1:L21" headerRowCount="1">
  <x:tableColumns count="12">
    <x:tableColumn id="1" name="Mã đại lý"/>
    <x:tableColumn id="2" name="Đại lý"/>
    <x:tableColumn id="3" name="Thương hiệu"/>
    <x:tableColumn id="4" name="Tồn kho"/>
    <x:tableColumn id="5" name="Phải thu"/>
    <x:tableColumn id="6" name="Phải trả"/>
    <x:tableColumn id="7" name="Giá vốn tháng"/>
    <x:tableColumn id="8" name="Doanh thu tháng"/>
    <x:tableColumn id="9" name="DIO"/>
    <x:tableColumn id="10" name="DSO"/>
    <x:tableColumn id="11" name="DPO"/>
    <x:tableColumn id="12" name="Cash Conversion Cycle"/>
  </x:tableColumns>
  <x:tableStyleInfo name="TableStyleMedium2" showRowStripes="1"/>
</x:table>
</file>

<file path=xl/tables/table32.xml><?xml version="1.0" encoding="utf-8"?>
<x:table xmlns:x="http://schemas.openxmlformats.org/spreadsheetml/2006/main" id="32" name="TblCash13W" displayName="TblCash13W" ref="A1:L14" headerRowCount="1">
  <x:tableColumns count="12">
    <x:tableColumn id="1" name="Tuần"/>
    <x:tableColumn id="2" name="Bắt đầu"/>
    <x:tableColumn id="3" name="Tiền đầu kỳ"/>
    <x:tableColumn id="4" name="Thu tiền"/>
    <x:tableColumn id="5" name="Thanh toán xe"/>
    <x:tableColumn id="6" name="OPEX"/>
    <x:tableColumn id="7" name="CAPEX"/>
    <x:tableColumn id="8" name="Nợ vay"/>
    <x:tableColumn id="9" name="Dòng tiền ròng"/>
    <x:tableColumn id="10" name="Tiền cuối kỳ"/>
    <x:tableColumn id="11" name="Mức tiền tối thiểu"/>
    <x:tableColumn id="12" name="Headroom"/>
  </x:tableColumns>
  <x:tableStyleInfo name="TableStyleMedium2" showRowStripes="1"/>
</x:table>
</file>

<file path=xl/tables/table33.xml><?xml version="1.0" encoding="utf-8"?>
<x:table xmlns:x="http://schemas.openxmlformats.org/spreadsheetml/2006/main" id="33" name="TblWorkforce" displayName="TblWorkforce" ref="A1:L21" headerRowCount="1">
  <x:tableColumns count="12">
    <x:tableColumn id="1" name="Mã đại lý"/>
    <x:tableColumn id="2" name="Đại lý"/>
    <x:tableColumn id="3" name="Thương hiệu"/>
    <x:tableColumn id="4" name="Địa bàn"/>
    <x:tableColumn id="5" name="Headcount"/>
    <x:tableColumn id="6" name="Sales"/>
    <x:tableColumn id="7" name="Kỹ thuật viên"/>
    <x:tableColumn id="8" name="Hỗ trợ"/>
    <x:tableColumn id="9" name="Turnover"/>
    <x:tableColumn id="10" name="Đào tạo hoàn thành"/>
    <x:tableColumn id="11" name="Engagement"/>
    <x:tableColumn id="12" name="Succession Coverage"/>
  </x:tableColumns>
  <x:tableStyleInfo name="TableStyleMedium2" showRowStripes="1"/>
</x:table>
</file>

<file path=xl/tables/table34.xml><?xml version="1.0" encoding="utf-8"?>
<x:table xmlns:x="http://schemas.openxmlformats.org/spreadsheetml/2006/main" id="34" name="TblVendor" displayName="TblVendor" ref="A1:I41" headerRowCount="1">
  <x:tableColumns count="9">
    <x:tableColumn id="1" name="Mã NCC"/>
    <x:tableColumn id="2" name="Nhà cung cấp"/>
    <x:tableColumn id="3" name="Nhóm"/>
    <x:tableColumn id="4" name="Spend YTD (tỷ)"/>
    <x:tableColumn id="5" name="On-time Delivery"/>
    <x:tableColumn id="6" name="Quality Score"/>
    <x:tableColumn id="7" name="Compliance"/>
    <x:tableColumn id="8" name="Criticality"/>
    <x:tableColumn id="9" name="Khuyến nghị"/>
  </x:tableColumns>
  <x:tableStyleInfo name="TableStyleMedium2" showRowStripes="1"/>
</x:table>
</file>

<file path=xl/tables/table35.xml><?xml version="1.0" encoding="utf-8"?>
<x:table xmlns:x="http://schemas.openxmlformats.org/spreadsheetml/2006/main" id="35" name="TblAudit" displayName="TblAudit" ref="A1:J31" headerRowCount="1">
  <x:tableColumns count="10">
    <x:tableColumn id="1" name="Mã"/>
    <x:tableColumn id="2" name="Quy trình"/>
    <x:tableColumn id="3" name="Mức độ"/>
    <x:tableColumn id="4" name="Phát hiện"/>
    <x:tableColumn id="5" name="Owner"/>
    <x:tableColumn id="6" name="Ngày ghi nhận"/>
    <x:tableColumn id="7" name="Hạn khắc phục"/>
    <x:tableColumn id="8" name="Trạng thái"/>
    <x:tableColumn id="9" name="Tiến độ"/>
    <x:tableColumn id="10" name="Root Cause"/>
  </x:tableColumns>
  <x:tableStyleInfo name="TableStyleMedium2" showRowStripes="1"/>
</x:table>
</file>

<file path=xl/tables/table36.xml><?xml version="1.0" encoding="utf-8"?>
<x:table xmlns:x="http://schemas.openxmlformats.org/spreadsheetml/2006/main" id="36" name="TblPolicy" displayName="TblPolicy" ref="A1:H11" headerRowCount="1">
  <x:tableColumns count="8">
    <x:tableColumn id="1" name="Mã chính sách"/>
    <x:tableColumn id="2" name="Tên chính sách"/>
    <x:tableColumn id="3" name="Owner"/>
    <x:tableColumn id="4" name="Phiên bản"/>
    <x:tableColumn id="5" name="Ngày hiệu lực"/>
    <x:tableColumn id="6" name="Ngày rà soát tiếp"/>
    <x:tableColumn id="7" name="Trạng thái"/>
    <x:tableColumn id="8" name="Cấp phê duyệt"/>
  </x:tableColumns>
  <x:tableStyleInfo name="TableStyleMedium2" showRowStripes="1"/>
</x:table>
</file>

<file path=xl/tables/table37.xml><?xml version="1.0" encoding="utf-8"?>
<x:table xmlns:x="http://schemas.openxmlformats.org/spreadsheetml/2006/main" id="37" name="TblESG" displayName="TblESG" ref="A1:I21" headerRowCount="1">
  <x:tableColumns count="9">
    <x:tableColumn id="1" name="Mã đại lý"/>
    <x:tableColumn id="2" name="Đại lý"/>
    <x:tableColumn id="3" name="Thương hiệu"/>
    <x:tableColumn id="4" name="Điện năng (MWh)"/>
    <x:tableColumn id="5" name="Tỷ lệ điện mặt trời"/>
    <x:tableColumn id="6" name="Tái chế chất thải"/>
    <x:tableColumn id="7" name="Tỷ trọng xe xanh"/>
    <x:tableColumn id="8" name="Tỷ lệ nữ"/>
    <x:tableColumn id="9" name="Sự cố an toàn"/>
  </x:tableColumns>
  <x:tableStyleInfo name="TableStyleMedium2" showRowStripes="1"/>
</x:table>
</file>

<file path=xl/tables/table38.xml><?xml version="1.0" encoding="utf-8"?>
<x:table xmlns:x="http://schemas.openxmlformats.org/spreadsheetml/2006/main" id="38" name="TblEWS" displayName="TblEWS" ref="A1:K21" headerRowCount="1">
  <x:tableColumns count="11">
    <x:tableColumn id="1" name="Mã đại lý"/>
    <x:tableColumn id="2" name="Đại lý"/>
    <x:tableColumn id="3" name="Thương hiệu"/>
    <x:tableColumn id="4" name="Financial Risk"/>
    <x:tableColumn id="5" name="Inventory Risk"/>
    <x:tableColumn id="6" name="Sales Risk"/>
    <x:tableColumn id="7" name="Customer Risk"/>
    <x:tableColumn id="8" name="Control Risk"/>
    <x:tableColumn id="9" name="Composite EWS"/>
    <x:tableColumn id="10" name="Mức cảnh báo"/>
    <x:tableColumn id="11" name="Khuyến nghị"/>
  </x:tableColumns>
  <x:tableStyleInfo name="TableStyleMedium2" showRowStripes="1"/>
</x:table>
</file>

<file path=xl/tables/table39.xml><?xml version="1.0" encoding="utf-8"?>
<x:table xmlns:x="http://schemas.openxmlformats.org/spreadsheetml/2006/main" id="39" name="TblExecBrief" displayName="TblExecBrief" ref="A1:G7" headerRowCount="1">
  <x:tableColumns count="7">
    <x:tableColumn id="1" name="Ưu tiên"/>
    <x:tableColumn id="2" name="Chủ đề"/>
    <x:tableColumn id="3" name="Mức độ"/>
    <x:tableColumn id="4" name="Phát hiện"/>
    <x:tableColumn id="5" name="Khuyến nghị điều hành"/>
    <x:tableColumn id="6" name="Owner"/>
    <x:tableColumn id="7" name="SLA"/>
  </x:tableColumns>
  <x:tableStyleInfo name="TableStyleMedium2" showRowStripes="1"/>
</x:table>
</file>

<file path=xl/tables/table40.xml><?xml version="1.0" encoding="utf-8"?>
<x:table xmlns:x="http://schemas.openxmlformats.org/spreadsheetml/2006/main" id="40" name="TblLineage" displayName="TblLineage" ref="A1:F8" headerRowCount="1">
  <x:tableColumns count="6">
    <x:tableColumn id="1" name="Nguồn"/>
    <x:tableColumn id="2" name="Bảng đích"/>
    <x:tableColumn id="3" name="Tần suất"/>
    <x:tableColumn id="4" name="Lớp dữ liệu"/>
    <x:tableColumn id="5" name="Trạng thái kiểm soát"/>
    <x:tableColumn id="6" name="Data Owner"/>
  </x:tableColumns>
  <x:tableStyleInfo name="TableStyleMedium2" showRowStripes="1"/>
</x:table>
</file>

<file path=xl/tables/table41.xml><?xml version="1.0" encoding="utf-8"?>
<x:table xmlns:x="http://schemas.openxmlformats.org/spreadsheetml/2006/main" id="41" name="TblActionImpact" displayName="TblActionImpact" ref="A1:M31" headerRowCount="1">
  <x:tableColumns count="13">
    <x:tableColumn id="1" name="Action ID"/>
    <x:tableColumn id="2" name="Theme"/>
    <x:tableColumn id="3" name="Action"/>
    <x:tableColumn id="4" name="Owner"/>
    <x:tableColumn id="5" name="Baseline KPI"/>
    <x:tableColumn id="6" name="Target KPI"/>
    <x:tableColumn id="7" name="Unit"/>
    <x:tableColumn id="8" name="Expected Impact (bn)"/>
    <x:tableColumn id="9" name="Actual Impact (bn)"/>
    <x:tableColumn id="10" name="Due Date"/>
    <x:tableColumn id="11" name="Status"/>
    <x:tableColumn id="12" name="Confidence"/>
    <x:tableColumn id="13" name="Evidence"/>
  </x:tableColumns>
  <x:tableStyleInfo name="TableStyleMedium2" showRowStripes="1"/>
</x:table>
</file>

<file path=xl/tables/table42.xml><?xml version="1.0" encoding="utf-8"?>
<x:table xmlns:x="http://schemas.openxmlformats.org/spreadsheetml/2006/main" id="42" name="TblScenarioDrivers" displayName="TblScenarioDrivers" ref="A1:E22" headerRowCount="1">
  <x:tableColumns count="5">
    <x:tableColumn id="1" name="Scenario"/>
    <x:tableColumn id="2" name="Driver"/>
    <x:tableColumn id="3" name="Value"/>
    <x:tableColumn id="4" name="Impact Area"/>
    <x:tableColumn id="5" name="Owner"/>
  </x:tableColumns>
  <x:tableStyleInfo name="TableStyleMedium2" showRowStripes="1"/>
</x:table>
</file>

<file path=xl/tables/table43.xml><?xml version="1.0" encoding="utf-8"?>
<x:table xmlns:x="http://schemas.openxmlformats.org/spreadsheetml/2006/main" id="43" name="TblBoardPack" displayName="TblBoardPack" ref="A1:F11" headerRowCount="1">
  <x:tableColumns count="6">
    <x:tableColumn id="1" name="Order"/>
    <x:tableColumn id="2" name="Section"/>
    <x:tableColumn id="3" name="Source Module"/>
    <x:tableColumn id="4" name="Contents"/>
    <x:tableColumn id="5" name="Audience"/>
    <x:tableColumn id="6" name="Requirement"/>
  </x:tableColumns>
  <x:tableStyleInfo name="TableStyleMedium2" showRowStripes="1"/>
</x:table>
</file>

<file path=xl/tables/table44.xml><?xml version="1.0" encoding="utf-8"?>
<x:table xmlns:x="http://schemas.openxmlformats.org/spreadsheetml/2006/main" id="44" name="TblValidationRules" displayName="TblValidationRules" ref="A1:F11" headerRowCount="1">
  <x:tableColumns count="6">
    <x:tableColumn id="1" name="Rule ID"/>
    <x:tableColumn id="2" name="Domain"/>
    <x:tableColumn id="3" name="Field / Object"/>
    <x:tableColumn id="4" name="Rule"/>
    <x:tableColumn id="5" name="Severity"/>
    <x:tableColumn id="6" name="Control Type"/>
  </x:tableColumns>
  <x:tableStyleInfo name="TableStyleMedium2" showRowStripes="1"/>
</x:table>
</file>

<file path=xl/tables/table45.xml><?xml version="1.0" encoding="utf-8"?>
<x:table xmlns:x="http://schemas.openxmlformats.org/spreadsheetml/2006/main" id="45" name="TblModelDocumentation" displayName="TblModelDocumentation" ref="A1:B9" headerRowCount="1">
  <x:tableColumns count="2">
    <x:tableColumn id="1" name="Item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cf7efe72c04b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e32b55b3f64c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26ffd0345349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7ebe5eb95a941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10dba72cf0649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af30637eb664b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4e76c8a09b94f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6fdf379073941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58719cfb7a3474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d165937463540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46f86f7ae0c401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59d8cdd887844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72501203afd41b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edede1d345d42e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29a56af6c8641d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2ee09c0d58d54d5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579293b41d42404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b04711ef30ea48c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1a092039adfe4a1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d154214fa61d424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321cad9d68ff457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331c5a340dca431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35ae1a5b998e48a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f5ef088310de430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b9ab0354ba03427e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408cb595c7514a13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605d799c2be14e8a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cbabaad7ad19418a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8c3bb32602604a48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da490fac09f741f4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3f34aee1204a4fe2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a6f59f865a20436e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c2ca59f51ac04ee0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14fc0dab55c145f2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fcad5045b499457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4035fe7eff0b4c87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7eca42df272e47c6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bcb4c072bea54e30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e54cc8067511462d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68bc71a039754ed2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d934d40ad8c64b62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3b087da680be4ace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848340f6e07049b0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1eeaadf8bc96408e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874aca5b92a14da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6" t="str">
        <x:v>Thông số</x:v>
      </x:c>
      <x:c r="B1" s="6" t="str">
        <x:v>Giá trị</x:v>
      </x:c>
    </x:row>
    <x:row r="2">
      <x:c r="A2" s="12" t="str">
        <x:v>Tên hệ thống</x:v>
      </x:c>
      <x:c r="B2" s="12" t="str">
        <x:v>HTA Enterprise Executive Operating System (HTA-EOS)</x:v>
      </x:c>
    </x:row>
    <x:row r="3">
      <x:c r="A3" s="12" t="str">
        <x:v>Doanh nghiệp mô phỏng</x:v>
      </x:c>
      <x:c r="B3" s="12" t="str">
        <x:v>Hà Thành Auto</x:v>
      </x:c>
    </x:row>
    <x:row r="4">
      <x:c r="A4" s="12" t="str">
        <x:v>Kỳ báo cáo</x:v>
      </x:c>
      <x:c r="B4" s="12" t="str">
        <x:v>Tháng 7/2026</x:v>
      </x:c>
    </x:row>
    <x:row r="5">
      <x:c r="A5" s="12" t="str">
        <x:v>Đơn vị tiền tệ</x:v>
      </x:c>
      <x:c r="B5" s="12" t="str">
        <x:v>Tỷ đồng</x:v>
      </x:c>
    </x:row>
    <x:row r="6">
      <x:c r="A6" s="12" t="str">
        <x:v>Nguyên tắc dữ liệu</x:v>
      </x:c>
      <x:c r="B6" s="12" t="str">
        <x:v>Toàn bộ số liệu kinh doanh, tài chính và vận hành là giả định minh họa</x:v>
      </x:c>
    </x:row>
    <x:row r="7">
      <x:c r="A7" s="12" t="str">
        <x:v>Nguồn tham khảo cấu trúc</x:v>
      </x:c>
      <x:c r="B7" s="12" t="str">
        <x:v>https://hathanh-auto.com.vn/gioi-thieu</x:v>
      </x:c>
    </x:row>
    <x:row r="8">
      <x:c r="A8" s="12" t="str">
        <x:v>Tầm nhìn công khai</x:v>
      </x:c>
      <x:c r="B8" s="12" t="str">
        <x:v>Hệ thống phân phối ô tô đa thương hiệu dẫn đầu tại Việt Nam</x:v>
      </x:c>
    </x:row>
    <x:row r="9">
      <x:c r="A9" s="12" t="str">
        <x:v>Sứ mệnh công khai</x:v>
      </x:c>
      <x:c r="B9" s="12" t="str">
        <x:v>Chuẩn hóa hệ thống 3S/4S, chuyển đổi số và lấy khách hàng làm trung tâm</x:v>
      </x:c>
    </x:row>
    <x:row r="10">
      <x:c r="A10" s="12" t="str">
        <x:v>Tác giả mô hình</x:v>
      </x:c>
      <x:c r="B10" s="12" t="str">
        <x:v>Le Hoang Quan</x:v>
      </x:c>
    </x:row>
  </x:sheetData>
  <x:pageMargins left="0.7" right="0.7" top="0.75" bottom="0.75" header="0.3" footer="0.3"/>
  <x:tableParts count="1">
    <x:tablePart xmlns:r="http://schemas.openxmlformats.org/officeDocument/2006/relationships" r:id="Rc4cf7efe72c04b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0" hidden="0" customWidth="1"/>
    <x:col min="4" max="4" width="16" hidden="0" customWidth="1"/>
    <x:col min="5" max="5" width="12" hidden="0" customWidth="1"/>
    <x:col min="6" max="6" width="16" hidden="0" customWidth="1"/>
  </x:cols>
  <x:sheetData>
    <x:row r="1">
      <x:c r="A1" s="6" t="str">
        <x:v>Mã đại lý</x:v>
      </x:c>
      <x:c r="B1" s="6" t="str">
        <x:v>Tên đại lý</x:v>
      </x:c>
      <x:c r="C1" s="6" t="str">
        <x:v>Thương hiệu</x:v>
      </x:c>
      <x:c r="D1" s="6" t="str">
        <x:v>Địa bàn</x:v>
      </x:c>
      <x:c r="E1" s="6" t="str">
        <x:v>Mô hình</x:v>
      </x:c>
      <x:c r="F1" s="6" t="str">
        <x:v>Trạng thái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str">
        <x:v>Hà Nội</x:v>
      </x:c>
      <x:c r="E2" s="12" t="str">
        <x:v>3S</x:v>
      </x:c>
      <x:c r="F2" s="12" t="str">
        <x:v>Hoạt động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str">
        <x:v>Hà Nội</x:v>
      </x:c>
      <x:c r="E3" s="12" t="str">
        <x:v>3S</x:v>
      </x:c>
      <x:c r="F3" s="12" t="str">
        <x:v>Hoạt động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str">
        <x:v>Hà Nội</x:v>
      </x:c>
      <x:c r="E4" s="12" t="str">
        <x:v>3S</x:v>
      </x:c>
      <x:c r="F4" s="12" t="str">
        <x:v>Hoạt động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str">
        <x:v>Phú Thọ</x:v>
      </x:c>
      <x:c r="E5" s="12" t="str">
        <x:v>3S</x:v>
      </x:c>
      <x:c r="F5" s="12" t="str">
        <x:v>Hoạt động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str">
        <x:v>Hà Nội</x:v>
      </x:c>
      <x:c r="E6" s="12" t="str">
        <x:v>3S</x:v>
      </x:c>
      <x:c r="F6" s="12" t="str">
        <x:v>Hoạt động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str">
        <x:v>Hà Nội</x:v>
      </x:c>
      <x:c r="E7" s="12" t="str">
        <x:v>1S</x:v>
      </x:c>
      <x:c r="F7" s="12" t="str">
        <x:v>Hoạt động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str">
        <x:v>Hà Nội</x:v>
      </x:c>
      <x:c r="E8" s="12" t="str">
        <x:v>3S</x:v>
      </x:c>
      <x:c r="F8" s="12" t="str">
        <x:v>Hoạt động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str">
        <x:v>Hà Nội</x:v>
      </x:c>
      <x:c r="E9" s="12" t="str">
        <x:v>3S</x:v>
      </x:c>
      <x:c r="F9" s="12" t="str">
        <x:v>Hoạt động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str">
        <x:v>Hà Nội</x:v>
      </x:c>
      <x:c r="E10" s="12" t="str">
        <x:v>3S</x:v>
      </x:c>
      <x:c r="F10" s="12" t="str">
        <x:v>Hoạt động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str">
        <x:v>Hà Nội</x:v>
      </x:c>
      <x:c r="E11" s="12" t="str">
        <x:v>3S</x:v>
      </x:c>
      <x:c r="F11" s="12" t="str">
        <x:v>Hoạt động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str">
        <x:v>Hà Nội</x:v>
      </x:c>
      <x:c r="E12" s="12" t="str">
        <x:v>3S</x:v>
      </x:c>
      <x:c r="F12" s="12" t="str">
        <x:v>Hoạt động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str">
        <x:v>Hà Nội</x:v>
      </x:c>
      <x:c r="E13" s="12" t="str">
        <x:v>3S</x:v>
      </x:c>
      <x:c r="F13" s="12" t="str">
        <x:v>Hoạt động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str">
        <x:v>Ninh Bình</x:v>
      </x:c>
      <x:c r="E14" s="12" t="str">
        <x:v>3S</x:v>
      </x:c>
      <x:c r="F14" s="12" t="str">
        <x:v>Hoạt động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str">
        <x:v>Hà Nội</x:v>
      </x:c>
      <x:c r="E15" s="12" t="str">
        <x:v>3S</x:v>
      </x:c>
      <x:c r="F15" s="12" t="str">
        <x:v>Hoạt động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str">
        <x:v>Hà Nội</x:v>
      </x:c>
      <x:c r="E16" s="12" t="str">
        <x:v>3S</x:v>
      </x:c>
      <x:c r="F16" s="12" t="str">
        <x:v>Hoạt động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str">
        <x:v>Hà Nội</x:v>
      </x:c>
      <x:c r="E17" s="12" t="str">
        <x:v>3S</x:v>
      </x:c>
      <x:c r="F17" s="12" t="str">
        <x:v>Hoạt động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str">
        <x:v>Hà Nội</x:v>
      </x:c>
      <x:c r="E18" s="12" t="str">
        <x:v>3S</x:v>
      </x:c>
      <x:c r="F18" s="12" t="str">
        <x:v>Hoạt động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str">
        <x:v>Hà Nội</x:v>
      </x:c>
      <x:c r="E19" s="12" t="str">
        <x:v>3S</x:v>
      </x:c>
      <x:c r="F19" s="12" t="str">
        <x:v>Hoạt động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str">
        <x:v>Phú Thọ</x:v>
      </x:c>
      <x:c r="E20" s="12" t="str">
        <x:v>3S</x:v>
      </x:c>
      <x:c r="F20" s="12" t="str">
        <x:v>Hoạt động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str">
        <x:v>Hà Nội</x:v>
      </x:c>
      <x:c r="E21" s="12" t="str">
        <x:v>3S</x:v>
      </x:c>
      <x:c r="F21" s="12" t="str">
        <x:v>Hoạt động</x:v>
      </x:c>
    </x:row>
  </x:sheetData>
  <x:pageMargins left="0.7" right="0.7" top="0.75" bottom="0.75" header="0.3" footer="0.3"/>
  <x:tableParts count="1">
    <x:tablePart xmlns:r="http://schemas.openxmlformats.org/officeDocument/2006/relationships" r:id="Rc6e32b55b3f64c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16" hidden="0" customWidth="1"/>
    <x:col min="5" max="5" width="38" hidden="0" customWidth="1"/>
  </x:cols>
  <x:sheetData>
    <x:row r="1">
      <x:c r="A1" s="6" t="str">
        <x:v>Mã thương hiệu</x:v>
      </x:c>
      <x:c r="B1" s="6" t="str">
        <x:v>Thương hiệu</x:v>
      </x:c>
      <x:c r="C1" s="6" t="str">
        <x:v>Định vị mô phỏng</x:v>
      </x:c>
      <x:c r="D1" s="6" t="str">
        <x:v>Nhóm động lực</x:v>
      </x:c>
      <x:c r="E1" s="6" t="str">
        <x:v>Mục tiêu chiến lược 2026</x:v>
      </x:c>
    </x:row>
    <x:row r="2">
      <x:c r="A2" s="12" t="str">
        <x:v>BR-FOR</x:v>
      </x:c>
      <x:c r="B2" s="12" t="str">
        <x:v>Ford</x:v>
      </x:c>
      <x:c r="C2" s="12" t="str">
        <x:v>Xe bán tải/SUV chủ lực</x:v>
      </x:c>
      <x:c r="D2" s="12" t="str">
        <x:v>ICE</x:v>
      </x:c>
      <x:c r="E2" s="12" t="str">
        <x:v>Duy trì biên lợi nhuận và thị phần</x:v>
      </x:c>
    </x:row>
    <x:row r="3">
      <x:c r="A3" s="12" t="str">
        <x:v>BR-VF</x:v>
      </x:c>
      <x:c r="B3" s="12" t="str">
        <x:v>VinFast</x:v>
      </x:c>
      <x:c r="C3" s="12" t="str">
        <x:v>Xe điện phổ thông đến cao cấp</x:v>
      </x:c>
      <x:c r="D3" s="12" t="str">
        <x:v>EV</x:v>
      </x:c>
      <x:c r="E3" s="12" t="str">
        <x:v>Mở rộng quy mô và hệ sinh thái xanh</x:v>
      </x:c>
    </x:row>
    <x:row r="4">
      <x:c r="A4" s="12" t="str">
        <x:v>BR-BYD</x:v>
      </x:c>
      <x:c r="B4" s="12" t="str">
        <x:v>BYD</x:v>
      </x:c>
      <x:c r="C4" s="12" t="str">
        <x:v>Xe điện/hybrid công nghệ</x:v>
      </x:c>
      <x:c r="D4" s="12" t="str">
        <x:v>EV/Hybrid</x:v>
      </x:c>
      <x:c r="E4" s="12" t="str">
        <x:v>Tăng nhận diện và độ phủ</x:v>
      </x:c>
    </x:row>
    <x:row r="5">
      <x:c r="A5" s="12" t="str">
        <x:v>BR-OJ</x:v>
      </x:c>
      <x:c r="B5" s="12" t="str">
        <x:v>OMODA &amp; JAECOO</x:v>
      </x:c>
      <x:c r="C5" s="12" t="str">
        <x:v>SUV thời trang/công nghệ</x:v>
      </x:c>
      <x:c r="D5" s="12" t="str">
        <x:v>ICE/Hybrid</x:v>
      </x:c>
      <x:c r="E5" s="12" t="str">
        <x:v>Xây dựng thị trường mới</x:v>
      </x:c>
    </x:row>
    <x:row r="6">
      <x:c r="A6" s="12" t="str">
        <x:v>BR-WUL</x:v>
      </x:c>
      <x:c r="B6" s="12" t="str">
        <x:v>Wuling</x:v>
      </x:c>
      <x:c r="C6" s="12" t="str">
        <x:v>EV đô thị giá dễ tiếp cận</x:v>
      </x:c>
      <x:c r="D6" s="12" t="str">
        <x:v>EV</x:v>
      </x:c>
      <x:c r="E6" s="12" t="str">
        <x:v>Tăng độ phủ phân khúc đô thị</x:v>
      </x:c>
    </x:row>
  </x:sheetData>
  <x:pageMargins left="0.7" right="0.7" top="0.75" bottom="0.75" header="0.3" footer="0.3"/>
  <x:tableParts count="1">
    <x:tablePart xmlns:r="http://schemas.openxmlformats.org/officeDocument/2006/relationships" r:id="Ra326ffd0345349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26" hidden="0" customWidth="1"/>
    <x:col min="5" max="5" width="18" hidden="0" customWidth="1"/>
  </x:cols>
  <x:sheetData>
    <x:row r="1">
      <x:c r="A1" s="6" t="str">
        <x:v>Mã mẫu xe</x:v>
      </x:c>
      <x:c r="B1" s="6" t="str">
        <x:v>Thương hiệu</x:v>
      </x:c>
      <x:c r="C1" s="6" t="str">
        <x:v>Mẫu xe</x:v>
      </x:c>
      <x:c r="D1" s="6" t="str">
        <x:v>Giá tham chiếu giả định (triệu)</x:v>
      </x:c>
      <x:c r="E1" s="6" t="str">
        <x:v>Trạng thái</x:v>
      </x:c>
    </x:row>
    <x:row r="2">
      <x:c r="A2" s="12" t="str">
        <x:v>FO-01</x:v>
      </x:c>
      <x:c r="B2" s="12" t="str">
        <x:v>Ford</x:v>
      </x:c>
      <x:c r="C2" s="12" t="str">
        <x:v>Ranger</x:v>
      </x:c>
      <x:c r="D2" s="12" t="n">
        <x:v>755</x:v>
      </x:c>
      <x:c r="E2" s="12" t="str">
        <x:v>Đang kinh doanh</x:v>
      </x:c>
    </x:row>
    <x:row r="3">
      <x:c r="A3" s="12" t="str">
        <x:v>FO-02</x:v>
      </x:c>
      <x:c r="B3" s="12" t="str">
        <x:v>Ford</x:v>
      </x:c>
      <x:c r="C3" s="12" t="str">
        <x:v>Everest</x:v>
      </x:c>
      <x:c r="D3" s="12" t="n">
        <x:v>1120</x:v>
      </x:c>
      <x:c r="E3" s="12" t="str">
        <x:v>Đang kinh doanh</x:v>
      </x:c>
    </x:row>
    <x:row r="4">
      <x:c r="A4" s="12" t="str">
        <x:v>FO-03</x:v>
      </x:c>
      <x:c r="B4" s="12" t="str">
        <x:v>Ford</x:v>
      </x:c>
      <x:c r="C4" s="12" t="str">
        <x:v>Territory</x:v>
      </x:c>
      <x:c r="D4" s="12" t="n">
        <x:v>820</x:v>
      </x:c>
      <x:c r="E4" s="12" t="str">
        <x:v>Đang kinh doanh</x:v>
      </x:c>
    </x:row>
    <x:row r="5">
      <x:c r="A5" s="12" t="str">
        <x:v>FO-04</x:v>
      </x:c>
      <x:c r="B5" s="12" t="str">
        <x:v>Ford</x:v>
      </x:c>
      <x:c r="C5" s="12" t="str">
        <x:v>Explorer</x:v>
      </x:c>
      <x:c r="D5" s="12" t="n">
        <x:v>2100</x:v>
      </x:c>
      <x:c r="E5" s="12" t="str">
        <x:v>Đang kinh doanh</x:v>
      </x:c>
    </x:row>
    <x:row r="6">
      <x:c r="A6" s="12" t="str">
        <x:v>VI-01</x:v>
      </x:c>
      <x:c r="B6" s="12" t="str">
        <x:v>VinFast</x:v>
      </x:c>
      <x:c r="C6" s="12" t="str">
        <x:v>VF 3</x:v>
      </x:c>
      <x:c r="D6" s="12" t="n">
        <x:v>315</x:v>
      </x:c>
      <x:c r="E6" s="12" t="str">
        <x:v>Đang kinh doanh</x:v>
      </x:c>
    </x:row>
    <x:row r="7">
      <x:c r="A7" s="12" t="str">
        <x:v>VI-02</x:v>
      </x:c>
      <x:c r="B7" s="12" t="str">
        <x:v>VinFast</x:v>
      </x:c>
      <x:c r="C7" s="12" t="str">
        <x:v>VF 5</x:v>
      </x:c>
      <x:c r="D7" s="12" t="n">
        <x:v>529</x:v>
      </x:c>
      <x:c r="E7" s="12" t="str">
        <x:v>Đang kinh doanh</x:v>
      </x:c>
    </x:row>
    <x:row r="8">
      <x:c r="A8" s="12" t="str">
        <x:v>VI-03</x:v>
      </x:c>
      <x:c r="B8" s="12" t="str">
        <x:v>VinFast</x:v>
      </x:c>
      <x:c r="C8" s="12" t="str">
        <x:v>VF 6</x:v>
      </x:c>
      <x:c r="D8" s="12" t="n">
        <x:v>689</x:v>
      </x:c>
      <x:c r="E8" s="12" t="str">
        <x:v>Đang kinh doanh</x:v>
      </x:c>
    </x:row>
    <x:row r="9">
      <x:c r="A9" s="12" t="str">
        <x:v>VI-04</x:v>
      </x:c>
      <x:c r="B9" s="12" t="str">
        <x:v>VinFast</x:v>
      </x:c>
      <x:c r="C9" s="12" t="str">
        <x:v>VF 7</x:v>
      </x:c>
      <x:c r="D9" s="12" t="n">
        <x:v>850</x:v>
      </x:c>
      <x:c r="E9" s="12" t="str">
        <x:v>Đang kinh doanh</x:v>
      </x:c>
    </x:row>
    <x:row r="10">
      <x:c r="A10" s="12" t="str">
        <x:v>VI-05</x:v>
      </x:c>
      <x:c r="B10" s="12" t="str">
        <x:v>VinFast</x:v>
      </x:c>
      <x:c r="C10" s="12" t="str">
        <x:v>VF 8</x:v>
      </x:c>
      <x:c r="D10" s="12" t="n">
        <x:v>1019</x:v>
      </x:c>
      <x:c r="E10" s="12" t="str">
        <x:v>Đang kinh doanh</x:v>
      </x:c>
    </x:row>
    <x:row r="11">
      <x:c r="A11" s="12" t="str">
        <x:v>VI-06</x:v>
      </x:c>
      <x:c r="B11" s="12" t="str">
        <x:v>VinFast</x:v>
      </x:c>
      <x:c r="C11" s="12" t="str">
        <x:v>VF 9</x:v>
      </x:c>
      <x:c r="D11" s="12" t="n">
        <x:v>1499</x:v>
      </x:c>
      <x:c r="E11" s="12" t="str">
        <x:v>Đang kinh doanh</x:v>
      </x:c>
    </x:row>
    <x:row r="12">
      <x:c r="A12" s="12" t="str">
        <x:v>BY-01</x:v>
      </x:c>
      <x:c r="B12" s="12" t="str">
        <x:v>BYD</x:v>
      </x:c>
      <x:c r="C12" s="12" t="str">
        <x:v>Dolphin</x:v>
      </x:c>
      <x:c r="D12" s="12" t="n">
        <x:v>659</x:v>
      </x:c>
      <x:c r="E12" s="12" t="str">
        <x:v>Đang kinh doanh</x:v>
      </x:c>
    </x:row>
    <x:row r="13">
      <x:c r="A13" s="12" t="str">
        <x:v>BY-02</x:v>
      </x:c>
      <x:c r="B13" s="12" t="str">
        <x:v>BYD</x:v>
      </x:c>
      <x:c r="C13" s="12" t="str">
        <x:v>Atto 3</x:v>
      </x:c>
      <x:c r="D13" s="12" t="n">
        <x:v>766</x:v>
      </x:c>
      <x:c r="E13" s="12" t="str">
        <x:v>Đang kinh doanh</x:v>
      </x:c>
    </x:row>
    <x:row r="14">
      <x:c r="A14" s="12" t="str">
        <x:v>BY-03</x:v>
      </x:c>
      <x:c r="B14" s="12" t="str">
        <x:v>BYD</x:v>
      </x:c>
      <x:c r="C14" s="12" t="str">
        <x:v>Seal</x:v>
      </x:c>
      <x:c r="D14" s="12" t="n">
        <x:v>1119</x:v>
      </x:c>
      <x:c r="E14" s="12" t="str">
        <x:v>Đang kinh doanh</x:v>
      </x:c>
    </x:row>
    <x:row r="15">
      <x:c r="A15" s="12" t="str">
        <x:v>BY-04</x:v>
      </x:c>
      <x:c r="B15" s="12" t="str">
        <x:v>BYD</x:v>
      </x:c>
      <x:c r="C15" s="12" t="str">
        <x:v>M6</x:v>
      </x:c>
      <x:c r="D15" s="12" t="n">
        <x:v>756</x:v>
      </x:c>
      <x:c r="E15" s="12" t="str">
        <x:v>Đang kinh doanh</x:v>
      </x:c>
    </x:row>
    <x:row r="16">
      <x:c r="A16" s="12" t="str">
        <x:v>OM-01</x:v>
      </x:c>
      <x:c r="B16" s="12" t="str">
        <x:v>OMODA &amp; JAECOO</x:v>
      </x:c>
      <x:c r="C16" s="12" t="str">
        <x:v>OMODA C5</x:v>
      </x:c>
      <x:c r="D16" s="12" t="n">
        <x:v>589</x:v>
      </x:c>
      <x:c r="E16" s="12" t="str">
        <x:v>Đang kinh doanh</x:v>
      </x:c>
    </x:row>
    <x:row r="17">
      <x:c r="A17" s="12" t="str">
        <x:v>OM-02</x:v>
      </x:c>
      <x:c r="B17" s="12" t="str">
        <x:v>OMODA &amp; JAECOO</x:v>
      </x:c>
      <x:c r="C17" s="12" t="str">
        <x:v>JAECOO J7</x:v>
      </x:c>
      <x:c r="D17" s="12" t="n">
        <x:v>799</x:v>
      </x:c>
      <x:c r="E17" s="12" t="str">
        <x:v>Đang kinh doanh</x:v>
      </x:c>
    </x:row>
    <x:row r="18">
      <x:c r="A18" s="12" t="str">
        <x:v>WU-01</x:v>
      </x:c>
      <x:c r="B18" s="12" t="str">
        <x:v>Wuling</x:v>
      </x:c>
      <x:c r="C18" s="12" t="str">
        <x:v>Mini EV</x:v>
      </x:c>
      <x:c r="D18" s="12" t="n">
        <x:v>197</x:v>
      </x:c>
      <x:c r="E18" s="12" t="str">
        <x:v>Đang kinh doanh</x:v>
      </x:c>
    </x:row>
    <x:row r="19">
      <x:c r="A19" s="12" t="str">
        <x:v>WU-02</x:v>
      </x:c>
      <x:c r="B19" s="12" t="str">
        <x:v>Wuling</x:v>
      </x:c>
      <x:c r="C19" s="12" t="str">
        <x:v>Bingo</x:v>
      </x:c>
      <x:c r="D19" s="12" t="n">
        <x:v>399</x:v>
      </x:c>
      <x:c r="E19" s="12" t="str">
        <x:v>Đang kinh doanh</x:v>
      </x:c>
    </x:row>
  </x:sheetData>
  <x:pageMargins left="0.7" right="0.7" top="0.75" bottom="0.75" header="0.3" footer="0.3"/>
  <x:tableParts count="1">
    <x:tablePart xmlns:r="http://schemas.openxmlformats.org/officeDocument/2006/relationships" r:id="Rf7ebe5eb95a9418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34" hidden="0" customWidth="1"/>
    <x:col min="5" max="5" width="20" hidden="0" customWidth="1"/>
    <x:col min="6" max="6" width="20" hidden="0" customWidth="1"/>
    <x:col min="7" max="7" width="12" hidden="0" customWidth="1"/>
    <x:col min="8" max="8" width="18" hidden="0" customWidth="1"/>
    <x:col min="9" max="9" width="16" hidden="0" customWidth="1"/>
    <x:col min="10" max="10" width="16" hidden="0" customWidth="1"/>
    <x:col min="11" max="11" width="15" hidden="0" customWidth="1"/>
    <x:col min="12" max="12" width="18" hidden="0" customWidth="1"/>
    <x:col min="13" max="13" width="14" hidden="0" customWidth="1"/>
  </x:cols>
  <x:sheetData>
    <x:row r="1">
      <x:c r="A1" s="6" t="str">
        <x:v>Mã giao dịch</x:v>
      </x:c>
      <x:c r="B1" s="6" t="str">
        <x:v>Tháng</x:v>
      </x:c>
      <x:c r="C1" s="6" t="str">
        <x:v>Mã đại lý</x:v>
      </x:c>
      <x:c r="D1" s="6" t="str">
        <x:v>Đại lý</x:v>
      </x:c>
      <x:c r="E1" s="6" t="str">
        <x:v>Thương hiệu</x:v>
      </x:c>
      <x:c r="F1" s="6" t="str">
        <x:v>Mẫu xe</x:v>
      </x:c>
      <x:c r="G1" s="6" t="str">
        <x:v>Số xe bán</x:v>
      </x:c>
      <x:c r="H1" s="6" t="str">
        <x:v>Giá bán TB (triệu)</x:v>
      </x:c>
      <x:c r="I1" s="6" t="str">
        <x:v>Doanh thu (tỷ)</x:v>
      </x:c>
      <x:c r="J1" s="6" t="str">
        <x:v>Tỷ lệ chiết khấu</x:v>
      </x:c>
      <x:c r="K1" s="6" t="str">
        <x:v>Giá vốn (tỷ)</x:v>
      </x:c>
      <x:c r="L1" s="6" t="str">
        <x:v>Lợi nhuận gộp (tỷ)</x:v>
      </x:c>
      <x:c r="M1" s="6" t="str">
        <x:v>Biên LN gộp</x:v>
      </x:c>
    </x:row>
    <x:row r="2">
      <x:c r="A2" s="12" t="str">
        <x:v>SALE-00001</x:v>
      </x:c>
      <x:c r="B2" s="14" t="n">
        <x:v>46023</x:v>
      </x:c>
      <x:c r="C2" s="12" t="str">
        <x:v>DLR-001</x:v>
      </x:c>
      <x:c r="D2" s="12" t="str">
        <x:v>Hà Thành Ford</x:v>
      </x:c>
      <x:c r="E2" s="12" t="str">
        <x:v>Ford</x:v>
      </x:c>
      <x:c r="F2" s="12" t="str">
        <x:v>Ranger</x:v>
      </x:c>
      <x:c r="G2" s="12" t="n">
        <x:v>5</x:v>
      </x:c>
      <x:c r="H2" s="12" t="n">
        <x:v>726.3</x:v>
      </x:c>
      <x:c r="I2" s="12" t="n">
        <x:v>3.63</x:v>
      </x:c>
      <x:c r="J2" s="16" t="n">
        <x:v>0.023928429525952907</x:v>
      </x:c>
      <x:c r="K2" s="12" t="n">
        <x:v>3.36</x:v>
      </x:c>
      <x:c r="L2" s="12" t="n">
        <x:f>I2-K2</x:f>
        <x:v>0.27</x:v>
      </x:c>
      <x:c r="M2" s="16" t="n">
        <x:f>IFERROR(L2/I2,0)</x:f>
        <x:v>0.0743801652892562</x:v>
      </x:c>
    </x:row>
    <x:row r="3">
      <x:c r="A3" s="12" t="str">
        <x:v>SALE-00002</x:v>
      </x:c>
      <x:c r="B3" s="14" t="n">
        <x:v>46023</x:v>
      </x:c>
      <x:c r="C3" s="12" t="str">
        <x:v>DLR-001</x:v>
      </x:c>
      <x:c r="D3" s="12" t="str">
        <x:v>Hà Thành Ford</x:v>
      </x:c>
      <x:c r="E3" s="12" t="str">
        <x:v>Ford</x:v>
      </x:c>
      <x:c r="F3" s="12" t="str">
        <x:v>Everest</x:v>
      </x:c>
      <x:c r="G3" s="12" t="n">
        <x:v>8</x:v>
      </x:c>
      <x:c r="H3" s="12" t="n">
        <x:v>1132.7</x:v>
      </x:c>
      <x:c r="I3" s="12" t="n">
        <x:v>9.06</x:v>
      </x:c>
      <x:c r="J3" s="16" t="n">
        <x:v>0.018477553305176645</x:v>
      </x:c>
      <x:c r="K3" s="12" t="n">
        <x:v>8.2</x:v>
      </x:c>
      <x:c r="L3" s="12" t="n">
        <x:f>I3-K3</x:f>
        <x:v>0.8600000000000012</x:v>
      </x:c>
      <x:c r="M3" s="16" t="n">
        <x:f>IFERROR(L3/I3,0)</x:f>
        <x:v>0.09492273730684339</x:v>
      </x:c>
    </x:row>
    <x:row r="4">
      <x:c r="A4" s="12" t="str">
        <x:v>SALE-00003</x:v>
      </x:c>
      <x:c r="B4" s="14" t="n">
        <x:v>46023</x:v>
      </x:c>
      <x:c r="C4" s="12" t="str">
        <x:v>DLR-001</x:v>
      </x:c>
      <x:c r="D4" s="12" t="str">
        <x:v>Hà Thành Ford</x:v>
      </x:c>
      <x:c r="E4" s="12" t="str">
        <x:v>Ford</x:v>
      </x:c>
      <x:c r="F4" s="12" t="str">
        <x:v>Territory</x:v>
      </x:c>
      <x:c r="G4" s="12" t="n">
        <x:v>5</x:v>
      </x:c>
      <x:c r="H4" s="12" t="n">
        <x:v>785.1</x:v>
      </x:c>
      <x:c r="I4" s="12" t="n">
        <x:v>3.93</x:v>
      </x:c>
      <x:c r="J4" s="16" t="n">
        <x:v>0.035214211524134495</x:v>
      </x:c>
      <x:c r="K4" s="12" t="n">
        <x:v>3.46</x:v>
      </x:c>
      <x:c r="L4" s="12" t="n">
        <x:f>I4-K4</x:f>
        <x:v>0.4700000000000002</x:v>
      </x:c>
      <x:c r="M4" s="16" t="n">
        <x:f>IFERROR(L4/I4,0)</x:f>
        <x:v>0.1195928753180662</x:v>
      </x:c>
    </x:row>
    <x:row r="5">
      <x:c r="A5" s="12" t="str">
        <x:v>SALE-00004</x:v>
      </x:c>
      <x:c r="B5" s="14" t="n">
        <x:v>46023</x:v>
      </x:c>
      <x:c r="C5" s="12" t="str">
        <x:v>DLR-001</x:v>
      </x:c>
      <x:c r="D5" s="12" t="str">
        <x:v>Hà Thành Ford</x:v>
      </x:c>
      <x:c r="E5" s="12" t="str">
        <x:v>Ford</x:v>
      </x:c>
      <x:c r="F5" s="12" t="str">
        <x:v>Explorer</x:v>
      </x:c>
      <x:c r="G5" s="12" t="n">
        <x:v>6</x:v>
      </x:c>
      <x:c r="H5" s="12" t="n">
        <x:v>2083.2</x:v>
      </x:c>
      <x:c r="I5" s="12" t="n">
        <x:v>12.5</x:v>
      </x:c>
      <x:c r="J5" s="16" t="n">
        <x:v>0.03679765922412867</x:v>
      </x:c>
      <x:c r="K5" s="12" t="n">
        <x:v>11.16</x:v>
      </x:c>
      <x:c r="L5" s="12" t="n">
        <x:f>I5-K5</x:f>
        <x:v>1.3399999999999999</x:v>
      </x:c>
      <x:c r="M5" s="16" t="n">
        <x:f>IFERROR(L5/I5,0)</x:f>
        <x:v>0.10719999999999999</x:v>
      </x:c>
    </x:row>
    <x:row r="6">
      <x:c r="A6" s="12" t="str">
        <x:v>SALE-00005</x:v>
      </x:c>
      <x:c r="B6" s="14" t="n">
        <x:v>46054</x:v>
      </x:c>
      <x:c r="C6" s="12" t="str">
        <x:v>DLR-001</x:v>
      </x:c>
      <x:c r="D6" s="12" t="str">
        <x:v>Hà Thành Ford</x:v>
      </x:c>
      <x:c r="E6" s="12" t="str">
        <x:v>Ford</x:v>
      </x:c>
      <x:c r="F6" s="12" t="str">
        <x:v>Ranger</x:v>
      </x:c>
      <x:c r="G6" s="12" t="n">
        <x:v>8</x:v>
      </x:c>
      <x:c r="H6" s="12" t="n">
        <x:v>758.6</x:v>
      </x:c>
      <x:c r="I6" s="12" t="n">
        <x:v>6.07</x:v>
      </x:c>
      <x:c r="J6" s="16" t="n">
        <x:v>0.01525995038712244</x:v>
      </x:c>
      <x:c r="K6" s="12" t="n">
        <x:v>5.63</x:v>
      </x:c>
      <x:c r="L6" s="12" t="n">
        <x:f>I6-K6</x:f>
        <x:v>0.4400000000000004</x:v>
      </x:c>
      <x:c r="M6" s="16" t="n">
        <x:f>IFERROR(L6/I6,0)</x:f>
        <x:v>0.07248764415156514</x:v>
      </x:c>
    </x:row>
    <x:row r="7">
      <x:c r="A7" s="12" t="str">
        <x:v>SALE-00006</x:v>
      </x:c>
      <x:c r="B7" s="14" t="n">
        <x:v>46054</x:v>
      </x:c>
      <x:c r="C7" s="12" t="str">
        <x:v>DLR-001</x:v>
      </x:c>
      <x:c r="D7" s="12" t="str">
        <x:v>Hà Thành Ford</x:v>
      </x:c>
      <x:c r="E7" s="12" t="str">
        <x:v>Ford</x:v>
      </x:c>
      <x:c r="F7" s="12" t="str">
        <x:v>Everest</x:v>
      </x:c>
      <x:c r="G7" s="12" t="n">
        <x:v>9</x:v>
      </x:c>
      <x:c r="H7" s="12" t="n">
        <x:v>1083.3</x:v>
      </x:c>
      <x:c r="I7" s="12" t="n">
        <x:v>9.75</x:v>
      </x:c>
      <x:c r="J7" s="16" t="n">
        <x:v>0.021219179992471263</x:v>
      </x:c>
      <x:c r="K7" s="12" t="n">
        <x:v>9.14</x:v>
      </x:c>
      <x:c r="L7" s="12" t="n">
        <x:f>I7-K7</x:f>
        <x:v>0.6099999999999994</x:v>
      </x:c>
      <x:c r="M7" s="16" t="n">
        <x:f>IFERROR(L7/I7,0)</x:f>
        <x:v>0.06256410256410251</x:v>
      </x:c>
    </x:row>
    <x:row r="8">
      <x:c r="A8" s="12" t="str">
        <x:v>SALE-00007</x:v>
      </x:c>
      <x:c r="B8" s="14" t="n">
        <x:v>46054</x:v>
      </x:c>
      <x:c r="C8" s="12" t="str">
        <x:v>DLR-001</x:v>
      </x:c>
      <x:c r="D8" s="12" t="str">
        <x:v>Hà Thành Ford</x:v>
      </x:c>
      <x:c r="E8" s="12" t="str">
        <x:v>Ford</x:v>
      </x:c>
      <x:c r="F8" s="12" t="str">
        <x:v>Territory</x:v>
      </x:c>
      <x:c r="G8" s="12" t="n">
        <x:v>7</x:v>
      </x:c>
      <x:c r="H8" s="12" t="n">
        <x:v>776.9</x:v>
      </x:c>
      <x:c r="I8" s="12" t="n">
        <x:v>5.44</x:v>
      </x:c>
      <x:c r="J8" s="16" t="n">
        <x:v>0.01886865507333856</x:v>
      </x:c>
      <x:c r="K8" s="12" t="n">
        <x:v>5.06</x:v>
      </x:c>
      <x:c r="L8" s="12" t="n">
        <x:f>I8-K8</x:f>
        <x:v>0.3800000000000008</x:v>
      </x:c>
      <x:c r="M8" s="16" t="n">
        <x:f>IFERROR(L8/I8,0)</x:f>
        <x:v>0.06985294117647073</x:v>
      </x:c>
    </x:row>
    <x:row r="9">
      <x:c r="A9" s="12" t="str">
        <x:v>SALE-00008</x:v>
      </x:c>
      <x:c r="B9" s="14" t="n">
        <x:v>46054</x:v>
      </x:c>
      <x:c r="C9" s="12" t="str">
        <x:v>DLR-001</x:v>
      </x:c>
      <x:c r="D9" s="12" t="str">
        <x:v>Hà Thành Ford</x:v>
      </x:c>
      <x:c r="E9" s="12" t="str">
        <x:v>Ford</x:v>
      </x:c>
      <x:c r="F9" s="12" t="str">
        <x:v>Explorer</x:v>
      </x:c>
      <x:c r="G9" s="12" t="n">
        <x:v>8</x:v>
      </x:c>
      <x:c r="H9" s="12" t="n">
        <x:v>2109.6</x:v>
      </x:c>
      <x:c r="I9" s="12" t="n">
        <x:v>16.88</x:v>
      </x:c>
      <x:c r="J9" s="16" t="n">
        <x:v>0.044189271467752714</x:v>
      </x:c>
      <x:c r="K9" s="12" t="n">
        <x:v>15.39</x:v>
      </x:c>
      <x:c r="L9" s="12" t="n">
        <x:f>I9-K9</x:f>
        <x:v>1.4899999999999984</x:v>
      </x:c>
      <x:c r="M9" s="16" t="n">
        <x:f>IFERROR(L9/I9,0)</x:f>
        <x:v>0.0882701421800947</x:v>
      </x:c>
    </x:row>
    <x:row r="10">
      <x:c r="A10" s="12" t="str">
        <x:v>SALE-00009</x:v>
      </x:c>
      <x:c r="B10" s="14" t="n">
        <x:v>46082</x:v>
      </x:c>
      <x:c r="C10" s="12" t="str">
        <x:v>DLR-001</x:v>
      </x:c>
      <x:c r="D10" s="12" t="str">
        <x:v>Hà Thành Ford</x:v>
      </x:c>
      <x:c r="E10" s="12" t="str">
        <x:v>Ford</x:v>
      </x:c>
      <x:c r="F10" s="12" t="str">
        <x:v>Ranger</x:v>
      </x:c>
      <x:c r="G10" s="12" t="n">
        <x:v>11</x:v>
      </x:c>
      <x:c r="H10" s="12" t="n">
        <x:v>732.6</x:v>
      </x:c>
      <x:c r="I10" s="12" t="n">
        <x:v>8.06</x:v>
      </x:c>
      <x:c r="J10" s="16" t="n">
        <x:v>0.037081625250929076</x:v>
      </x:c>
      <x:c r="K10" s="12" t="n">
        <x:v>7.49</x:v>
      </x:c>
      <x:c r="L10" s="12" t="n">
        <x:f>I10-K10</x:f>
        <x:v>0.5700000000000003</x:v>
      </x:c>
      <x:c r="M10" s="16" t="n">
        <x:f>IFERROR(L10/I10,0)</x:f>
        <x:v>0.07071960297766752</x:v>
      </x:c>
    </x:row>
    <x:row r="11">
      <x:c r="A11" s="12" t="str">
        <x:v>SALE-00010</x:v>
      </x:c>
      <x:c r="B11" s="14" t="n">
        <x:v>46082</x:v>
      </x:c>
      <x:c r="C11" s="12" t="str">
        <x:v>DLR-001</x:v>
      </x:c>
      <x:c r="D11" s="12" t="str">
        <x:v>Hà Thành Ford</x:v>
      </x:c>
      <x:c r="E11" s="12" t="str">
        <x:v>Ford</x:v>
      </x:c>
      <x:c r="F11" s="12" t="str">
        <x:v>Everest</x:v>
      </x:c>
      <x:c r="G11" s="12" t="n">
        <x:v>9</x:v>
      </x:c>
      <x:c r="H11" s="12" t="n">
        <x:v>1130</x:v>
      </x:c>
      <x:c r="I11" s="12" t="n">
        <x:v>10.17</x:v>
      </x:c>
      <x:c r="J11" s="16" t="n">
        <x:v>0.03809408581027048</x:v>
      </x:c>
      <x:c r="K11" s="12" t="n">
        <x:v>9.38</x:v>
      </x:c>
      <x:c r="L11" s="12" t="n">
        <x:f>I11-K11</x:f>
        <x:v>0.7899999999999991</x:v>
      </x:c>
      <x:c r="M11" s="16" t="n">
        <x:f>IFERROR(L11/I11,0)</x:f>
        <x:v>0.07767944936086521</x:v>
      </x:c>
    </x:row>
    <x:row r="12">
      <x:c r="A12" s="12" t="str">
        <x:v>SALE-00011</x:v>
      </x:c>
      <x:c r="B12" s="14" t="n">
        <x:v>46082</x:v>
      </x:c>
      <x:c r="C12" s="12" t="str">
        <x:v>DLR-001</x:v>
      </x:c>
      <x:c r="D12" s="12" t="str">
        <x:v>Hà Thành Ford</x:v>
      </x:c>
      <x:c r="E12" s="12" t="str">
        <x:v>Ford</x:v>
      </x:c>
      <x:c r="F12" s="12" t="str">
        <x:v>Territory</x:v>
      </x:c>
      <x:c r="G12" s="12" t="n">
        <x:v>5</x:v>
      </x:c>
      <x:c r="H12" s="12" t="n">
        <x:v>785.8</x:v>
      </x:c>
      <x:c r="I12" s="12" t="n">
        <x:v>3.93</x:v>
      </x:c>
      <x:c r="J12" s="16" t="n">
        <x:v>0.026575518544084284</x:v>
      </x:c>
      <x:c r="K12" s="12" t="n">
        <x:v>3.48</x:v>
      </x:c>
      <x:c r="L12" s="12" t="n">
        <x:f>I12-K12</x:f>
        <x:v>0.4500000000000002</x:v>
      </x:c>
      <x:c r="M12" s="16" t="n">
        <x:f>IFERROR(L12/I12,0)</x:f>
        <x:v>0.11450381679389317</x:v>
      </x:c>
    </x:row>
    <x:row r="13">
      <x:c r="A13" s="12" t="str">
        <x:v>SALE-00012</x:v>
      </x:c>
      <x:c r="B13" s="14" t="n">
        <x:v>46082</x:v>
      </x:c>
      <x:c r="C13" s="12" t="str">
        <x:v>DLR-001</x:v>
      </x:c>
      <x:c r="D13" s="12" t="str">
        <x:v>Hà Thành Ford</x:v>
      </x:c>
      <x:c r="E13" s="12" t="str">
        <x:v>Ford</x:v>
      </x:c>
      <x:c r="F13" s="12" t="str">
        <x:v>Explorer</x:v>
      </x:c>
      <x:c r="G13" s="12" t="n">
        <x:v>6</x:v>
      </x:c>
      <x:c r="H13" s="12" t="n">
        <x:v>1991</x:v>
      </x:c>
      <x:c r="I13" s="12" t="n">
        <x:v>11.95</x:v>
      </x:c>
      <x:c r="J13" s="16" t="n">
        <x:v>0.026118944124403687</x:v>
      </x:c>
      <x:c r="K13" s="12" t="n">
        <x:v>10.97</x:v>
      </x:c>
      <x:c r="L13" s="12" t="n">
        <x:f>I13-K13</x:f>
        <x:v>0.9799999999999986</x:v>
      </x:c>
      <x:c r="M13" s="16" t="n">
        <x:f>IFERROR(L13/I13,0)</x:f>
        <x:v>0.0820083682008367</x:v>
      </x:c>
    </x:row>
    <x:row r="14">
      <x:c r="A14" s="12" t="str">
        <x:v>SALE-00013</x:v>
      </x:c>
      <x:c r="B14" s="14" t="n">
        <x:v>46113</x:v>
      </x:c>
      <x:c r="C14" s="12" t="str">
        <x:v>DLR-001</x:v>
      </x:c>
      <x:c r="D14" s="12" t="str">
        <x:v>Hà Thành Ford</x:v>
      </x:c>
      <x:c r="E14" s="12" t="str">
        <x:v>Ford</x:v>
      </x:c>
      <x:c r="F14" s="12" t="str">
        <x:v>Ranger</x:v>
      </x:c>
      <x:c r="G14" s="12" t="n">
        <x:v>7</x:v>
      </x:c>
      <x:c r="H14" s="12" t="n">
        <x:v>732.1</x:v>
      </x:c>
      <x:c r="I14" s="12" t="n">
        <x:v>5.12</x:v>
      </x:c>
      <x:c r="J14" s="16" t="n">
        <x:v>0.023380281230859508</x:v>
      </x:c>
      <x:c r="K14" s="12" t="n">
        <x:v>4.59</x:v>
      </x:c>
      <x:c r="L14" s="12" t="n">
        <x:f>I14-K14</x:f>
        <x:v>0.5300000000000002</x:v>
      </x:c>
      <x:c r="M14" s="16" t="n">
        <x:f>IFERROR(L14/I14,0)</x:f>
        <x:v>0.10351562500000004</x:v>
      </x:c>
    </x:row>
    <x:row r="15">
      <x:c r="A15" s="12" t="str">
        <x:v>SALE-00014</x:v>
      </x:c>
      <x:c r="B15" s="14" t="n">
        <x:v>46113</x:v>
      </x:c>
      <x:c r="C15" s="12" t="str">
        <x:v>DLR-001</x:v>
      </x:c>
      <x:c r="D15" s="12" t="str">
        <x:v>Hà Thành Ford</x:v>
      </x:c>
      <x:c r="E15" s="12" t="str">
        <x:v>Ford</x:v>
      </x:c>
      <x:c r="F15" s="12" t="str">
        <x:v>Everest</x:v>
      </x:c>
      <x:c r="G15" s="12" t="n">
        <x:v>11</x:v>
      </x:c>
      <x:c r="H15" s="12" t="n">
        <x:v>1110.9</x:v>
      </x:c>
      <x:c r="I15" s="12" t="n">
        <x:v>12.22</x:v>
      </x:c>
      <x:c r="J15" s="16" t="n">
        <x:v>0.03936524022667953</x:v>
      </x:c>
      <x:c r="K15" s="12" t="n">
        <x:v>10.88</x:v>
      </x:c>
      <x:c r="L15" s="12" t="n">
        <x:f>I15-K15</x:f>
        <x:v>1.3399999999999999</x:v>
      </x:c>
      <x:c r="M15" s="16" t="n">
        <x:f>IFERROR(L15/I15,0)</x:f>
        <x:v>0.10965630114566283</x:v>
      </x:c>
    </x:row>
    <x:row r="16">
      <x:c r="A16" s="12" t="str">
        <x:v>SALE-00015</x:v>
      </x:c>
      <x:c r="B16" s="14" t="n">
        <x:v>46113</x:v>
      </x:c>
      <x:c r="C16" s="12" t="str">
        <x:v>DLR-001</x:v>
      </x:c>
      <x:c r="D16" s="12" t="str">
        <x:v>Hà Thành Ford</x:v>
      </x:c>
      <x:c r="E16" s="12" t="str">
        <x:v>Ford</x:v>
      </x:c>
      <x:c r="F16" s="12" t="str">
        <x:v>Territory</x:v>
      </x:c>
      <x:c r="G16" s="12" t="n">
        <x:v>10</x:v>
      </x:c>
      <x:c r="H16" s="12" t="n">
        <x:v>781.5</x:v>
      </x:c>
      <x:c r="I16" s="12" t="n">
        <x:v>7.82</x:v>
      </x:c>
      <x:c r="J16" s="16" t="n">
        <x:v>0.03017821767030591</x:v>
      </x:c>
      <x:c r="K16" s="12" t="n">
        <x:v>7.34</x:v>
      </x:c>
      <x:c r="L16" s="12" t="n">
        <x:f>I16-K16</x:f>
        <x:v>0.4800000000000004</x:v>
      </x:c>
      <x:c r="M16" s="16" t="n">
        <x:f>IFERROR(L16/I16,0)</x:f>
        <x:v>0.061381074168798004</x:v>
      </x:c>
    </x:row>
    <x:row r="17">
      <x:c r="A17" s="12" t="str">
        <x:v>SALE-00016</x:v>
      </x:c>
      <x:c r="B17" s="14" t="n">
        <x:v>46113</x:v>
      </x:c>
      <x:c r="C17" s="12" t="str">
        <x:v>DLR-001</x:v>
      </x:c>
      <x:c r="D17" s="12" t="str">
        <x:v>Hà Thành Ford</x:v>
      </x:c>
      <x:c r="E17" s="12" t="str">
        <x:v>Ford</x:v>
      </x:c>
      <x:c r="F17" s="12" t="str">
        <x:v>Explorer</x:v>
      </x:c>
      <x:c r="G17" s="12" t="n">
        <x:v>9</x:v>
      </x:c>
      <x:c r="H17" s="12" t="n">
        <x:v>2067.6</x:v>
      </x:c>
      <x:c r="I17" s="12" t="n">
        <x:v>18.61</x:v>
      </x:c>
      <x:c r="J17" s="16" t="n">
        <x:v>0.04238457003959498</x:v>
      </x:c>
      <x:c r="K17" s="12" t="n">
        <x:v>17.32</x:v>
      </x:c>
      <x:c r="L17" s="12" t="n">
        <x:f>I17-K17</x:f>
        <x:v>1.2899999999999991</x:v>
      </x:c>
      <x:c r="M17" s="16" t="n">
        <x:f>IFERROR(L17/I17,0)</x:f>
        <x:v>0.06931757119828046</x:v>
      </x:c>
    </x:row>
    <x:row r="18">
      <x:c r="A18" s="12" t="str">
        <x:v>SALE-00017</x:v>
      </x:c>
      <x:c r="B18" s="14" t="n">
        <x:v>46143</x:v>
      </x:c>
      <x:c r="C18" s="12" t="str">
        <x:v>DLR-001</x:v>
      </x:c>
      <x:c r="D18" s="12" t="str">
        <x:v>Hà Thành Ford</x:v>
      </x:c>
      <x:c r="E18" s="12" t="str">
        <x:v>Ford</x:v>
      </x:c>
      <x:c r="F18" s="12" t="str">
        <x:v>Ranger</x:v>
      </x:c>
      <x:c r="G18" s="12" t="n">
        <x:v>10</x:v>
      </x:c>
      <x:c r="H18" s="12" t="n">
        <x:v>723.5</x:v>
      </x:c>
      <x:c r="I18" s="12" t="n">
        <x:v>7.24</x:v>
      </x:c>
      <x:c r="J18" s="16" t="n">
        <x:v>0.01628400975616151</x:v>
      </x:c>
      <x:c r="K18" s="12" t="n">
        <x:v>6.5</x:v>
      </x:c>
      <x:c r="L18" s="12" t="n">
        <x:f>I18-K18</x:f>
        <x:v>0.7400000000000002</x:v>
      </x:c>
      <x:c r="M18" s="16" t="n">
        <x:f>IFERROR(L18/I18,0)</x:f>
        <x:v>0.10220994475138125</x:v>
      </x:c>
    </x:row>
    <x:row r="19">
      <x:c r="A19" s="12" t="str">
        <x:v>SALE-00018</x:v>
      </x:c>
      <x:c r="B19" s="14" t="n">
        <x:v>46143</x:v>
      </x:c>
      <x:c r="C19" s="12" t="str">
        <x:v>DLR-001</x:v>
      </x:c>
      <x:c r="D19" s="12" t="str">
        <x:v>Hà Thành Ford</x:v>
      </x:c>
      <x:c r="E19" s="12" t="str">
        <x:v>Ford</x:v>
      </x:c>
      <x:c r="F19" s="12" t="str">
        <x:v>Everest</x:v>
      </x:c>
      <x:c r="G19" s="12" t="n">
        <x:v>7</x:v>
      </x:c>
      <x:c r="H19" s="12" t="n">
        <x:v>1071.7</x:v>
      </x:c>
      <x:c r="I19" s="12" t="n">
        <x:v>7.5</x:v>
      </x:c>
      <x:c r="J19" s="16" t="n">
        <x:v>0.052716388573402176</x:v>
      </x:c>
      <x:c r="K19" s="12" t="n">
        <x:v>7</x:v>
      </x:c>
      <x:c r="L19" s="12" t="n">
        <x:f>I19-K19</x:f>
        <x:v>0.5</x:v>
      </x:c>
      <x:c r="M19" s="16" t="n">
        <x:f>IFERROR(L19/I19,0)</x:f>
        <x:v>0.06666666666666667</x:v>
      </x:c>
    </x:row>
    <x:row r="20">
      <x:c r="A20" s="12" t="str">
        <x:v>SALE-00019</x:v>
      </x:c>
      <x:c r="B20" s="14" t="n">
        <x:v>46143</x:v>
      </x:c>
      <x:c r="C20" s="12" t="str">
        <x:v>DLR-001</x:v>
      </x:c>
      <x:c r="D20" s="12" t="str">
        <x:v>Hà Thành Ford</x:v>
      </x:c>
      <x:c r="E20" s="12" t="str">
        <x:v>Ford</x:v>
      </x:c>
      <x:c r="F20" s="12" t="str">
        <x:v>Territory</x:v>
      </x:c>
      <x:c r="G20" s="12" t="n">
        <x:v>7</x:v>
      </x:c>
      <x:c r="H20" s="12" t="n">
        <x:v>813.8</x:v>
      </x:c>
      <x:c r="I20" s="12" t="n">
        <x:v>5.7</x:v>
      </x:c>
      <x:c r="J20" s="16" t="n">
        <x:v>0.03082527604242657</x:v>
      </x:c>
      <x:c r="K20" s="12" t="n">
        <x:v>5.33</x:v>
      </x:c>
      <x:c r="L20" s="12" t="n">
        <x:f>I20-K20</x:f>
        <x:v>0.3700000000000001</x:v>
      </x:c>
      <x:c r="M20" s="16" t="n">
        <x:f>IFERROR(L20/I20,0)</x:f>
        <x:v>0.06491228070175441</x:v>
      </x:c>
    </x:row>
    <x:row r="21">
      <x:c r="A21" s="12" t="str">
        <x:v>SALE-00020</x:v>
      </x:c>
      <x:c r="B21" s="14" t="n">
        <x:v>46143</x:v>
      </x:c>
      <x:c r="C21" s="12" t="str">
        <x:v>DLR-001</x:v>
      </x:c>
      <x:c r="D21" s="12" t="str">
        <x:v>Hà Thành Ford</x:v>
      </x:c>
      <x:c r="E21" s="12" t="str">
        <x:v>Ford</x:v>
      </x:c>
      <x:c r="F21" s="12" t="str">
        <x:v>Explorer</x:v>
      </x:c>
      <x:c r="G21" s="12" t="n">
        <x:v>8</x:v>
      </x:c>
      <x:c r="H21" s="12" t="n">
        <x:v>2018.5</x:v>
      </x:c>
      <x:c r="I21" s="12" t="n">
        <x:v>16.15</x:v>
      </x:c>
      <x:c r="J21" s="16" t="n">
        <x:v>0.02486510030775934</x:v>
      </x:c>
      <x:c r="K21" s="12" t="n">
        <x:v>14.75</x:v>
      </x:c>
      <x:c r="L21" s="12" t="n">
        <x:f>I21-K21</x:f>
        <x:v>1.3999999999999986</x:v>
      </x:c>
      <x:c r="M21" s="16" t="n">
        <x:f>IFERROR(L21/I21,0)</x:f>
        <x:v>0.0866873065015479</x:v>
      </x:c>
    </x:row>
    <x:row r="22">
      <x:c r="A22" s="12" t="str">
        <x:v>SALE-00021</x:v>
      </x:c>
      <x:c r="B22" s="14" t="n">
        <x:v>46174</x:v>
      </x:c>
      <x:c r="C22" s="12" t="str">
        <x:v>DLR-001</x:v>
      </x:c>
      <x:c r="D22" s="12" t="str">
        <x:v>Hà Thành Ford</x:v>
      </x:c>
      <x:c r="E22" s="12" t="str">
        <x:v>Ford</x:v>
      </x:c>
      <x:c r="F22" s="12" t="str">
        <x:v>Ranger</x:v>
      </x:c>
      <x:c r="G22" s="12" t="n">
        <x:v>7</x:v>
      </x:c>
      <x:c r="H22" s="12" t="n">
        <x:v>745</x:v>
      </x:c>
      <x:c r="I22" s="12" t="n">
        <x:v>5.22</x:v>
      </x:c>
      <x:c r="J22" s="16" t="n">
        <x:v>0.05091291534409908</x:v>
      </x:c>
      <x:c r="K22" s="12" t="n">
        <x:v>4.71</x:v>
      </x:c>
      <x:c r="L22" s="12" t="n">
        <x:f>I22-K22</x:f>
        <x:v>0.5099999999999998</x:v>
      </x:c>
      <x:c r="M22" s="16" t="n">
        <x:f>IFERROR(L22/I22,0)</x:f>
        <x:v>0.09770114942528732</x:v>
      </x:c>
    </x:row>
    <x:row r="23">
      <x:c r="A23" s="12" t="str">
        <x:v>SALE-00022</x:v>
      </x:c>
      <x:c r="B23" s="14" t="n">
        <x:v>46174</x:v>
      </x:c>
      <x:c r="C23" s="12" t="str">
        <x:v>DLR-001</x:v>
      </x:c>
      <x:c r="D23" s="12" t="str">
        <x:v>Hà Thành Ford</x:v>
      </x:c>
      <x:c r="E23" s="12" t="str">
        <x:v>Ford</x:v>
      </x:c>
      <x:c r="F23" s="12" t="str">
        <x:v>Everest</x:v>
      </x:c>
      <x:c r="G23" s="12" t="n">
        <x:v>7</x:v>
      </x:c>
      <x:c r="H23" s="12" t="n">
        <x:v>1142.2</x:v>
      </x:c>
      <x:c r="I23" s="12" t="n">
        <x:v>8</x:v>
      </x:c>
      <x:c r="J23" s="16" t="n">
        <x:v>0.03538105174705858</x:v>
      </x:c>
      <x:c r="K23" s="12" t="n">
        <x:v>7.08</x:v>
      </x:c>
      <x:c r="L23" s="12" t="n">
        <x:f>I23-K23</x:f>
        <x:v>0.9199999999999999</x:v>
      </x:c>
      <x:c r="M23" s="16" t="n">
        <x:f>IFERROR(L23/I23,0)</x:f>
        <x:v>0.11499999999999999</x:v>
      </x:c>
    </x:row>
    <x:row r="24">
      <x:c r="A24" s="12" t="str">
        <x:v>SALE-00023</x:v>
      </x:c>
      <x:c r="B24" s="14" t="n">
        <x:v>46174</x:v>
      </x:c>
      <x:c r="C24" s="12" t="str">
        <x:v>DLR-001</x:v>
      </x:c>
      <x:c r="D24" s="12" t="str">
        <x:v>Hà Thành Ford</x:v>
      </x:c>
      <x:c r="E24" s="12" t="str">
        <x:v>Ford</x:v>
      </x:c>
      <x:c r="F24" s="12" t="str">
        <x:v>Territory</x:v>
      </x:c>
      <x:c r="G24" s="12" t="n">
        <x:v>6</x:v>
      </x:c>
      <x:c r="H24" s="12" t="n">
        <x:v>778</x:v>
      </x:c>
      <x:c r="I24" s="12" t="n">
        <x:v>4.67</x:v>
      </x:c>
      <x:c r="J24" s="16" t="n">
        <x:v>0.0400978416681236</x:v>
      </x:c>
      <x:c r="K24" s="12" t="n">
        <x:v>4.33</x:v>
      </x:c>
      <x:c r="L24" s="12" t="n">
        <x:f>I24-K24</x:f>
        <x:v>0.33999999999999986</x:v>
      </x:c>
      <x:c r="M24" s="16" t="n">
        <x:f>IFERROR(L24/I24,0)</x:f>
        <x:v>0.07280513918629547</x:v>
      </x:c>
    </x:row>
    <x:row r="25">
      <x:c r="A25" s="12" t="str">
        <x:v>SALE-00024</x:v>
      </x:c>
      <x:c r="B25" s="14" t="n">
        <x:v>46174</x:v>
      </x:c>
      <x:c r="C25" s="12" t="str">
        <x:v>DLR-001</x:v>
      </x:c>
      <x:c r="D25" s="12" t="str">
        <x:v>Hà Thành Ford</x:v>
      </x:c>
      <x:c r="E25" s="12" t="str">
        <x:v>Ford</x:v>
      </x:c>
      <x:c r="F25" s="12" t="str">
        <x:v>Explorer</x:v>
      </x:c>
      <x:c r="G25" s="12" t="n">
        <x:v>8</x:v>
      </x:c>
      <x:c r="H25" s="12" t="n">
        <x:v>1984.7</x:v>
      </x:c>
      <x:c r="I25" s="12" t="n">
        <x:v>15.88</x:v>
      </x:c>
      <x:c r="J25" s="16" t="n">
        <x:v>0.03026477146026147</x:v>
      </x:c>
      <x:c r="K25" s="12" t="n">
        <x:v>14.92</x:v>
      </x:c>
      <x:c r="L25" s="12" t="n">
        <x:f>I25-K25</x:f>
        <x:v>0.9600000000000009</x:v>
      </x:c>
      <x:c r="M25" s="16" t="n">
        <x:f>IFERROR(L25/I25,0)</x:f>
        <x:v>0.06045340050377839</x:v>
      </x:c>
    </x:row>
    <x:row r="26">
      <x:c r="A26" s="12" t="str">
        <x:v>SALE-00025</x:v>
      </x:c>
      <x:c r="B26" s="14" t="n">
        <x:v>46204</x:v>
      </x:c>
      <x:c r="C26" s="12" t="str">
        <x:v>DLR-001</x:v>
      </x:c>
      <x:c r="D26" s="12" t="str">
        <x:v>Hà Thành Ford</x:v>
      </x:c>
      <x:c r="E26" s="12" t="str">
        <x:v>Ford</x:v>
      </x:c>
      <x:c r="F26" s="12" t="str">
        <x:v>Ranger</x:v>
      </x:c>
      <x:c r="G26" s="12" t="n">
        <x:v>9</x:v>
      </x:c>
      <x:c r="H26" s="12" t="n">
        <x:v>768.4</x:v>
      </x:c>
      <x:c r="I26" s="12" t="n">
        <x:v>6.92</x:v>
      </x:c>
      <x:c r="J26" s="16" t="n">
        <x:v>0.04943118808937992</x:v>
      </x:c>
      <x:c r="K26" s="12" t="n">
        <x:v>6.09</x:v>
      </x:c>
      <x:c r="L26" s="12" t="n">
        <x:f>I26-K26</x:f>
        <x:v>0.8300000000000001</x:v>
      </x:c>
      <x:c r="M26" s="16" t="n">
        <x:f>IFERROR(L26/I26,0)</x:f>
        <x:v>0.11994219653179192</x:v>
      </x:c>
    </x:row>
    <x:row r="27">
      <x:c r="A27" s="12" t="str">
        <x:v>SALE-00026</x:v>
      </x:c>
      <x:c r="B27" s="14" t="n">
        <x:v>46204</x:v>
      </x:c>
      <x:c r="C27" s="12" t="str">
        <x:v>DLR-001</x:v>
      </x:c>
      <x:c r="D27" s="12" t="str">
        <x:v>Hà Thành Ford</x:v>
      </x:c>
      <x:c r="E27" s="12" t="str">
        <x:v>Ford</x:v>
      </x:c>
      <x:c r="F27" s="12" t="str">
        <x:v>Everest</x:v>
      </x:c>
      <x:c r="G27" s="12" t="n">
        <x:v>11</x:v>
      </x:c>
      <x:c r="H27" s="12" t="n">
        <x:v>1113.9</x:v>
      </x:c>
      <x:c r="I27" s="12" t="n">
        <x:v>12.25</x:v>
      </x:c>
      <x:c r="J27" s="16" t="n">
        <x:v>0.03647881321635181</x:v>
      </x:c>
      <x:c r="K27" s="12" t="n">
        <x:v>10.98</x:v>
      </x:c>
      <x:c r="L27" s="12" t="n">
        <x:f>I27-K27</x:f>
        <x:v>1.2699999999999996</x:v>
      </x:c>
      <x:c r="M27" s="16" t="n">
        <x:f>IFERROR(L27/I27,0)</x:f>
        <x:v>0.10367346938775507</x:v>
      </x:c>
    </x:row>
    <x:row r="28">
      <x:c r="A28" s="12" t="str">
        <x:v>SALE-00027</x:v>
      </x:c>
      <x:c r="B28" s="14" t="n">
        <x:v>46204</x:v>
      </x:c>
      <x:c r="C28" s="12" t="str">
        <x:v>DLR-001</x:v>
      </x:c>
      <x:c r="D28" s="12" t="str">
        <x:v>Hà Thành Ford</x:v>
      </x:c>
      <x:c r="E28" s="12" t="str">
        <x:v>Ford</x:v>
      </x:c>
      <x:c r="F28" s="12" t="str">
        <x:v>Territory</x:v>
      </x:c>
      <x:c r="G28" s="12" t="n">
        <x:v>10</x:v>
      </x:c>
      <x:c r="H28" s="12" t="n">
        <x:v>778.1</x:v>
      </x:c>
      <x:c r="I28" s="12" t="n">
        <x:v>7.78</x:v>
      </x:c>
      <x:c r="J28" s="16" t="n">
        <x:v>0.0323906100267642</x:v>
      </x:c>
      <x:c r="K28" s="12" t="n">
        <x:v>7.06</x:v>
      </x:c>
      <x:c r="L28" s="12" t="n">
        <x:f>I28-K28</x:f>
        <x:v>0.7200000000000006</x:v>
      </x:c>
      <x:c r="M28" s="16" t="n">
        <x:f>IFERROR(L28/I28,0)</x:f>
        <x:v>0.09254498714652964</x:v>
      </x:c>
    </x:row>
    <x:row r="29">
      <x:c r="A29" s="12" t="str">
        <x:v>SALE-00028</x:v>
      </x:c>
      <x:c r="B29" s="14" t="n">
        <x:v>46204</x:v>
      </x:c>
      <x:c r="C29" s="12" t="str">
        <x:v>DLR-001</x:v>
      </x:c>
      <x:c r="D29" s="12" t="str">
        <x:v>Hà Thành Ford</x:v>
      </x:c>
      <x:c r="E29" s="12" t="str">
        <x:v>Ford</x:v>
      </x:c>
      <x:c r="F29" s="12" t="str">
        <x:v>Explorer</x:v>
      </x:c>
      <x:c r="G29" s="12" t="n">
        <x:v>12</x:v>
      </x:c>
      <x:c r="H29" s="12" t="n">
        <x:v>2121.1</x:v>
      </x:c>
      <x:c r="I29" s="12" t="n">
        <x:v>25.45</x:v>
      </x:c>
      <x:c r="J29" s="16" t="n">
        <x:v>0.025535562030043632</x:v>
      </x:c>
      <x:c r="K29" s="12" t="n">
        <x:v>23.16</x:v>
      </x:c>
      <x:c r="L29" s="12" t="n">
        <x:f>I29-K29</x:f>
        <x:v>2.289999999999999</x:v>
      </x:c>
      <x:c r="M29" s="16" t="n">
        <x:f>IFERROR(L29/I29,0)</x:f>
        <x:v>0.08998035363457757</x:v>
      </x:c>
    </x:row>
    <x:row r="30">
      <x:c r="A30" s="12" t="str">
        <x:v>SALE-00029</x:v>
      </x:c>
      <x:c r="B30" s="14" t="n">
        <x:v>46023</x:v>
      </x:c>
      <x:c r="C30" s="12" t="str">
        <x:v>DLR-002</x:v>
      </x:c>
      <x:c r="D30" s="12" t="str">
        <x:v>Hà Thành Ford - Mỹ Đình</x:v>
      </x:c>
      <x:c r="E30" s="12" t="str">
        <x:v>Ford</x:v>
      </x:c>
      <x:c r="F30" s="12" t="str">
        <x:v>Ranger</x:v>
      </x:c>
      <x:c r="G30" s="12" t="n">
        <x:v>7</x:v>
      </x:c>
      <x:c r="H30" s="12" t="n">
        <x:v>762.3</x:v>
      </x:c>
      <x:c r="I30" s="12" t="n">
        <x:v>5.34</x:v>
      </x:c>
      <x:c r="J30" s="16" t="n">
        <x:v>0.026937791657945315</x:v>
      </x:c>
      <x:c r="K30" s="12" t="n">
        <x:v>4.9</x:v>
      </x:c>
      <x:c r="L30" s="12" t="n">
        <x:f>I30-K30</x:f>
        <x:v>0.4399999999999995</x:v>
      </x:c>
      <x:c r="M30" s="16" t="n">
        <x:f>IFERROR(L30/I30,0)</x:f>
        <x:v>0.08239700374531826</x:v>
      </x:c>
    </x:row>
    <x:row r="31">
      <x:c r="A31" s="12" t="str">
        <x:v>SALE-00030</x:v>
      </x:c>
      <x:c r="B31" s="14" t="n">
        <x:v>46023</x:v>
      </x:c>
      <x:c r="C31" s="12" t="str">
        <x:v>DLR-002</x:v>
      </x:c>
      <x:c r="D31" s="12" t="str">
        <x:v>Hà Thành Ford - Mỹ Đình</x:v>
      </x:c>
      <x:c r="E31" s="12" t="str">
        <x:v>Ford</x:v>
      </x:c>
      <x:c r="F31" s="12" t="str">
        <x:v>Everest</x:v>
      </x:c>
      <x:c r="G31" s="12" t="n">
        <x:v>6</x:v>
      </x:c>
      <x:c r="H31" s="12" t="n">
        <x:v>1066.5</x:v>
      </x:c>
      <x:c r="I31" s="12" t="n">
        <x:v>6.4</x:v>
      </x:c>
      <x:c r="J31" s="16" t="n">
        <x:v>0.04550043200300605</x:v>
      </x:c>
      <x:c r="K31" s="12" t="n">
        <x:v>5.84</x:v>
      </x:c>
      <x:c r="L31" s="12" t="n">
        <x:f>I31-K31</x:f>
        <x:v>0.5600000000000005</x:v>
      </x:c>
      <x:c r="M31" s="16" t="n">
        <x:f>IFERROR(L31/I31,0)</x:f>
        <x:v>0.08750000000000008</x:v>
      </x:c>
    </x:row>
    <x:row r="32">
      <x:c r="A32" s="12" t="str">
        <x:v>SALE-00031</x:v>
      </x:c>
      <x:c r="B32" s="14" t="n">
        <x:v>46023</x:v>
      </x:c>
      <x:c r="C32" s="12" t="str">
        <x:v>DLR-002</x:v>
      </x:c>
      <x:c r="D32" s="12" t="str">
        <x:v>Hà Thành Ford - Mỹ Đình</x:v>
      </x:c>
      <x:c r="E32" s="12" t="str">
        <x:v>Ford</x:v>
      </x:c>
      <x:c r="F32" s="12" t="str">
        <x:v>Territory</x:v>
      </x:c>
      <x:c r="G32" s="12" t="n">
        <x:v>6</x:v>
      </x:c>
      <x:c r="H32" s="12" t="n">
        <x:v>805.6</x:v>
      </x:c>
      <x:c r="I32" s="12" t="n">
        <x:v>4.83</x:v>
      </x:c>
      <x:c r="J32" s="16" t="n">
        <x:v>0.01502287584511774</x:v>
      </x:c>
      <x:c r="K32" s="12" t="n">
        <x:v>4.35</x:v>
      </x:c>
      <x:c r="L32" s="12" t="n">
        <x:f>I32-K32</x:f>
        <x:v>0.4800000000000004</x:v>
      </x:c>
      <x:c r="M32" s="16" t="n">
        <x:f>IFERROR(L32/I32,0)</x:f>
        <x:v>0.09937888198757773</x:v>
      </x:c>
    </x:row>
    <x:row r="33">
      <x:c r="A33" s="12" t="str">
        <x:v>SALE-00032</x:v>
      </x:c>
      <x:c r="B33" s="14" t="n">
        <x:v>46023</x:v>
      </x:c>
      <x:c r="C33" s="12" t="str">
        <x:v>DLR-002</x:v>
      </x:c>
      <x:c r="D33" s="12" t="str">
        <x:v>Hà Thành Ford - Mỹ Đình</x:v>
      </x:c>
      <x:c r="E33" s="12" t="str">
        <x:v>Ford</x:v>
      </x:c>
      <x:c r="F33" s="12" t="str">
        <x:v>Explorer</x:v>
      </x:c>
      <x:c r="G33" s="12" t="n">
        <x:v>3</x:v>
      </x:c>
      <x:c r="H33" s="12" t="n">
        <x:v>2130.1</x:v>
      </x:c>
      <x:c r="I33" s="12" t="n">
        <x:v>6.39</x:v>
      </x:c>
      <x:c r="J33" s="16" t="n">
        <x:v>0.05014887511292737</x:v>
      </x:c>
      <x:c r="K33" s="12" t="n">
        <x:v>5.94</x:v>
      </x:c>
      <x:c r="L33" s="12" t="n">
        <x:f>I33-K33</x:f>
        <x:v>0.4499999999999993</x:v>
      </x:c>
      <x:c r="M33" s="16" t="n">
        <x:f>IFERROR(L33/I33,0)</x:f>
        <x:v>0.0704225352112675</x:v>
      </x:c>
    </x:row>
    <x:row r="34">
      <x:c r="A34" s="12" t="str">
        <x:v>SALE-00033</x:v>
      </x:c>
      <x:c r="B34" s="14" t="n">
        <x:v>46054</x:v>
      </x:c>
      <x:c r="C34" s="12" t="str">
        <x:v>DLR-002</x:v>
      </x:c>
      <x:c r="D34" s="12" t="str">
        <x:v>Hà Thành Ford - Mỹ Đình</x:v>
      </x:c>
      <x:c r="E34" s="12" t="str">
        <x:v>Ford</x:v>
      </x:c>
      <x:c r="F34" s="12" t="str">
        <x:v>Ranger</x:v>
      </x:c>
      <x:c r="G34" s="12" t="n">
        <x:v>5</x:v>
      </x:c>
      <x:c r="H34" s="12" t="n">
        <x:v>713.2</x:v>
      </x:c>
      <x:c r="I34" s="12" t="n">
        <x:v>3.57</x:v>
      </x:c>
      <x:c r="J34" s="16" t="n">
        <x:v>0.050120383968161625</x:v>
      </x:c>
      <x:c r="K34" s="12" t="n">
        <x:v>3.34</x:v>
      </x:c>
      <x:c r="L34" s="12" t="n">
        <x:f>I34-K34</x:f>
        <x:v>0.22999999999999998</x:v>
      </x:c>
      <x:c r="M34" s="16" t="n">
        <x:f>IFERROR(L34/I34,0)</x:f>
        <x:v>0.06442577030812324</x:v>
      </x:c>
    </x:row>
    <x:row r="35">
      <x:c r="A35" s="12" t="str">
        <x:v>SALE-00034</x:v>
      </x:c>
      <x:c r="B35" s="14" t="n">
        <x:v>46054</x:v>
      </x:c>
      <x:c r="C35" s="12" t="str">
        <x:v>DLR-002</x:v>
      </x:c>
      <x:c r="D35" s="12" t="str">
        <x:v>Hà Thành Ford - Mỹ Đình</x:v>
      </x:c>
      <x:c r="E35" s="12" t="str">
        <x:v>Ford</x:v>
      </x:c>
      <x:c r="F35" s="12" t="str">
        <x:v>Everest</x:v>
      </x:c>
      <x:c r="G35" s="12" t="n">
        <x:v>4</x:v>
      </x:c>
      <x:c r="H35" s="12" t="n">
        <x:v>1096.3</x:v>
      </x:c>
      <x:c r="I35" s="12" t="n">
        <x:v>4.39</x:v>
      </x:c>
      <x:c r="J35" s="16" t="n">
        <x:v>0.017768500738735343</x:v>
      </x:c>
      <x:c r="K35" s="12" t="n">
        <x:v>4.06</x:v>
      </x:c>
      <x:c r="L35" s="12" t="n">
        <x:f>I35-K35</x:f>
        <x:v>0.33000000000000007</x:v>
      </x:c>
      <x:c r="M35" s="16" t="n">
        <x:f>IFERROR(L35/I35,0)</x:f>
        <x:v>0.07517084282460139</x:v>
      </x:c>
    </x:row>
    <x:row r="36">
      <x:c r="A36" s="12" t="str">
        <x:v>SALE-00035</x:v>
      </x:c>
      <x:c r="B36" s="14" t="n">
        <x:v>46054</x:v>
      </x:c>
      <x:c r="C36" s="12" t="str">
        <x:v>DLR-002</x:v>
      </x:c>
      <x:c r="D36" s="12" t="str">
        <x:v>Hà Thành Ford - Mỹ Đình</x:v>
      </x:c>
      <x:c r="E36" s="12" t="str">
        <x:v>Ford</x:v>
      </x:c>
      <x:c r="F36" s="12" t="str">
        <x:v>Territory</x:v>
      </x:c>
      <x:c r="G36" s="12" t="n">
        <x:v>6</x:v>
      </x:c>
      <x:c r="H36" s="12" t="n">
        <x:v>779.2</x:v>
      </x:c>
      <x:c r="I36" s="12" t="n">
        <x:v>4.68</x:v>
      </x:c>
      <x:c r="J36" s="16" t="n">
        <x:v>0.03401129512394925</x:v>
      </x:c>
      <x:c r="K36" s="12" t="n">
        <x:v>4.27</x:v>
      </x:c>
      <x:c r="L36" s="12" t="n">
        <x:f>I36-K36</x:f>
        <x:v>0.41000000000000014</x:v>
      </x:c>
      <x:c r="M36" s="16" t="n">
        <x:f>IFERROR(L36/I36,0)</x:f>
        <x:v>0.08760683760683764</x:v>
      </x:c>
    </x:row>
    <x:row r="37">
      <x:c r="A37" s="12" t="str">
        <x:v>SALE-00036</x:v>
      </x:c>
      <x:c r="B37" s="14" t="n">
        <x:v>46054</x:v>
      </x:c>
      <x:c r="C37" s="12" t="str">
        <x:v>DLR-002</x:v>
      </x:c>
      <x:c r="D37" s="12" t="str">
        <x:v>Hà Thành Ford - Mỹ Đình</x:v>
      </x:c>
      <x:c r="E37" s="12" t="str">
        <x:v>Ford</x:v>
      </x:c>
      <x:c r="F37" s="12" t="str">
        <x:v>Explorer</x:v>
      </x:c>
      <x:c r="G37" s="12" t="n">
        <x:v>4</x:v>
      </x:c>
      <x:c r="H37" s="12" t="n">
        <x:v>2120.6</x:v>
      </x:c>
      <x:c r="I37" s="12" t="n">
        <x:v>8.48</x:v>
      </x:c>
      <x:c r="J37" s="16" t="n">
        <x:v>0.03192551760803548</x:v>
      </x:c>
      <x:c r="K37" s="12" t="n">
        <x:v>7.57</x:v>
      </x:c>
      <x:c r="L37" s="12" t="n">
        <x:f>I37-K37</x:f>
        <x:v>0.9100000000000001</x:v>
      </x:c>
      <x:c r="M37" s="16" t="n">
        <x:f>IFERROR(L37/I37,0)</x:f>
        <x:v>0.107311320754717</x:v>
      </x:c>
    </x:row>
    <x:row r="38">
      <x:c r="A38" s="12" t="str">
        <x:v>SALE-00037</x:v>
      </x:c>
      <x:c r="B38" s="14" t="n">
        <x:v>46082</x:v>
      </x:c>
      <x:c r="C38" s="12" t="str">
        <x:v>DLR-002</x:v>
      </x:c>
      <x:c r="D38" s="12" t="str">
        <x:v>Hà Thành Ford - Mỹ Đình</x:v>
      </x:c>
      <x:c r="E38" s="12" t="str">
        <x:v>Ford</x:v>
      </x:c>
      <x:c r="F38" s="12" t="str">
        <x:v>Ranger</x:v>
      </x:c>
      <x:c r="G38" s="12" t="n">
        <x:v>6</x:v>
      </x:c>
      <x:c r="H38" s="12" t="n">
        <x:v>753.8</x:v>
      </x:c>
      <x:c r="I38" s="12" t="n">
        <x:v>4.52</x:v>
      </x:c>
      <x:c r="J38" s="16" t="n">
        <x:v>0.023046042535587834</x:v>
      </x:c>
      <x:c r="K38" s="12" t="n">
        <x:v>4.06</x:v>
      </x:c>
      <x:c r="L38" s="12" t="n">
        <x:f>I38-K38</x:f>
        <x:v>0.45999999999999996</x:v>
      </x:c>
      <x:c r="M38" s="16" t="n">
        <x:f>IFERROR(L38/I38,0)</x:f>
        <x:v>0.10176991150442478</x:v>
      </x:c>
    </x:row>
    <x:row r="39">
      <x:c r="A39" s="12" t="str">
        <x:v>SALE-00038</x:v>
      </x:c>
      <x:c r="B39" s="14" t="n">
        <x:v>46082</x:v>
      </x:c>
      <x:c r="C39" s="12" t="str">
        <x:v>DLR-002</x:v>
      </x:c>
      <x:c r="D39" s="12" t="str">
        <x:v>Hà Thành Ford - Mỹ Đình</x:v>
      </x:c>
      <x:c r="E39" s="12" t="str">
        <x:v>Ford</x:v>
      </x:c>
      <x:c r="F39" s="12" t="str">
        <x:v>Everest</x:v>
      </x:c>
      <x:c r="G39" s="12" t="n">
        <x:v>8</x:v>
      </x:c>
      <x:c r="H39" s="12" t="n">
        <x:v>1111</x:v>
      </x:c>
      <x:c r="I39" s="12" t="n">
        <x:v>8.89</x:v>
      </x:c>
      <x:c r="J39" s="16" t="n">
        <x:v>0.032524003356580164</x:v>
      </x:c>
      <x:c r="K39" s="12" t="n">
        <x:v>8.1</x:v>
      </x:c>
      <x:c r="L39" s="12" t="n">
        <x:f>I39-K39</x:f>
        <x:v>0.7900000000000009</x:v>
      </x:c>
      <x:c r="M39" s="16" t="n">
        <x:f>IFERROR(L39/I39,0)</x:f>
        <x:v>0.08886389201349841</x:v>
      </x:c>
    </x:row>
    <x:row r="40">
      <x:c r="A40" s="12" t="str">
        <x:v>SALE-00039</x:v>
      </x:c>
      <x:c r="B40" s="14" t="n">
        <x:v>46082</x:v>
      </x:c>
      <x:c r="C40" s="12" t="str">
        <x:v>DLR-002</x:v>
      </x:c>
      <x:c r="D40" s="12" t="str">
        <x:v>Hà Thành Ford - Mỹ Đình</x:v>
      </x:c>
      <x:c r="E40" s="12" t="str">
        <x:v>Ford</x:v>
      </x:c>
      <x:c r="F40" s="12" t="str">
        <x:v>Territory</x:v>
      </x:c>
      <x:c r="G40" s="12" t="n">
        <x:v>4</x:v>
      </x:c>
      <x:c r="H40" s="12" t="n">
        <x:v>785.5</x:v>
      </x:c>
      <x:c r="I40" s="12" t="n">
        <x:v>3.14</x:v>
      </x:c>
      <x:c r="J40" s="16" t="n">
        <x:v>0.028523422485898214</x:v>
      </x:c>
      <x:c r="K40" s="12" t="n">
        <x:v>2.88</x:v>
      </x:c>
      <x:c r="L40" s="12" t="n">
        <x:f>I40-K40</x:f>
        <x:v>0.26000000000000023</x:v>
      </x:c>
      <x:c r="M40" s="16" t="n">
        <x:f>IFERROR(L40/I40,0)</x:f>
        <x:v>0.0828025477707007</x:v>
      </x:c>
    </x:row>
    <x:row r="41">
      <x:c r="A41" s="12" t="str">
        <x:v>SALE-00040</x:v>
      </x:c>
      <x:c r="B41" s="14" t="n">
        <x:v>46082</x:v>
      </x:c>
      <x:c r="C41" s="12" t="str">
        <x:v>DLR-002</x:v>
      </x:c>
      <x:c r="D41" s="12" t="str">
        <x:v>Hà Thành Ford - Mỹ Đình</x:v>
      </x:c>
      <x:c r="E41" s="12" t="str">
        <x:v>Ford</x:v>
      </x:c>
      <x:c r="F41" s="12" t="str">
        <x:v>Explorer</x:v>
      </x:c>
      <x:c r="G41" s="12" t="n">
        <x:v>4</x:v>
      </x:c>
      <x:c r="H41" s="12" t="n">
        <x:v>2011</x:v>
      </x:c>
      <x:c r="I41" s="12" t="n">
        <x:v>8.04</x:v>
      </x:c>
      <x:c r="J41" s="16" t="n">
        <x:v>0.0178397234403613</x:v>
      </x:c>
      <x:c r="K41" s="12" t="n">
        <x:v>7.38</x:v>
      </x:c>
      <x:c r="L41" s="12" t="n">
        <x:f>I41-K41</x:f>
        <x:v>0.6599999999999993</x:v>
      </x:c>
      <x:c r="M41" s="16" t="n">
        <x:f>IFERROR(L41/I41,0)</x:f>
        <x:v>0.08208955223880589</x:v>
      </x:c>
    </x:row>
    <x:row r="42">
      <x:c r="A42" s="12" t="str">
        <x:v>SALE-00041</x:v>
      </x:c>
      <x:c r="B42" s="14" t="n">
        <x:v>46113</x:v>
      </x:c>
      <x:c r="C42" s="12" t="str">
        <x:v>DLR-002</x:v>
      </x:c>
      <x:c r="D42" s="12" t="str">
        <x:v>Hà Thành Ford - Mỹ Đình</x:v>
      </x:c>
      <x:c r="E42" s="12" t="str">
        <x:v>Ford</x:v>
      </x:c>
      <x:c r="F42" s="12" t="str">
        <x:v>Ranger</x:v>
      </x:c>
      <x:c r="G42" s="12" t="n">
        <x:v>5</x:v>
      </x:c>
      <x:c r="H42" s="12" t="n">
        <x:v>764.4</x:v>
      </x:c>
      <x:c r="I42" s="12" t="n">
        <x:v>3.82</x:v>
      </x:c>
      <x:c r="J42" s="16" t="n">
        <x:v>0.04938541601014986</x:v>
      </x:c>
      <x:c r="K42" s="12" t="n">
        <x:v>3.38</x:v>
      </x:c>
      <x:c r="L42" s="12" t="n">
        <x:f>I42-K42</x:f>
        <x:v>0.43999999999999995</x:v>
      </x:c>
      <x:c r="M42" s="16" t="n">
        <x:f>IFERROR(L42/I42,0)</x:f>
        <x:v>0.11518324607329843</x:v>
      </x:c>
    </x:row>
    <x:row r="43">
      <x:c r="A43" s="12" t="str">
        <x:v>SALE-00042</x:v>
      </x:c>
      <x:c r="B43" s="14" t="n">
        <x:v>46113</x:v>
      </x:c>
      <x:c r="C43" s="12" t="str">
        <x:v>DLR-002</x:v>
      </x:c>
      <x:c r="D43" s="12" t="str">
        <x:v>Hà Thành Ford - Mỹ Đình</x:v>
      </x:c>
      <x:c r="E43" s="12" t="str">
        <x:v>Ford</x:v>
      </x:c>
      <x:c r="F43" s="12" t="str">
        <x:v>Everest</x:v>
      </x:c>
      <x:c r="G43" s="12" t="n">
        <x:v>5</x:v>
      </x:c>
      <x:c r="H43" s="12" t="n">
        <x:v>1112.7</x:v>
      </x:c>
      <x:c r="I43" s="12" t="n">
        <x:v>5.56</x:v>
      </x:c>
      <x:c r="J43" s="16" t="n">
        <x:v>0.023569472294817543</x:v>
      </x:c>
      <x:c r="K43" s="12" t="n">
        <x:v>4.94</x:v>
      </x:c>
      <x:c r="L43" s="12" t="n">
        <x:f>I43-K43</x:f>
        <x:v>0.6199999999999992</x:v>
      </x:c>
      <x:c r="M43" s="16" t="n">
        <x:f>IFERROR(L43/I43,0)</x:f>
        <x:v>0.11151079136690634</x:v>
      </x:c>
    </x:row>
    <x:row r="44">
      <x:c r="A44" s="12" t="str">
        <x:v>SALE-00043</x:v>
      </x:c>
      <x:c r="B44" s="14" t="n">
        <x:v>46113</x:v>
      </x:c>
      <x:c r="C44" s="12" t="str">
        <x:v>DLR-002</x:v>
      </x:c>
      <x:c r="D44" s="12" t="str">
        <x:v>Hà Thành Ford - Mỹ Đình</x:v>
      </x:c>
      <x:c r="E44" s="12" t="str">
        <x:v>Ford</x:v>
      </x:c>
      <x:c r="F44" s="12" t="str">
        <x:v>Territory</x:v>
      </x:c>
      <x:c r="G44" s="12" t="n">
        <x:v>8</x:v>
      </x:c>
      <x:c r="H44" s="12" t="n">
        <x:v>808.3</x:v>
      </x:c>
      <x:c r="I44" s="12" t="n">
        <x:v>6.47</x:v>
      </x:c>
      <x:c r="J44" s="16" t="n">
        <x:v>0.03390684105247177</x:v>
      </x:c>
      <x:c r="K44" s="12" t="n">
        <x:v>5.99</x:v>
      </x:c>
      <x:c r="L44" s="12" t="n">
        <x:f>I44-K44</x:f>
        <x:v>0.47999999999999954</x:v>
      </x:c>
      <x:c r="M44" s="16" t="n">
        <x:f>IFERROR(L44/I44,0)</x:f>
        <x:v>0.07418856259659962</x:v>
      </x:c>
    </x:row>
    <x:row r="45">
      <x:c r="A45" s="12" t="str">
        <x:v>SALE-00044</x:v>
      </x:c>
      <x:c r="B45" s="14" t="n">
        <x:v>46113</x:v>
      </x:c>
      <x:c r="C45" s="12" t="str">
        <x:v>DLR-002</x:v>
      </x:c>
      <x:c r="D45" s="12" t="str">
        <x:v>Hà Thành Ford - Mỹ Đình</x:v>
      </x:c>
      <x:c r="E45" s="12" t="str">
        <x:v>Ford</x:v>
      </x:c>
      <x:c r="F45" s="12" t="str">
        <x:v>Explorer</x:v>
      </x:c>
      <x:c r="G45" s="12" t="n">
        <x:v>7</x:v>
      </x:c>
      <x:c r="H45" s="12" t="n">
        <x:v>2006</x:v>
      </x:c>
      <x:c r="I45" s="12" t="n">
        <x:v>14.04</x:v>
      </x:c>
      <x:c r="J45" s="16" t="n">
        <x:v>0.018877232569152934</x:v>
      </x:c>
      <x:c r="K45" s="12" t="n">
        <x:v>12.72</x:v>
      </x:c>
      <x:c r="L45" s="12" t="n">
        <x:f>I45-K45</x:f>
        <x:v>1.3199999999999985</x:v>
      </x:c>
      <x:c r="M45" s="16" t="n">
        <x:f>IFERROR(L45/I45,0)</x:f>
        <x:v>0.09401709401709392</x:v>
      </x:c>
    </x:row>
    <x:row r="46">
      <x:c r="A46" s="12" t="str">
        <x:v>SALE-00045</x:v>
      </x:c>
      <x:c r="B46" s="14" t="n">
        <x:v>46143</x:v>
      </x:c>
      <x:c r="C46" s="12" t="str">
        <x:v>DLR-002</x:v>
      </x:c>
      <x:c r="D46" s="12" t="str">
        <x:v>Hà Thành Ford - Mỹ Đình</x:v>
      </x:c>
      <x:c r="E46" s="12" t="str">
        <x:v>Ford</x:v>
      </x:c>
      <x:c r="F46" s="12" t="str">
        <x:v>Ranger</x:v>
      </x:c>
      <x:c r="G46" s="12" t="n">
        <x:v>6</x:v>
      </x:c>
      <x:c r="H46" s="12" t="n">
        <x:v>737.9</x:v>
      </x:c>
      <x:c r="I46" s="12" t="n">
        <x:v>4.43</x:v>
      </x:c>
      <x:c r="J46" s="16" t="n">
        <x:v>0.04416303397839402</x:v>
      </x:c>
      <x:c r="K46" s="12" t="n">
        <x:v>4.08</x:v>
      </x:c>
      <x:c r="L46" s="12" t="n">
        <x:f>I46-K46</x:f>
        <x:v>0.34999999999999964</x:v>
      </x:c>
      <x:c r="M46" s="16" t="n">
        <x:f>IFERROR(L46/I46,0)</x:f>
        <x:v>0.07900677200902927</x:v>
      </x:c>
    </x:row>
    <x:row r="47">
      <x:c r="A47" s="12" t="str">
        <x:v>SALE-00046</x:v>
      </x:c>
      <x:c r="B47" s="14" t="n">
        <x:v>46143</x:v>
      </x:c>
      <x:c r="C47" s="12" t="str">
        <x:v>DLR-002</x:v>
      </x:c>
      <x:c r="D47" s="12" t="str">
        <x:v>Hà Thành Ford - Mỹ Đình</x:v>
      </x:c>
      <x:c r="E47" s="12" t="str">
        <x:v>Ford</x:v>
      </x:c>
      <x:c r="F47" s="12" t="str">
        <x:v>Everest</x:v>
      </x:c>
      <x:c r="G47" s="12" t="n">
        <x:v>8</x:v>
      </x:c>
      <x:c r="H47" s="12" t="n">
        <x:v>1061.6</x:v>
      </x:c>
      <x:c r="I47" s="12" t="n">
        <x:v>8.49</x:v>
      </x:c>
      <x:c r="J47" s="16" t="n">
        <x:v>0.03110485128409075</x:v>
      </x:c>
      <x:c r="K47" s="12" t="n">
        <x:v>7.65</x:v>
      </x:c>
      <x:c r="L47" s="12" t="n">
        <x:f>I47-K47</x:f>
        <x:v>0.8399999999999999</x:v>
      </x:c>
      <x:c r="M47" s="16" t="n">
        <x:f>IFERROR(L47/I47,0)</x:f>
        <x:v>0.09893992932862189</x:v>
      </x:c>
    </x:row>
    <x:row r="48">
      <x:c r="A48" s="12" t="str">
        <x:v>SALE-00047</x:v>
      </x:c>
      <x:c r="B48" s="14" t="n">
        <x:v>46143</x:v>
      </x:c>
      <x:c r="C48" s="12" t="str">
        <x:v>DLR-002</x:v>
      </x:c>
      <x:c r="D48" s="12" t="str">
        <x:v>Hà Thành Ford - Mỹ Đình</x:v>
      </x:c>
      <x:c r="E48" s="12" t="str">
        <x:v>Ford</x:v>
      </x:c>
      <x:c r="F48" s="12" t="str">
        <x:v>Territory</x:v>
      </x:c>
      <x:c r="G48" s="12" t="n">
        <x:v>8</x:v>
      </x:c>
      <x:c r="H48" s="12" t="n">
        <x:v>787.1</x:v>
      </x:c>
      <x:c r="I48" s="12" t="n">
        <x:v>6.3</x:v>
      </x:c>
      <x:c r="J48" s="16" t="n">
        <x:v>0.02260835633763246</x:v>
      </x:c>
      <x:c r="K48" s="12" t="n">
        <x:v>5.71</x:v>
      </x:c>
      <x:c r="L48" s="12" t="n">
        <x:f>I48-K48</x:f>
        <x:v>0.5899999999999999</x:v>
      </x:c>
      <x:c r="M48" s="16" t="n">
        <x:f>IFERROR(L48/I48,0)</x:f>
        <x:v>0.09365079365079364</x:v>
      </x:c>
    </x:row>
    <x:row r="49">
      <x:c r="A49" s="12" t="str">
        <x:v>SALE-00048</x:v>
      </x:c>
      <x:c r="B49" s="14" t="n">
        <x:v>46143</x:v>
      </x:c>
      <x:c r="C49" s="12" t="str">
        <x:v>DLR-002</x:v>
      </x:c>
      <x:c r="D49" s="12" t="str">
        <x:v>Hà Thành Ford - Mỹ Đình</x:v>
      </x:c>
      <x:c r="E49" s="12" t="str">
        <x:v>Ford</x:v>
      </x:c>
      <x:c r="F49" s="12" t="str">
        <x:v>Explorer</x:v>
      </x:c>
      <x:c r="G49" s="12" t="n">
        <x:v>6</x:v>
      </x:c>
      <x:c r="H49" s="12" t="n">
        <x:v>2020.8</x:v>
      </x:c>
      <x:c r="I49" s="12" t="n">
        <x:v>12.12</x:v>
      </x:c>
      <x:c r="J49" s="16" t="n">
        <x:v>0.02499225791528402</x:v>
      </x:c>
      <x:c r="K49" s="12" t="n">
        <x:v>11.34</x:v>
      </x:c>
      <x:c r="L49" s="12" t="n">
        <x:f>I49-K49</x:f>
        <x:v>0.7799999999999994</x:v>
      </x:c>
      <x:c r="M49" s="16" t="n">
        <x:f>IFERROR(L49/I49,0)</x:f>
        <x:v>0.0643564356435643</x:v>
      </x:c>
    </x:row>
    <x:row r="50">
      <x:c r="A50" s="12" t="str">
        <x:v>SALE-00049</x:v>
      </x:c>
      <x:c r="B50" s="14" t="n">
        <x:v>46174</x:v>
      </x:c>
      <x:c r="C50" s="12" t="str">
        <x:v>DLR-002</x:v>
      </x:c>
      <x:c r="D50" s="12" t="str">
        <x:v>Hà Thành Ford - Mỹ Đình</x:v>
      </x:c>
      <x:c r="E50" s="12" t="str">
        <x:v>Ford</x:v>
      </x:c>
      <x:c r="F50" s="12" t="str">
        <x:v>Ranger</x:v>
      </x:c>
      <x:c r="G50" s="12" t="n">
        <x:v>6</x:v>
      </x:c>
      <x:c r="H50" s="12" t="n">
        <x:v>761.7</x:v>
      </x:c>
      <x:c r="I50" s="12" t="n">
        <x:v>4.57</x:v>
      </x:c>
      <x:c r="J50" s="16" t="n">
        <x:v>0.03701301249799392</x:v>
      </x:c>
      <x:c r="K50" s="12" t="n">
        <x:v>4.04</x:v>
      </x:c>
      <x:c r="L50" s="12" t="n">
        <x:f>I50-K50</x:f>
        <x:v>0.5300000000000002</x:v>
      </x:c>
      <x:c r="M50" s="16" t="n">
        <x:f>IFERROR(L50/I50,0)</x:f>
        <x:v>0.11597374179431078</x:v>
      </x:c>
    </x:row>
    <x:row r="51">
      <x:c r="A51" s="12" t="str">
        <x:v>SALE-00050</x:v>
      </x:c>
      <x:c r="B51" s="14" t="n">
        <x:v>46174</x:v>
      </x:c>
      <x:c r="C51" s="12" t="str">
        <x:v>DLR-002</x:v>
      </x:c>
      <x:c r="D51" s="12" t="str">
        <x:v>Hà Thành Ford - Mỹ Đình</x:v>
      </x:c>
      <x:c r="E51" s="12" t="str">
        <x:v>Ford</x:v>
      </x:c>
      <x:c r="F51" s="12" t="str">
        <x:v>Everest</x:v>
      </x:c>
      <x:c r="G51" s="12" t="n">
        <x:v>9</x:v>
      </x:c>
      <x:c r="H51" s="12" t="n">
        <x:v>1127.7</x:v>
      </x:c>
      <x:c r="I51" s="12" t="n">
        <x:v>10.15</x:v>
      </x:c>
      <x:c r="J51" s="16" t="n">
        <x:v>0.05375985029139005</x:v>
      </x:c>
      <x:c r="K51" s="12" t="n">
        <x:v>9.5</x:v>
      </x:c>
      <x:c r="L51" s="12" t="n">
        <x:f>I51-K51</x:f>
        <x:v>0.6500000000000004</x:v>
      </x:c>
      <x:c r="M51" s="16" t="n">
        <x:f>IFERROR(L51/I51,0)</x:f>
        <x:v>0.0640394088669951</x:v>
      </x:c>
    </x:row>
    <x:row r="52">
      <x:c r="A52" s="12" t="str">
        <x:v>SALE-00051</x:v>
      </x:c>
      <x:c r="B52" s="14" t="n">
        <x:v>46174</x:v>
      </x:c>
      <x:c r="C52" s="12" t="str">
        <x:v>DLR-002</x:v>
      </x:c>
      <x:c r="D52" s="12" t="str">
        <x:v>Hà Thành Ford - Mỹ Đình</x:v>
      </x:c>
      <x:c r="E52" s="12" t="str">
        <x:v>Ford</x:v>
      </x:c>
      <x:c r="F52" s="12" t="str">
        <x:v>Territory</x:v>
      </x:c>
      <x:c r="G52" s="12" t="n">
        <x:v>8</x:v>
      </x:c>
      <x:c r="H52" s="12" t="n">
        <x:v>781.7</x:v>
      </x:c>
      <x:c r="I52" s="12" t="n">
        <x:v>6.25</x:v>
      </x:c>
      <x:c r="J52" s="16" t="n">
        <x:v>0.034425645018028736</x:v>
      </x:c>
      <x:c r="K52" s="12" t="n">
        <x:v>5.58</x:v>
      </x:c>
      <x:c r="L52" s="12" t="n">
        <x:f>I52-K52</x:f>
        <x:v>0.6699999999999999</x:v>
      </x:c>
      <x:c r="M52" s="16" t="n">
        <x:f>IFERROR(L52/I52,0)</x:f>
        <x:v>0.10719999999999999</x:v>
      </x:c>
    </x:row>
    <x:row r="53">
      <x:c r="A53" s="12" t="str">
        <x:v>SALE-00052</x:v>
      </x:c>
      <x:c r="B53" s="14" t="n">
        <x:v>46174</x:v>
      </x:c>
      <x:c r="C53" s="12" t="str">
        <x:v>DLR-002</x:v>
      </x:c>
      <x:c r="D53" s="12" t="str">
        <x:v>Hà Thành Ford - Mỹ Đình</x:v>
      </x:c>
      <x:c r="E53" s="12" t="str">
        <x:v>Ford</x:v>
      </x:c>
      <x:c r="F53" s="12" t="str">
        <x:v>Explorer</x:v>
      </x:c>
      <x:c r="G53" s="12" t="n">
        <x:v>6</x:v>
      </x:c>
      <x:c r="H53" s="12" t="n">
        <x:v>1983.9</x:v>
      </x:c>
      <x:c r="I53" s="12" t="n">
        <x:v>11.9</x:v>
      </x:c>
      <x:c r="J53" s="16" t="n">
        <x:v>0.030158924759076645</x:v>
      </x:c>
      <x:c r="K53" s="12" t="n">
        <x:v>11.18</x:v>
      </x:c>
      <x:c r="L53" s="12" t="n">
        <x:f>I53-K53</x:f>
        <x:v>0.7200000000000006</x:v>
      </x:c>
      <x:c r="M53" s="16" t="n">
        <x:f>IFERROR(L53/I53,0)</x:f>
        <x:v>0.06050420168067232</x:v>
      </x:c>
    </x:row>
    <x:row r="54">
      <x:c r="A54" s="12" t="str">
        <x:v>SALE-00053</x:v>
      </x:c>
      <x:c r="B54" s="14" t="n">
        <x:v>46204</x:v>
      </x:c>
      <x:c r="C54" s="12" t="str">
        <x:v>DLR-002</x:v>
      </x:c>
      <x:c r="D54" s="12" t="str">
        <x:v>Hà Thành Ford - Mỹ Đình</x:v>
      </x:c>
      <x:c r="E54" s="12" t="str">
        <x:v>Ford</x:v>
      </x:c>
      <x:c r="F54" s="12" t="str">
        <x:v>Ranger</x:v>
      </x:c>
      <x:c r="G54" s="12" t="n">
        <x:v>5</x:v>
      </x:c>
      <x:c r="H54" s="12" t="n">
        <x:v>757.1</x:v>
      </x:c>
      <x:c r="I54" s="12" t="n">
        <x:v>3.79</x:v>
      </x:c>
      <x:c r="J54" s="16" t="n">
        <x:v>0.03320033469356573</x:v>
      </x:c>
      <x:c r="K54" s="12" t="n">
        <x:v>3.43</x:v>
      </x:c>
      <x:c r="L54" s="12" t="n">
        <x:f>I54-K54</x:f>
        <x:v>0.3599999999999999</x:v>
      </x:c>
      <x:c r="M54" s="16" t="n">
        <x:f>IFERROR(L54/I54,0)</x:f>
        <x:v>0.09498680738786276</x:v>
      </x:c>
    </x:row>
    <x:row r="55">
      <x:c r="A55" s="12" t="str">
        <x:v>SALE-00054</x:v>
      </x:c>
      <x:c r="B55" s="14" t="n">
        <x:v>46204</x:v>
      </x:c>
      <x:c r="C55" s="12" t="str">
        <x:v>DLR-002</x:v>
      </x:c>
      <x:c r="D55" s="12" t="str">
        <x:v>Hà Thành Ford - Mỹ Đình</x:v>
      </x:c>
      <x:c r="E55" s="12" t="str">
        <x:v>Ford</x:v>
      </x:c>
      <x:c r="F55" s="12" t="str">
        <x:v>Everest</x:v>
      </x:c>
      <x:c r="G55" s="12" t="n">
        <x:v>9</x:v>
      </x:c>
      <x:c r="H55" s="12" t="n">
        <x:v>1142</x:v>
      </x:c>
      <x:c r="I55" s="12" t="n">
        <x:v>10.28</x:v>
      </x:c>
      <x:c r="J55" s="16" t="n">
        <x:v>0.037230732936224725</x:v>
      </x:c>
      <x:c r="K55" s="12" t="n">
        <x:v>9.49</x:v>
      </x:c>
      <x:c r="L55" s="12" t="n">
        <x:f>I55-K55</x:f>
        <x:v>0.7899999999999991</x:v>
      </x:c>
      <x:c r="M55" s="16" t="n">
        <x:f>IFERROR(L55/I55,0)</x:f>
        <x:v>0.07684824902723728</x:v>
      </x:c>
    </x:row>
    <x:row r="56">
      <x:c r="A56" s="12" t="str">
        <x:v>SALE-00055</x:v>
      </x:c>
      <x:c r="B56" s="14" t="n">
        <x:v>46204</x:v>
      </x:c>
      <x:c r="C56" s="12" t="str">
        <x:v>DLR-002</x:v>
      </x:c>
      <x:c r="D56" s="12" t="str">
        <x:v>Hà Thành Ford - Mỹ Đình</x:v>
      </x:c>
      <x:c r="E56" s="12" t="str">
        <x:v>Ford</x:v>
      </x:c>
      <x:c r="F56" s="12" t="str">
        <x:v>Territory</x:v>
      </x:c>
      <x:c r="G56" s="12" t="n">
        <x:v>5</x:v>
      </x:c>
      <x:c r="H56" s="12" t="n">
        <x:v>790.3</x:v>
      </x:c>
      <x:c r="I56" s="12" t="n">
        <x:v>3.95</x:v>
      </x:c>
      <x:c r="J56" s="16" t="n">
        <x:v>0.05374837459876635</x:v>
      </x:c>
      <x:c r="K56" s="12" t="n">
        <x:v>3.61</x:v>
      </x:c>
      <x:c r="L56" s="12" t="n">
        <x:f>I56-K56</x:f>
        <x:v>0.3400000000000003</x:v>
      </x:c>
      <x:c r="M56" s="16" t="n">
        <x:f>IFERROR(L56/I56,0)</x:f>
        <x:v>0.08607594936708868</x:v>
      </x:c>
    </x:row>
    <x:row r="57">
      <x:c r="A57" s="12" t="str">
        <x:v>SALE-00056</x:v>
      </x:c>
      <x:c r="B57" s="14" t="n">
        <x:v>46204</x:v>
      </x:c>
      <x:c r="C57" s="12" t="str">
        <x:v>DLR-002</x:v>
      </x:c>
      <x:c r="D57" s="12" t="str">
        <x:v>Hà Thành Ford - Mỹ Đình</x:v>
      </x:c>
      <x:c r="E57" s="12" t="str">
        <x:v>Ford</x:v>
      </x:c>
      <x:c r="F57" s="12" t="str">
        <x:v>Explorer</x:v>
      </x:c>
      <x:c r="G57" s="12" t="n">
        <x:v>7</x:v>
      </x:c>
      <x:c r="H57" s="12" t="n">
        <x:v>2099.7</x:v>
      </x:c>
      <x:c r="I57" s="12" t="n">
        <x:v>14.7</x:v>
      </x:c>
      <x:c r="J57" s="16" t="n">
        <x:v>0.017286610916299322</x:v>
      </x:c>
      <x:c r="K57" s="12" t="n">
        <x:v>13.45</x:v>
      </x:c>
      <x:c r="L57" s="12" t="n">
        <x:f>I57-K57</x:f>
        <x:v>1.25</x:v>
      </x:c>
      <x:c r="M57" s="16" t="n">
        <x:f>IFERROR(L57/I57,0)</x:f>
        <x:v>0.08503401360544217</x:v>
      </x:c>
    </x:row>
    <x:row r="58">
      <x:c r="A58" s="12" t="str">
        <x:v>SALE-00057</x:v>
      </x:c>
      <x:c r="B58" s="14" t="n">
        <x:v>46023</x:v>
      </x:c>
      <x:c r="C58" s="12" t="str">
        <x:v>DLR-003</x:v>
      </x:c>
      <x:c r="D58" s="12" t="str">
        <x:v>Mỹ Đình Ford</x:v>
      </x:c>
      <x:c r="E58" s="12" t="str">
        <x:v>Ford</x:v>
      </x:c>
      <x:c r="F58" s="12" t="str">
        <x:v>Ranger</x:v>
      </x:c>
      <x:c r="G58" s="12" t="n">
        <x:v>9</x:v>
      </x:c>
      <x:c r="H58" s="12" t="n">
        <x:v>719.2</x:v>
      </x:c>
      <x:c r="I58" s="12" t="n">
        <x:v>6.47</x:v>
      </x:c>
      <x:c r="J58" s="16" t="n">
        <x:v>0.053431156130978014</x:v>
      </x:c>
      <x:c r="K58" s="12" t="n">
        <x:v>5.73</x:v>
      </x:c>
      <x:c r="L58" s="12" t="n">
        <x:f>I58-K58</x:f>
        <x:v>0.7399999999999993</x:v>
      </x:c>
      <x:c r="M58" s="16" t="n">
        <x:f>IFERROR(L58/I58,0)</x:f>
        <x:v>0.1143740340030911</x:v>
      </x:c>
    </x:row>
    <x:row r="59">
      <x:c r="A59" s="12" t="str">
        <x:v>SALE-00058</x:v>
      </x:c>
      <x:c r="B59" s="14" t="n">
        <x:v>46023</x:v>
      </x:c>
      <x:c r="C59" s="12" t="str">
        <x:v>DLR-003</x:v>
      </x:c>
      <x:c r="D59" s="12" t="str">
        <x:v>Mỹ Đình Ford</x:v>
      </x:c>
      <x:c r="E59" s="12" t="str">
        <x:v>Ford</x:v>
      </x:c>
      <x:c r="F59" s="12" t="str">
        <x:v>Everest</x:v>
      </x:c>
      <x:c r="G59" s="12" t="n">
        <x:v>5</x:v>
      </x:c>
      <x:c r="H59" s="12" t="n">
        <x:v>1106.1</x:v>
      </x:c>
      <x:c r="I59" s="12" t="n">
        <x:v>5.53</x:v>
      </x:c>
      <x:c r="J59" s="16" t="n">
        <x:v>0.04200850214416361</x:v>
      </x:c>
      <x:c r="K59" s="12" t="n">
        <x:v>4.94</x:v>
      </x:c>
      <x:c r="L59" s="12" t="n">
        <x:f>I59-K59</x:f>
        <x:v>0.5899999999999999</x:v>
      </x:c>
      <x:c r="M59" s="16" t="n">
        <x:f>IFERROR(L59/I59,0)</x:f>
        <x:v>0.1066907775768535</x:v>
      </x:c>
    </x:row>
    <x:row r="60">
      <x:c r="A60" s="12" t="str">
        <x:v>SALE-00059</x:v>
      </x:c>
      <x:c r="B60" s="14" t="n">
        <x:v>46023</x:v>
      </x:c>
      <x:c r="C60" s="12" t="str">
        <x:v>DLR-003</x:v>
      </x:c>
      <x:c r="D60" s="12" t="str">
        <x:v>Mỹ Đình Ford</x:v>
      </x:c>
      <x:c r="E60" s="12" t="str">
        <x:v>Ford</x:v>
      </x:c>
      <x:c r="F60" s="12" t="str">
        <x:v>Territory</x:v>
      </x:c>
      <x:c r="G60" s="12" t="n">
        <x:v>5</x:v>
      </x:c>
      <x:c r="H60" s="12" t="n">
        <x:v>829.2</x:v>
      </x:c>
      <x:c r="I60" s="12" t="n">
        <x:v>4.15</x:v>
      </x:c>
      <x:c r="J60" s="16" t="n">
        <x:v>0.024848613911544994</x:v>
      </x:c>
      <x:c r="K60" s="12" t="n">
        <x:v>3.8</x:v>
      </x:c>
      <x:c r="L60" s="12" t="n">
        <x:f>I60-K60</x:f>
        <x:v>0.35000000000000053</x:v>
      </x:c>
      <x:c r="M60" s="16" t="n">
        <x:f>IFERROR(L60/I60,0)</x:f>
        <x:v>0.08433734939759048</x:v>
      </x:c>
    </x:row>
    <x:row r="61">
      <x:c r="A61" s="12" t="str">
        <x:v>SALE-00060</x:v>
      </x:c>
      <x:c r="B61" s="14" t="n">
        <x:v>46023</x:v>
      </x:c>
      <x:c r="C61" s="12" t="str">
        <x:v>DLR-003</x:v>
      </x:c>
      <x:c r="D61" s="12" t="str">
        <x:v>Mỹ Đình Ford</x:v>
      </x:c>
      <x:c r="E61" s="12" t="str">
        <x:v>Ford</x:v>
      </x:c>
      <x:c r="F61" s="12" t="str">
        <x:v>Explorer</x:v>
      </x:c>
      <x:c r="G61" s="12" t="n">
        <x:v>7</x:v>
      </x:c>
      <x:c r="H61" s="12" t="n">
        <x:v>2044.4</x:v>
      </x:c>
      <x:c r="I61" s="12" t="n">
        <x:v>14.31</x:v>
      </x:c>
      <x:c r="J61" s="16" t="n">
        <x:v>0.038346891571648986</x:v>
      </x:c>
      <x:c r="K61" s="12" t="n">
        <x:v>13.04</x:v>
      </x:c>
      <x:c r="L61" s="12" t="n">
        <x:f>I61-K61</x:f>
        <x:v>1.2700000000000014</x:v>
      </x:c>
      <x:c r="M61" s="16" t="n">
        <x:f>IFERROR(L61/I61,0)</x:f>
        <x:v>0.08874912648497563</x:v>
      </x:c>
    </x:row>
    <x:row r="62">
      <x:c r="A62" s="12" t="str">
        <x:v>SALE-00061</x:v>
      </x:c>
      <x:c r="B62" s="14" t="n">
        <x:v>46054</x:v>
      </x:c>
      <x:c r="C62" s="12" t="str">
        <x:v>DLR-003</x:v>
      </x:c>
      <x:c r="D62" s="12" t="str">
        <x:v>Mỹ Đình Ford</x:v>
      </x:c>
      <x:c r="E62" s="12" t="str">
        <x:v>Ford</x:v>
      </x:c>
      <x:c r="F62" s="12" t="str">
        <x:v>Ranger</x:v>
      </x:c>
      <x:c r="G62" s="12" t="n">
        <x:v>9</x:v>
      </x:c>
      <x:c r="H62" s="12" t="n">
        <x:v>722</x:v>
      </x:c>
      <x:c r="I62" s="12" t="n">
        <x:v>6.5</x:v>
      </x:c>
      <x:c r="J62" s="16" t="n">
        <x:v>0.04364767203157659</x:v>
      </x:c>
      <x:c r="K62" s="12" t="n">
        <x:v>5.81</x:v>
      </x:c>
      <x:c r="L62" s="12" t="n">
        <x:f>I62-K62</x:f>
        <x:v>0.6900000000000004</x:v>
      </x:c>
      <x:c r="M62" s="16" t="n">
        <x:f>IFERROR(L62/I62,0)</x:f>
        <x:v>0.10615384615384621</x:v>
      </x:c>
    </x:row>
    <x:row r="63">
      <x:c r="A63" s="12" t="str">
        <x:v>SALE-00062</x:v>
      </x:c>
      <x:c r="B63" s="14" t="n">
        <x:v>46054</x:v>
      </x:c>
      <x:c r="C63" s="12" t="str">
        <x:v>DLR-003</x:v>
      </x:c>
      <x:c r="D63" s="12" t="str">
        <x:v>Mỹ Đình Ford</x:v>
      </x:c>
      <x:c r="E63" s="12" t="str">
        <x:v>Ford</x:v>
      </x:c>
      <x:c r="F63" s="12" t="str">
        <x:v>Everest</x:v>
      </x:c>
      <x:c r="G63" s="12" t="n">
        <x:v>6</x:v>
      </x:c>
      <x:c r="H63" s="12" t="n">
        <x:v>1113</x:v>
      </x:c>
      <x:c r="I63" s="12" t="n">
        <x:v>6.68</x:v>
      </x:c>
      <x:c r="J63" s="16" t="n">
        <x:v>0.02699988319195049</x:v>
      </x:c>
      <x:c r="K63" s="12" t="n">
        <x:v>6</x:v>
      </x:c>
      <x:c r="L63" s="12" t="n">
        <x:f>I63-K63</x:f>
        <x:v>0.6799999999999997</x:v>
      </x:c>
      <x:c r="M63" s="16" t="n">
        <x:f>IFERROR(L63/I63,0)</x:f>
        <x:v>0.1017964071856287</x:v>
      </x:c>
    </x:row>
    <x:row r="64">
      <x:c r="A64" s="12" t="str">
        <x:v>SALE-00063</x:v>
      </x:c>
      <x:c r="B64" s="14" t="n">
        <x:v>46054</x:v>
      </x:c>
      <x:c r="C64" s="12" t="str">
        <x:v>DLR-003</x:v>
      </x:c>
      <x:c r="D64" s="12" t="str">
        <x:v>Mỹ Đình Ford</x:v>
      </x:c>
      <x:c r="E64" s="12" t="str">
        <x:v>Ford</x:v>
      </x:c>
      <x:c r="F64" s="12" t="str">
        <x:v>Territory</x:v>
      </x:c>
      <x:c r="G64" s="12" t="n">
        <x:v>8</x:v>
      </x:c>
      <x:c r="H64" s="12" t="n">
        <x:v>775.6</x:v>
      </x:c>
      <x:c r="I64" s="12" t="n">
        <x:v>6.2</x:v>
      </x:c>
      <x:c r="J64" s="16" t="n">
        <x:v>0.03333142090474345</x:v>
      </x:c>
      <x:c r="K64" s="12" t="n">
        <x:v>5.83</x:v>
      </x:c>
      <x:c r="L64" s="12" t="n">
        <x:f>I64-K64</x:f>
        <x:v>0.3700000000000001</x:v>
      </x:c>
      <x:c r="M64" s="16" t="n">
        <x:f>IFERROR(L64/I64,0)</x:f>
        <x:v>0.05967741935483872</x:v>
      </x:c>
    </x:row>
    <x:row r="65">
      <x:c r="A65" s="12" t="str">
        <x:v>SALE-00064</x:v>
      </x:c>
      <x:c r="B65" s="14" t="n">
        <x:v>46054</x:v>
      </x:c>
      <x:c r="C65" s="12" t="str">
        <x:v>DLR-003</x:v>
      </x:c>
      <x:c r="D65" s="12" t="str">
        <x:v>Mỹ Đình Ford</x:v>
      </x:c>
      <x:c r="E65" s="12" t="str">
        <x:v>Ford</x:v>
      </x:c>
      <x:c r="F65" s="12" t="str">
        <x:v>Explorer</x:v>
      </x:c>
      <x:c r="G65" s="12" t="n">
        <x:v>10</x:v>
      </x:c>
      <x:c r="H65" s="12" t="n">
        <x:v>1986.3</x:v>
      </x:c>
      <x:c r="I65" s="12" t="n">
        <x:v>19.86</x:v>
      </x:c>
      <x:c r="J65" s="16" t="n">
        <x:v>0.02352617249068162</x:v>
      </x:c>
      <x:c r="K65" s="12" t="n">
        <x:v>17.8</x:v>
      </x:c>
      <x:c r="L65" s="12" t="n">
        <x:f>I65-K65</x:f>
        <x:v>2.0599999999999987</x:v>
      </x:c>
      <x:c r="M65" s="16" t="n">
        <x:f>IFERROR(L65/I65,0)</x:f>
        <x:v>0.10372608257804626</x:v>
      </x:c>
    </x:row>
    <x:row r="66">
      <x:c r="A66" s="12" t="str">
        <x:v>SALE-00065</x:v>
      </x:c>
      <x:c r="B66" s="14" t="n">
        <x:v>46082</x:v>
      </x:c>
      <x:c r="C66" s="12" t="str">
        <x:v>DLR-003</x:v>
      </x:c>
      <x:c r="D66" s="12" t="str">
        <x:v>Mỹ Đình Ford</x:v>
      </x:c>
      <x:c r="E66" s="12" t="str">
        <x:v>Ford</x:v>
      </x:c>
      <x:c r="F66" s="12" t="str">
        <x:v>Ranger</x:v>
      </x:c>
      <x:c r="G66" s="12" t="n">
        <x:v>10</x:v>
      </x:c>
      <x:c r="H66" s="12" t="n">
        <x:v>762.9</x:v>
      </x:c>
      <x:c r="I66" s="12" t="n">
        <x:v>7.63</x:v>
      </x:c>
      <x:c r="J66" s="16" t="n">
        <x:v>0.05017080969938171</x:v>
      </x:c>
      <x:c r="K66" s="12" t="n">
        <x:v>6.88</x:v>
      </x:c>
      <x:c r="L66" s="12" t="n">
        <x:f>I66-K66</x:f>
        <x:v>0.75</x:v>
      </x:c>
      <x:c r="M66" s="16" t="n">
        <x:f>IFERROR(L66/I66,0)</x:f>
        <x:v>0.0982961992136304</x:v>
      </x:c>
    </x:row>
    <x:row r="67">
      <x:c r="A67" s="12" t="str">
        <x:v>SALE-00066</x:v>
      </x:c>
      <x:c r="B67" s="14" t="n">
        <x:v>46082</x:v>
      </x:c>
      <x:c r="C67" s="12" t="str">
        <x:v>DLR-003</x:v>
      </x:c>
      <x:c r="D67" s="12" t="str">
        <x:v>Mỹ Đình Ford</x:v>
      </x:c>
      <x:c r="E67" s="12" t="str">
        <x:v>Ford</x:v>
      </x:c>
      <x:c r="F67" s="12" t="str">
        <x:v>Everest</x:v>
      </x:c>
      <x:c r="G67" s="12" t="n">
        <x:v>5</x:v>
      </x:c>
      <x:c r="H67" s="12" t="n">
        <x:v>1127.5</x:v>
      </x:c>
      <x:c r="I67" s="12" t="n">
        <x:v>5.64</x:v>
      </x:c>
      <x:c r="J67" s="16" t="n">
        <x:v>0.04314159700349483</x:v>
      </x:c>
      <x:c r="K67" s="12" t="n">
        <x:v>5.17</x:v>
      </x:c>
      <x:c r="L67" s="12" t="n">
        <x:f>I67-K67</x:f>
        <x:v>0.46999999999999975</x:v>
      </x:c>
      <x:c r="M67" s="16" t="n">
        <x:f>IFERROR(L67/I67,0)</x:f>
        <x:v>0.08333333333333329</x:v>
      </x:c>
    </x:row>
    <x:row r="68">
      <x:c r="A68" s="12" t="str">
        <x:v>SALE-00067</x:v>
      </x:c>
      <x:c r="B68" s="14" t="n">
        <x:v>46082</x:v>
      </x:c>
      <x:c r="C68" s="12" t="str">
        <x:v>DLR-003</x:v>
      </x:c>
      <x:c r="D68" s="12" t="str">
        <x:v>Mỹ Đình Ford</x:v>
      </x:c>
      <x:c r="E68" s="12" t="str">
        <x:v>Ford</x:v>
      </x:c>
      <x:c r="F68" s="12" t="str">
        <x:v>Territory</x:v>
      </x:c>
      <x:c r="G68" s="12" t="n">
        <x:v>10</x:v>
      </x:c>
      <x:c r="H68" s="12" t="n">
        <x:v>813.7</x:v>
      </x:c>
      <x:c r="I68" s="12" t="n">
        <x:v>8.14</x:v>
      </x:c>
      <x:c r="J68" s="16" t="n">
        <x:v>0.015312924286086318</x:v>
      </x:c>
      <x:c r="K68" s="12" t="n">
        <x:v>7.56</x:v>
      </x:c>
      <x:c r="L68" s="12" t="n">
        <x:f>I68-K68</x:f>
        <x:v>0.580000000000001</x:v>
      </x:c>
      <x:c r="M68" s="16" t="n">
        <x:f>IFERROR(L68/I68,0)</x:f>
        <x:v>0.07125307125307137</x:v>
      </x:c>
    </x:row>
    <x:row r="69">
      <x:c r="A69" s="12" t="str">
        <x:v>SALE-00068</x:v>
      </x:c>
      <x:c r="B69" s="14" t="n">
        <x:v>46082</x:v>
      </x:c>
      <x:c r="C69" s="12" t="str">
        <x:v>DLR-003</x:v>
      </x:c>
      <x:c r="D69" s="12" t="str">
        <x:v>Mỹ Đình Ford</x:v>
      </x:c>
      <x:c r="E69" s="12" t="str">
        <x:v>Ford</x:v>
      </x:c>
      <x:c r="F69" s="12" t="str">
        <x:v>Explorer</x:v>
      </x:c>
      <x:c r="G69" s="12" t="n">
        <x:v>6</x:v>
      </x:c>
      <x:c r="H69" s="12" t="n">
        <x:v>2085.4</x:v>
      </x:c>
      <x:c r="I69" s="12" t="n">
        <x:v>12.51</x:v>
      </x:c>
      <x:c r="J69" s="16" t="n">
        <x:v>0.05255720015708416</x:v>
      </x:c>
      <x:c r="K69" s="12" t="n">
        <x:v>11.11</x:v>
      </x:c>
      <x:c r="L69" s="12" t="n">
        <x:f>I69-K69</x:f>
        <x:v>1.4000000000000004</x:v>
      </x:c>
      <x:c r="M69" s="16" t="n">
        <x:f>IFERROR(L69/I69,0)</x:f>
        <x:v>0.11191047162270187</x:v>
      </x:c>
    </x:row>
    <x:row r="70">
      <x:c r="A70" s="12" t="str">
        <x:v>SALE-00069</x:v>
      </x:c>
      <x:c r="B70" s="14" t="n">
        <x:v>46113</x:v>
      </x:c>
      <x:c r="C70" s="12" t="str">
        <x:v>DLR-003</x:v>
      </x:c>
      <x:c r="D70" s="12" t="str">
        <x:v>Mỹ Đình Ford</x:v>
      </x:c>
      <x:c r="E70" s="12" t="str">
        <x:v>Ford</x:v>
      </x:c>
      <x:c r="F70" s="12" t="str">
        <x:v>Ranger</x:v>
      </x:c>
      <x:c r="G70" s="12" t="n">
        <x:v>5</x:v>
      </x:c>
      <x:c r="H70" s="12" t="n">
        <x:v>716.2</x:v>
      </x:c>
      <x:c r="I70" s="12" t="n">
        <x:v>3.58</x:v>
      </x:c>
      <x:c r="J70" s="16" t="n">
        <x:v>0.03712894563539264</x:v>
      </x:c>
      <x:c r="K70" s="12" t="n">
        <x:v>3.21</x:v>
      </x:c>
      <x:c r="L70" s="12" t="n">
        <x:f>I70-K70</x:f>
        <x:v>0.3700000000000001</x:v>
      </x:c>
      <x:c r="M70" s="16" t="n">
        <x:f>IFERROR(L70/I70,0)</x:f>
        <x:v>0.1033519553072626</x:v>
      </x:c>
    </x:row>
    <x:row r="71">
      <x:c r="A71" s="12" t="str">
        <x:v>SALE-00070</x:v>
      </x:c>
      <x:c r="B71" s="14" t="n">
        <x:v>46113</x:v>
      </x:c>
      <x:c r="C71" s="12" t="str">
        <x:v>DLR-003</x:v>
      </x:c>
      <x:c r="D71" s="12" t="str">
        <x:v>Mỹ Đình Ford</x:v>
      </x:c>
      <x:c r="E71" s="12" t="str">
        <x:v>Ford</x:v>
      </x:c>
      <x:c r="F71" s="12" t="str">
        <x:v>Everest</x:v>
      </x:c>
      <x:c r="G71" s="12" t="n">
        <x:v>8</x:v>
      </x:c>
      <x:c r="H71" s="12" t="n">
        <x:v>1117.1</x:v>
      </x:c>
      <x:c r="I71" s="12" t="n">
        <x:v>8.94</x:v>
      </x:c>
      <x:c r="J71" s="16" t="n">
        <x:v>0.023143892493098117</x:v>
      </x:c>
      <x:c r="K71" s="12" t="n">
        <x:v>8.2</x:v>
      </x:c>
      <x:c r="L71" s="12" t="n">
        <x:f>I71-K71</x:f>
        <x:v>0.7400000000000002</x:v>
      </x:c>
      <x:c r="M71" s="16" t="n">
        <x:f>IFERROR(L71/I71,0)</x:f>
        <x:v>0.08277404921700227</x:v>
      </x:c>
    </x:row>
    <x:row r="72">
      <x:c r="A72" s="12" t="str">
        <x:v>SALE-00071</x:v>
      </x:c>
      <x:c r="B72" s="14" t="n">
        <x:v>46113</x:v>
      </x:c>
      <x:c r="C72" s="12" t="str">
        <x:v>DLR-003</x:v>
      </x:c>
      <x:c r="D72" s="12" t="str">
        <x:v>Mỹ Đình Ford</x:v>
      </x:c>
      <x:c r="E72" s="12" t="str">
        <x:v>Ford</x:v>
      </x:c>
      <x:c r="F72" s="12" t="str">
        <x:v>Territory</x:v>
      </x:c>
      <x:c r="G72" s="12" t="n">
        <x:v>6</x:v>
      </x:c>
      <x:c r="H72" s="12" t="n">
        <x:v>802.8</x:v>
      </x:c>
      <x:c r="I72" s="12" t="n">
        <x:v>4.82</x:v>
      </x:c>
      <x:c r="J72" s="16" t="n">
        <x:v>0.05121345964317293</x:v>
      </x:c>
      <x:c r="K72" s="12" t="n">
        <x:v>4.48</x:v>
      </x:c>
      <x:c r="L72" s="12" t="n">
        <x:f>I72-K72</x:f>
        <x:v>0.33999999999999986</x:v>
      </x:c>
      <x:c r="M72" s="16" t="n">
        <x:f>IFERROR(L72/I72,0)</x:f>
        <x:v>0.0705394190871369</x:v>
      </x:c>
    </x:row>
    <x:row r="73">
      <x:c r="A73" s="12" t="str">
        <x:v>SALE-00072</x:v>
      </x:c>
      <x:c r="B73" s="14" t="n">
        <x:v>46113</x:v>
      </x:c>
      <x:c r="C73" s="12" t="str">
        <x:v>DLR-003</x:v>
      </x:c>
      <x:c r="D73" s="12" t="str">
        <x:v>Mỹ Đình Ford</x:v>
      </x:c>
      <x:c r="E73" s="12" t="str">
        <x:v>Ford</x:v>
      </x:c>
      <x:c r="F73" s="12" t="str">
        <x:v>Explorer</x:v>
      </x:c>
      <x:c r="G73" s="12" t="n">
        <x:v>5</x:v>
      </x:c>
      <x:c r="H73" s="12" t="n">
        <x:v>2045.2</x:v>
      </x:c>
      <x:c r="I73" s="12" t="n">
        <x:v>10.23</x:v>
      </x:c>
      <x:c r="J73" s="16" t="n">
        <x:v>0.026067208958890066</x:v>
      </x:c>
      <x:c r="K73" s="12" t="n">
        <x:v>9</x:v>
      </x:c>
      <x:c r="L73" s="12" t="n">
        <x:f>I73-K73</x:f>
        <x:v>1.2300000000000004</x:v>
      </x:c>
      <x:c r="M73" s="16" t="n">
        <x:f>IFERROR(L73/I73,0)</x:f>
        <x:v>0.12023460410557188</x:v>
      </x:c>
    </x:row>
    <x:row r="74">
      <x:c r="A74" s="12" t="str">
        <x:v>SALE-00073</x:v>
      </x:c>
      <x:c r="B74" s="14" t="n">
        <x:v>46143</x:v>
      </x:c>
      <x:c r="C74" s="12" t="str">
        <x:v>DLR-003</x:v>
      </x:c>
      <x:c r="D74" s="12" t="str">
        <x:v>Mỹ Đình Ford</x:v>
      </x:c>
      <x:c r="E74" s="12" t="str">
        <x:v>Ford</x:v>
      </x:c>
      <x:c r="F74" s="12" t="str">
        <x:v>Ranger</x:v>
      </x:c>
      <x:c r="G74" s="12" t="n">
        <x:v>9</x:v>
      </x:c>
      <x:c r="H74" s="12" t="n">
        <x:v>748.2</x:v>
      </x:c>
      <x:c r="I74" s="12" t="n">
        <x:v>6.73</x:v>
      </x:c>
      <x:c r="J74" s="16" t="n">
        <x:v>0.025478210497373928</x:v>
      </x:c>
      <x:c r="K74" s="12" t="n">
        <x:v>6.23</x:v>
      </x:c>
      <x:c r="L74" s="12" t="n">
        <x:f>I74-K74</x:f>
        <x:v>0.5</x:v>
      </x:c>
      <x:c r="M74" s="16" t="n">
        <x:f>IFERROR(L74/I74,0)</x:f>
        <x:v>0.07429420505200594</x:v>
      </x:c>
    </x:row>
    <x:row r="75">
      <x:c r="A75" s="12" t="str">
        <x:v>SALE-00074</x:v>
      </x:c>
      <x:c r="B75" s="14" t="n">
        <x:v>46143</x:v>
      </x:c>
      <x:c r="C75" s="12" t="str">
        <x:v>DLR-003</x:v>
      </x:c>
      <x:c r="D75" s="12" t="str">
        <x:v>Mỹ Đình Ford</x:v>
      </x:c>
      <x:c r="E75" s="12" t="str">
        <x:v>Ford</x:v>
      </x:c>
      <x:c r="F75" s="12" t="str">
        <x:v>Everest</x:v>
      </x:c>
      <x:c r="G75" s="12" t="n">
        <x:v>8</x:v>
      </x:c>
      <x:c r="H75" s="12" t="n">
        <x:v>1091.1</x:v>
      </x:c>
      <x:c r="I75" s="12" t="n">
        <x:v>8.73</x:v>
      </x:c>
      <x:c r="J75" s="16" t="n">
        <x:v>0.015386787984333598</x:v>
      </x:c>
      <x:c r="K75" s="12" t="n">
        <x:v>7.72</x:v>
      </x:c>
      <x:c r="L75" s="12" t="n">
        <x:f>I75-K75</x:f>
        <x:v>1.0100000000000007</x:v>
      </x:c>
      <x:c r="M75" s="16" t="n">
        <x:f>IFERROR(L75/I75,0)</x:f>
        <x:v>0.11569301260022917</x:v>
      </x:c>
    </x:row>
    <x:row r="76">
      <x:c r="A76" s="12" t="str">
        <x:v>SALE-00075</x:v>
      </x:c>
      <x:c r="B76" s="14" t="n">
        <x:v>46143</x:v>
      </x:c>
      <x:c r="C76" s="12" t="str">
        <x:v>DLR-003</x:v>
      </x:c>
      <x:c r="D76" s="12" t="str">
        <x:v>Mỹ Đình Ford</x:v>
      </x:c>
      <x:c r="E76" s="12" t="str">
        <x:v>Ford</x:v>
      </x:c>
      <x:c r="F76" s="12" t="str">
        <x:v>Territory</x:v>
      </x:c>
      <x:c r="G76" s="12" t="n">
        <x:v>10</x:v>
      </x:c>
      <x:c r="H76" s="12" t="n">
        <x:v>830.1</x:v>
      </x:c>
      <x:c r="I76" s="12" t="n">
        <x:v>8.3</x:v>
      </x:c>
      <x:c r="J76" s="16" t="n">
        <x:v>0.03682361156822089</x:v>
      </x:c>
      <x:c r="K76" s="12" t="n">
        <x:v>7.72</x:v>
      </x:c>
      <x:c r="L76" s="12" t="n">
        <x:f>I76-K76</x:f>
        <x:v>0.580000000000001</x:v>
      </x:c>
      <x:c r="M76" s="16" t="n">
        <x:f>IFERROR(L76/I76,0)</x:f>
        <x:v>0.06987951807228926</x:v>
      </x:c>
    </x:row>
    <x:row r="77">
      <x:c r="A77" s="12" t="str">
        <x:v>SALE-00076</x:v>
      </x:c>
      <x:c r="B77" s="14" t="n">
        <x:v>46143</x:v>
      </x:c>
      <x:c r="C77" s="12" t="str">
        <x:v>DLR-003</x:v>
      </x:c>
      <x:c r="D77" s="12" t="str">
        <x:v>Mỹ Đình Ford</x:v>
      </x:c>
      <x:c r="E77" s="12" t="str">
        <x:v>Ford</x:v>
      </x:c>
      <x:c r="F77" s="12" t="str">
        <x:v>Explorer</x:v>
      </x:c>
      <x:c r="G77" s="12" t="n">
        <x:v>8</x:v>
      </x:c>
      <x:c r="H77" s="12" t="n">
        <x:v>1998.9</x:v>
      </x:c>
      <x:c r="I77" s="12" t="n">
        <x:v>15.99</x:v>
      </x:c>
      <x:c r="J77" s="16" t="n">
        <x:v>0.02009782077128555</x:v>
      </x:c>
      <x:c r="K77" s="12" t="n">
        <x:v>14.37</x:v>
      </x:c>
      <x:c r="L77" s="12" t="n">
        <x:f>I77-K77</x:f>
        <x:v>1.620000000000001</x:v>
      </x:c>
      <x:c r="M77" s="16" t="n">
        <x:f>IFERROR(L77/I77,0)</x:f>
        <x:v>0.10131332082551602</x:v>
      </x:c>
    </x:row>
    <x:row r="78">
      <x:c r="A78" s="12" t="str">
        <x:v>SALE-00077</x:v>
      </x:c>
      <x:c r="B78" s="14" t="n">
        <x:v>46174</x:v>
      </x:c>
      <x:c r="C78" s="12" t="str">
        <x:v>DLR-003</x:v>
      </x:c>
      <x:c r="D78" s="12" t="str">
        <x:v>Mỹ Đình Ford</x:v>
      </x:c>
      <x:c r="E78" s="12" t="str">
        <x:v>Ford</x:v>
      </x:c>
      <x:c r="F78" s="12" t="str">
        <x:v>Ranger</x:v>
      </x:c>
      <x:c r="G78" s="12" t="n">
        <x:v>11</x:v>
      </x:c>
      <x:c r="H78" s="12" t="n">
        <x:v>757.8</x:v>
      </x:c>
      <x:c r="I78" s="12" t="n">
        <x:v>8.34</x:v>
      </x:c>
      <x:c r="J78" s="16" t="n">
        <x:v>0.04942810328003611</x:v>
      </x:c>
      <x:c r="K78" s="12" t="n">
        <x:v>7.78</x:v>
      </x:c>
      <x:c r="L78" s="12" t="n">
        <x:f>I78-K78</x:f>
        <x:v>0.5599999999999996</x:v>
      </x:c>
      <x:c r="M78" s="16" t="n">
        <x:f>IFERROR(L78/I78,0)</x:f>
        <x:v>0.06714628297362106</x:v>
      </x:c>
    </x:row>
    <x:row r="79">
      <x:c r="A79" s="12" t="str">
        <x:v>SALE-00078</x:v>
      </x:c>
      <x:c r="B79" s="14" t="n">
        <x:v>46174</x:v>
      </x:c>
      <x:c r="C79" s="12" t="str">
        <x:v>DLR-003</x:v>
      </x:c>
      <x:c r="D79" s="12" t="str">
        <x:v>Mỹ Đình Ford</x:v>
      </x:c>
      <x:c r="E79" s="12" t="str">
        <x:v>Ford</x:v>
      </x:c>
      <x:c r="F79" s="12" t="str">
        <x:v>Everest</x:v>
      </x:c>
      <x:c r="G79" s="12" t="n">
        <x:v>6</x:v>
      </x:c>
      <x:c r="H79" s="12" t="n">
        <x:v>1075.2</x:v>
      </x:c>
      <x:c r="I79" s="12" t="n">
        <x:v>6.45</x:v>
      </x:c>
      <x:c r="J79" s="16" t="n">
        <x:v>0.019111744866871425</x:v>
      </x:c>
      <x:c r="K79" s="12" t="n">
        <x:v>5.98</x:v>
      </x:c>
      <x:c r="L79" s="12" t="n">
        <x:f>I79-K79</x:f>
        <x:v>0.46999999999999975</x:v>
      </x:c>
      <x:c r="M79" s="16" t="n">
        <x:f>IFERROR(L79/I79,0)</x:f>
        <x:v>0.07286821705426352</x:v>
      </x:c>
    </x:row>
    <x:row r="80">
      <x:c r="A80" s="12" t="str">
        <x:v>SALE-00079</x:v>
      </x:c>
      <x:c r="B80" s="14" t="n">
        <x:v>46174</x:v>
      </x:c>
      <x:c r="C80" s="12" t="str">
        <x:v>DLR-003</x:v>
      </x:c>
      <x:c r="D80" s="12" t="str">
        <x:v>Mỹ Đình Ford</x:v>
      </x:c>
      <x:c r="E80" s="12" t="str">
        <x:v>Ford</x:v>
      </x:c>
      <x:c r="F80" s="12" t="str">
        <x:v>Territory</x:v>
      </x:c>
      <x:c r="G80" s="12" t="n">
        <x:v>10</x:v>
      </x:c>
      <x:c r="H80" s="12" t="n">
        <x:v>797.5</x:v>
      </x:c>
      <x:c r="I80" s="12" t="n">
        <x:v>7.97</x:v>
      </x:c>
      <x:c r="J80" s="16" t="n">
        <x:v>0.03982646040602851</x:v>
      </x:c>
      <x:c r="K80" s="12" t="n">
        <x:v>7.09</x:v>
      </x:c>
      <x:c r="L80" s="12" t="n">
        <x:f>I80-K80</x:f>
        <x:v>0.8799999999999999</x:v>
      </x:c>
      <x:c r="M80" s="16" t="n">
        <x:f>IFERROR(L80/I80,0)</x:f>
        <x:v>0.11041405269761605</x:v>
      </x:c>
    </x:row>
    <x:row r="81">
      <x:c r="A81" s="12" t="str">
        <x:v>SALE-00080</x:v>
      </x:c>
      <x:c r="B81" s="14" t="n">
        <x:v>46174</x:v>
      </x:c>
      <x:c r="C81" s="12" t="str">
        <x:v>DLR-003</x:v>
      </x:c>
      <x:c r="D81" s="12" t="str">
        <x:v>Mỹ Đình Ford</x:v>
      </x:c>
      <x:c r="E81" s="12" t="str">
        <x:v>Ford</x:v>
      </x:c>
      <x:c r="F81" s="12" t="str">
        <x:v>Explorer</x:v>
      </x:c>
      <x:c r="G81" s="12" t="n">
        <x:v>11</x:v>
      </x:c>
      <x:c r="H81" s="12" t="n">
        <x:v>2119.3</x:v>
      </x:c>
      <x:c r="I81" s="12" t="n">
        <x:v>23.31</x:v>
      </x:c>
      <x:c r="J81" s="16" t="n">
        <x:v>0.05404824131723852</x:v>
      </x:c>
      <x:c r="K81" s="12" t="n">
        <x:v>21.65</x:v>
      </x:c>
      <x:c r="L81" s="12" t="n">
        <x:f>I81-K81</x:f>
        <x:v>1.6600000000000001</x:v>
      </x:c>
      <x:c r="M81" s="16" t="n">
        <x:f>IFERROR(L81/I81,0)</x:f>
        <x:v>0.07121407121407122</x:v>
      </x:c>
    </x:row>
    <x:row r="82">
      <x:c r="A82" s="12" t="str">
        <x:v>SALE-00081</x:v>
      </x:c>
      <x:c r="B82" s="14" t="n">
        <x:v>46204</x:v>
      </x:c>
      <x:c r="C82" s="12" t="str">
        <x:v>DLR-003</x:v>
      </x:c>
      <x:c r="D82" s="12" t="str">
        <x:v>Mỹ Đình Ford</x:v>
      </x:c>
      <x:c r="E82" s="12" t="str">
        <x:v>Ford</x:v>
      </x:c>
      <x:c r="F82" s="12" t="str">
        <x:v>Ranger</x:v>
      </x:c>
      <x:c r="G82" s="12" t="n">
        <x:v>11</x:v>
      </x:c>
      <x:c r="H82" s="12" t="n">
        <x:v>711.2</x:v>
      </x:c>
      <x:c r="I82" s="12" t="n">
        <x:v>7.82</x:v>
      </x:c>
      <x:c r="J82" s="16" t="n">
        <x:v>0.04446257887020329</x:v>
      </x:c>
      <x:c r="K82" s="12" t="n">
        <x:v>7.04</x:v>
      </x:c>
      <x:c r="L82" s="12" t="n">
        <x:f>I82-K82</x:f>
        <x:v>0.7800000000000002</x:v>
      </x:c>
      <x:c r="M82" s="16" t="n">
        <x:f>IFERROR(L82/I82,0)</x:f>
        <x:v>0.0997442455242967</x:v>
      </x:c>
    </x:row>
    <x:row r="83">
      <x:c r="A83" s="12" t="str">
        <x:v>SALE-00082</x:v>
      </x:c>
      <x:c r="B83" s="14" t="n">
        <x:v>46204</x:v>
      </x:c>
      <x:c r="C83" s="12" t="str">
        <x:v>DLR-003</x:v>
      </x:c>
      <x:c r="D83" s="12" t="str">
        <x:v>Mỹ Đình Ford</x:v>
      </x:c>
      <x:c r="E83" s="12" t="str">
        <x:v>Ford</x:v>
      </x:c>
      <x:c r="F83" s="12" t="str">
        <x:v>Everest</x:v>
      </x:c>
      <x:c r="G83" s="12" t="n">
        <x:v>11</x:v>
      </x:c>
      <x:c r="H83" s="12" t="n">
        <x:v>1124.7</x:v>
      </x:c>
      <x:c r="I83" s="12" t="n">
        <x:v>12.37</x:v>
      </x:c>
      <x:c r="J83" s="16" t="n">
        <x:v>0.049562561135011174</x:v>
      </x:c>
      <x:c r="K83" s="12" t="n">
        <x:v>11.49</x:v>
      </x:c>
      <x:c r="L83" s="12" t="n">
        <x:f>I83-K83</x:f>
        <x:v>0.879999999999999</x:v>
      </x:c>
      <x:c r="M83" s="16" t="n">
        <x:f>IFERROR(L83/I83,0)</x:f>
        <x:v>0.0711398544866612</x:v>
      </x:c>
    </x:row>
    <x:row r="84">
      <x:c r="A84" s="12" t="str">
        <x:v>SALE-00083</x:v>
      </x:c>
      <x:c r="B84" s="14" t="n">
        <x:v>46204</x:v>
      </x:c>
      <x:c r="C84" s="12" t="str">
        <x:v>DLR-003</x:v>
      </x:c>
      <x:c r="D84" s="12" t="str">
        <x:v>Mỹ Đình Ford</x:v>
      </x:c>
      <x:c r="E84" s="12" t="str">
        <x:v>Ford</x:v>
      </x:c>
      <x:c r="F84" s="12" t="str">
        <x:v>Territory</x:v>
      </x:c>
      <x:c r="G84" s="12" t="n">
        <x:v>7</x:v>
      </x:c>
      <x:c r="H84" s="12" t="n">
        <x:v>822.5</x:v>
      </x:c>
      <x:c r="I84" s="12" t="n">
        <x:v>5.76</x:v>
      </x:c>
      <x:c r="J84" s="16" t="n">
        <x:v>0.019323825056118283</x:v>
      </x:c>
      <x:c r="K84" s="12" t="n">
        <x:v>5.37</x:v>
      </x:c>
      <x:c r="L84" s="12" t="n">
        <x:f>I84-K84</x:f>
        <x:v>0.3899999999999997</x:v>
      </x:c>
      <x:c r="M84" s="16" t="n">
        <x:f>IFERROR(L84/I84,0)</x:f>
        <x:v>0.06770833333333329</x:v>
      </x:c>
    </x:row>
    <x:row r="85">
      <x:c r="A85" s="12" t="str">
        <x:v>SALE-00084</x:v>
      </x:c>
      <x:c r="B85" s="14" t="n">
        <x:v>46204</x:v>
      </x:c>
      <x:c r="C85" s="12" t="str">
        <x:v>DLR-003</x:v>
      </x:c>
      <x:c r="D85" s="12" t="str">
        <x:v>Mỹ Đình Ford</x:v>
      </x:c>
      <x:c r="E85" s="12" t="str">
        <x:v>Ford</x:v>
      </x:c>
      <x:c r="F85" s="12" t="str">
        <x:v>Explorer</x:v>
      </x:c>
      <x:c r="G85" s="12" t="n">
        <x:v>11</x:v>
      </x:c>
      <x:c r="H85" s="12" t="n">
        <x:v>2011.4</x:v>
      </x:c>
      <x:c r="I85" s="12" t="n">
        <x:v>22.13</x:v>
      </x:c>
      <x:c r="J85" s="16" t="n">
        <x:v>0.047663464223877156</x:v>
      </x:c>
      <x:c r="K85" s="12" t="n">
        <x:v>20.08</x:v>
      </x:c>
      <x:c r="L85" s="12" t="n">
        <x:f>I85-K85</x:f>
        <x:v>2.0500000000000007</x:v>
      </x:c>
      <x:c r="M85" s="16" t="n">
        <x:f>IFERROR(L85/I85,0)</x:f>
        <x:v>0.0926344328965206</x:v>
      </x:c>
    </x:row>
    <x:row r="86">
      <x:c r="A86" s="12" t="str">
        <x:v>SALE-00085</x:v>
      </x:c>
      <x:c r="B86" s="14" t="n">
        <x:v>46023</x:v>
      </x:c>
      <x:c r="C86" s="12" t="str">
        <x:v>DLR-004</x:v>
      </x:c>
      <x:c r="D86" s="12" t="str">
        <x:v>Việt Trì Ford</x:v>
      </x:c>
      <x:c r="E86" s="12" t="str">
        <x:v>Ford</x:v>
      </x:c>
      <x:c r="F86" s="12" t="str">
        <x:v>Ranger</x:v>
      </x:c>
      <x:c r="G86" s="12" t="n">
        <x:v>7</x:v>
      </x:c>
      <x:c r="H86" s="12" t="n">
        <x:v>723.4</x:v>
      </x:c>
      <x:c r="I86" s="12" t="n">
        <x:v>5.06</x:v>
      </x:c>
      <x:c r="J86" s="16" t="n">
        <x:v>0.01594657738805806</x:v>
      </x:c>
      <x:c r="K86" s="12" t="n">
        <x:v>4.52</x:v>
      </x:c>
      <x:c r="L86" s="12" t="n">
        <x:f>I86-K86</x:f>
        <x:v>0.54</x:v>
      </x:c>
      <x:c r="M86" s="16" t="n">
        <x:f>IFERROR(L86/I86,0)</x:f>
        <x:v>0.10671936758893281</x:v>
      </x:c>
    </x:row>
    <x:row r="87">
      <x:c r="A87" s="12" t="str">
        <x:v>SALE-00086</x:v>
      </x:c>
      <x:c r="B87" s="14" t="n">
        <x:v>46023</x:v>
      </x:c>
      <x:c r="C87" s="12" t="str">
        <x:v>DLR-004</x:v>
      </x:c>
      <x:c r="D87" s="12" t="str">
        <x:v>Việt Trì Ford</x:v>
      </x:c>
      <x:c r="E87" s="12" t="str">
        <x:v>Ford</x:v>
      </x:c>
      <x:c r="F87" s="12" t="str">
        <x:v>Everest</x:v>
      </x:c>
      <x:c r="G87" s="12" t="n">
        <x:v>5</x:v>
      </x:c>
      <x:c r="H87" s="12" t="n">
        <x:v>1130.2</x:v>
      </x:c>
      <x:c r="I87" s="12" t="n">
        <x:v>5.65</x:v>
      </x:c>
      <x:c r="J87" s="16" t="n">
        <x:v>0.05367556416193445</x:v>
      </x:c>
      <x:c r="K87" s="12" t="n">
        <x:v>5.07</x:v>
      </x:c>
      <x:c r="L87" s="12" t="n">
        <x:f>I87-K87</x:f>
        <x:v>0.5800000000000001</x:v>
      </x:c>
      <x:c r="M87" s="16" t="n">
        <x:f>IFERROR(L87/I87,0)</x:f>
        <x:v>0.10265486725663718</x:v>
      </x:c>
    </x:row>
    <x:row r="88">
      <x:c r="A88" s="12" t="str">
        <x:v>SALE-00087</x:v>
      </x:c>
      <x:c r="B88" s="14" t="n">
        <x:v>46023</x:v>
      </x:c>
      <x:c r="C88" s="12" t="str">
        <x:v>DLR-004</x:v>
      </x:c>
      <x:c r="D88" s="12" t="str">
        <x:v>Việt Trì Ford</x:v>
      </x:c>
      <x:c r="E88" s="12" t="str">
        <x:v>Ford</x:v>
      </x:c>
      <x:c r="F88" s="12" t="str">
        <x:v>Territory</x:v>
      </x:c>
      <x:c r="G88" s="12" t="n">
        <x:v>6</x:v>
      </x:c>
      <x:c r="H88" s="12" t="n">
        <x:v>797</x:v>
      </x:c>
      <x:c r="I88" s="12" t="n">
        <x:v>4.78</x:v>
      </x:c>
      <x:c r="J88" s="16" t="n">
        <x:v>0.05424598748793041</x:v>
      </x:c>
      <x:c r="K88" s="12" t="n">
        <x:v>4.36</x:v>
      </x:c>
      <x:c r="L88" s="12" t="n">
        <x:f>I88-K88</x:f>
        <x:v>0.41999999999999993</x:v>
      </x:c>
      <x:c r="M88" s="16" t="n">
        <x:f>IFERROR(L88/I88,0)</x:f>
        <x:v>0.08786610878661086</x:v>
      </x:c>
    </x:row>
    <x:row r="89">
      <x:c r="A89" s="12" t="str">
        <x:v>SALE-00088</x:v>
      </x:c>
      <x:c r="B89" s="14" t="n">
        <x:v>46023</x:v>
      </x:c>
      <x:c r="C89" s="12" t="str">
        <x:v>DLR-004</x:v>
      </x:c>
      <x:c r="D89" s="12" t="str">
        <x:v>Việt Trì Ford</x:v>
      </x:c>
      <x:c r="E89" s="12" t="str">
        <x:v>Ford</x:v>
      </x:c>
      <x:c r="F89" s="12" t="str">
        <x:v>Explorer</x:v>
      </x:c>
      <x:c r="G89" s="12" t="n">
        <x:v>8</x:v>
      </x:c>
      <x:c r="H89" s="12" t="n">
        <x:v>1993.4</x:v>
      </x:c>
      <x:c r="I89" s="12" t="n">
        <x:v>15.95</x:v>
      </x:c>
      <x:c r="J89" s="16" t="n">
        <x:v>0.05381602444088912</x:v>
      </x:c>
      <x:c r="K89" s="12" t="n">
        <x:v>14.2</x:v>
      </x:c>
      <x:c r="L89" s="12" t="n">
        <x:f>I89-K89</x:f>
        <x:v>1.75</x:v>
      </x:c>
      <x:c r="M89" s="16" t="n">
        <x:f>IFERROR(L89/I89,0)</x:f>
        <x:v>0.109717868338558</x:v>
      </x:c>
    </x:row>
    <x:row r="90">
      <x:c r="A90" s="12" t="str">
        <x:v>SALE-00089</x:v>
      </x:c>
      <x:c r="B90" s="14" t="n">
        <x:v>46054</x:v>
      </x:c>
      <x:c r="C90" s="12" t="str">
        <x:v>DLR-004</x:v>
      </x:c>
      <x:c r="D90" s="12" t="str">
        <x:v>Việt Trì Ford</x:v>
      </x:c>
      <x:c r="E90" s="12" t="str">
        <x:v>Ford</x:v>
      </x:c>
      <x:c r="F90" s="12" t="str">
        <x:v>Ranger</x:v>
      </x:c>
      <x:c r="G90" s="12" t="n">
        <x:v>8</x:v>
      </x:c>
      <x:c r="H90" s="12" t="n">
        <x:v>725.7</x:v>
      </x:c>
      <x:c r="I90" s="12" t="n">
        <x:v>5.81</x:v>
      </x:c>
      <x:c r="J90" s="16" t="n">
        <x:v>0.019336101888588444</x:v>
      </x:c>
      <x:c r="K90" s="12" t="n">
        <x:v>5.26</x:v>
      </x:c>
      <x:c r="L90" s="12" t="n">
        <x:f>I90-K90</x:f>
        <x:v>0.5499999999999998</x:v>
      </x:c>
      <x:c r="M90" s="16" t="n">
        <x:f>IFERROR(L90/I90,0)</x:f>
        <x:v>0.09466437177280548</x:v>
      </x:c>
    </x:row>
    <x:row r="91">
      <x:c r="A91" s="12" t="str">
        <x:v>SALE-00090</x:v>
      </x:c>
      <x:c r="B91" s="14" t="n">
        <x:v>46054</x:v>
      </x:c>
      <x:c r="C91" s="12" t="str">
        <x:v>DLR-004</x:v>
      </x:c>
      <x:c r="D91" s="12" t="str">
        <x:v>Việt Trì Ford</x:v>
      </x:c>
      <x:c r="E91" s="12" t="str">
        <x:v>Ford</x:v>
      </x:c>
      <x:c r="F91" s="12" t="str">
        <x:v>Everest</x:v>
      </x:c>
      <x:c r="G91" s="12" t="n">
        <x:v>7</x:v>
      </x:c>
      <x:c r="H91" s="12" t="n">
        <x:v>1080.9</x:v>
      </x:c>
      <x:c r="I91" s="12" t="n">
        <x:v>7.57</x:v>
      </x:c>
      <x:c r="J91" s="16" t="n">
        <x:v>0.03924835413224573</x:v>
      </x:c>
      <x:c r="K91" s="12" t="n">
        <x:v>6.89</x:v>
      </x:c>
      <x:c r="L91" s="12" t="n">
        <x:f>I91-K91</x:f>
        <x:v>0.6800000000000006</x:v>
      </x:c>
      <x:c r="M91" s="16" t="n">
        <x:f>IFERROR(L91/I91,0)</x:f>
        <x:v>0.08982826948480853</x:v>
      </x:c>
    </x:row>
    <x:row r="92">
      <x:c r="A92" s="12" t="str">
        <x:v>SALE-00091</x:v>
      </x:c>
      <x:c r="B92" s="14" t="n">
        <x:v>46054</x:v>
      </x:c>
      <x:c r="C92" s="12" t="str">
        <x:v>DLR-004</x:v>
      </x:c>
      <x:c r="D92" s="12" t="str">
        <x:v>Việt Trì Ford</x:v>
      </x:c>
      <x:c r="E92" s="12" t="str">
        <x:v>Ford</x:v>
      </x:c>
      <x:c r="F92" s="12" t="str">
        <x:v>Territory</x:v>
      </x:c>
      <x:c r="G92" s="12" t="n">
        <x:v>5</x:v>
      </x:c>
      <x:c r="H92" s="12" t="n">
        <x:v>808.6</x:v>
      </x:c>
      <x:c r="I92" s="12" t="n">
        <x:v>4.04</x:v>
      </x:c>
      <x:c r="J92" s="16" t="n">
        <x:v>0.025188900245543277</x:v>
      </x:c>
      <x:c r="K92" s="12" t="n">
        <x:v>3.73</x:v>
      </x:c>
      <x:c r="L92" s="12" t="n">
        <x:f>I92-K92</x:f>
        <x:v>0.31000000000000005</x:v>
      </x:c>
      <x:c r="M92" s="16" t="n">
        <x:f>IFERROR(L92/I92,0)</x:f>
        <x:v>0.07673267326732675</x:v>
      </x:c>
    </x:row>
    <x:row r="93">
      <x:c r="A93" s="12" t="str">
        <x:v>SALE-00092</x:v>
      </x:c>
      <x:c r="B93" s="14" t="n">
        <x:v>46054</x:v>
      </x:c>
      <x:c r="C93" s="12" t="str">
        <x:v>DLR-004</x:v>
      </x:c>
      <x:c r="D93" s="12" t="str">
        <x:v>Việt Trì Ford</x:v>
      </x:c>
      <x:c r="E93" s="12" t="str">
        <x:v>Ford</x:v>
      </x:c>
      <x:c r="F93" s="12" t="str">
        <x:v>Explorer</x:v>
      </x:c>
      <x:c r="G93" s="12" t="n">
        <x:v>4</x:v>
      </x:c>
      <x:c r="H93" s="12" t="n">
        <x:v>2129.5</x:v>
      </x:c>
      <x:c r="I93" s="12" t="n">
        <x:v>8.52</x:v>
      </x:c>
      <x:c r="J93" s="16" t="n">
        <x:v>0.036538079883711674</x:v>
      </x:c>
      <x:c r="K93" s="12" t="n">
        <x:v>7.86</x:v>
      </x:c>
      <x:c r="L93" s="12" t="n">
        <x:f>I93-K93</x:f>
        <x:v>0.6599999999999993</x:v>
      </x:c>
      <x:c r="M93" s="16" t="n">
        <x:f>IFERROR(L93/I93,0)</x:f>
        <x:v>0.07746478873239428</x:v>
      </x:c>
    </x:row>
    <x:row r="94">
      <x:c r="A94" s="12" t="str">
        <x:v>SALE-00093</x:v>
      </x:c>
      <x:c r="B94" s="14" t="n">
        <x:v>46082</x:v>
      </x:c>
      <x:c r="C94" s="12" t="str">
        <x:v>DLR-004</x:v>
      </x:c>
      <x:c r="D94" s="12" t="str">
        <x:v>Việt Trì Ford</x:v>
      </x:c>
      <x:c r="E94" s="12" t="str">
        <x:v>Ford</x:v>
      </x:c>
      <x:c r="F94" s="12" t="str">
        <x:v>Ranger</x:v>
      </x:c>
      <x:c r="G94" s="12" t="n">
        <x:v>7</x:v>
      </x:c>
      <x:c r="H94" s="12" t="n">
        <x:v>750.2</x:v>
      </x:c>
      <x:c r="I94" s="12" t="n">
        <x:v>5.25</x:v>
      </x:c>
      <x:c r="J94" s="16" t="n">
        <x:v>0.029568858871250568</x:v>
      </x:c>
      <x:c r="K94" s="12" t="n">
        <x:v>4.64</x:v>
      </x:c>
      <x:c r="L94" s="12" t="n">
        <x:f>I94-K94</x:f>
        <x:v>0.6100000000000003</x:v>
      </x:c>
      <x:c r="M94" s="16" t="n">
        <x:f>IFERROR(L94/I94,0)</x:f>
        <x:v>0.11619047619047625</x:v>
      </x:c>
    </x:row>
    <x:row r="95">
      <x:c r="A95" s="12" t="str">
        <x:v>SALE-00094</x:v>
      </x:c>
      <x:c r="B95" s="14" t="n">
        <x:v>46082</x:v>
      </x:c>
      <x:c r="C95" s="12" t="str">
        <x:v>DLR-004</x:v>
      </x:c>
      <x:c r="D95" s="12" t="str">
        <x:v>Việt Trì Ford</x:v>
      </x:c>
      <x:c r="E95" s="12" t="str">
        <x:v>Ford</x:v>
      </x:c>
      <x:c r="F95" s="12" t="str">
        <x:v>Everest</x:v>
      </x:c>
      <x:c r="G95" s="12" t="n">
        <x:v>7</x:v>
      </x:c>
      <x:c r="H95" s="12" t="n">
        <x:v>1082.4</x:v>
      </x:c>
      <x:c r="I95" s="12" t="n">
        <x:v>7.58</x:v>
      </x:c>
      <x:c r="J95" s="16" t="n">
        <x:v>0.027556625802334388</x:v>
      </x:c>
      <x:c r="K95" s="12" t="n">
        <x:v>7.05</x:v>
      </x:c>
      <x:c r="L95" s="12" t="n">
        <x:f>I95-K95</x:f>
        <x:v>0.5300000000000002</x:v>
      </x:c>
      <x:c r="M95" s="16" t="n">
        <x:f>IFERROR(L95/I95,0)</x:f>
        <x:v>0.06992084432717681</x:v>
      </x:c>
    </x:row>
    <x:row r="96">
      <x:c r="A96" s="12" t="str">
        <x:v>SALE-00095</x:v>
      </x:c>
      <x:c r="B96" s="14" t="n">
        <x:v>46082</x:v>
      </x:c>
      <x:c r="C96" s="12" t="str">
        <x:v>DLR-004</x:v>
      </x:c>
      <x:c r="D96" s="12" t="str">
        <x:v>Việt Trì Ford</x:v>
      </x:c>
      <x:c r="E96" s="12" t="str">
        <x:v>Ford</x:v>
      </x:c>
      <x:c r="F96" s="12" t="str">
        <x:v>Territory</x:v>
      </x:c>
      <x:c r="G96" s="12" t="n">
        <x:v>7</x:v>
      </x:c>
      <x:c r="H96" s="12" t="n">
        <x:v>790.5</x:v>
      </x:c>
      <x:c r="I96" s="12" t="n">
        <x:v>5.53</x:v>
      </x:c>
      <x:c r="J96" s="16" t="n">
        <x:v>0.027371386488346132</x:v>
      </x:c>
      <x:c r="K96" s="12" t="n">
        <x:v>5.01</x:v>
      </x:c>
      <x:c r="L96" s="12" t="n">
        <x:f>I96-K96</x:f>
        <x:v>0.5200000000000005</x:v>
      </x:c>
      <x:c r="M96" s="16" t="n">
        <x:f>IFERROR(L96/I96,0)</x:f>
        <x:v>0.09403254972875234</x:v>
      </x:c>
    </x:row>
    <x:row r="97">
      <x:c r="A97" s="12" t="str">
        <x:v>SALE-00096</x:v>
      </x:c>
      <x:c r="B97" s="14" t="n">
        <x:v>46082</x:v>
      </x:c>
      <x:c r="C97" s="12" t="str">
        <x:v>DLR-004</x:v>
      </x:c>
      <x:c r="D97" s="12" t="str">
        <x:v>Việt Trì Ford</x:v>
      </x:c>
      <x:c r="E97" s="12" t="str">
        <x:v>Ford</x:v>
      </x:c>
      <x:c r="F97" s="12" t="str">
        <x:v>Explorer</x:v>
      </x:c>
      <x:c r="G97" s="12" t="n">
        <x:v>6</x:v>
      </x:c>
      <x:c r="H97" s="12" t="n">
        <x:v>2023.7</x:v>
      </x:c>
      <x:c r="I97" s="12" t="n">
        <x:v>12.14</x:v>
      </x:c>
      <x:c r="J97" s="16" t="n">
        <x:v>0.020091511962366127</x:v>
      </x:c>
      <x:c r="K97" s="12" t="n">
        <x:v>10.99</x:v>
      </x:c>
      <x:c r="L97" s="12" t="n">
        <x:f>I97-K97</x:f>
        <x:v>1.1500000000000004</x:v>
      </x:c>
      <x:c r="M97" s="16" t="n">
        <x:f>IFERROR(L97/I97,0)</x:f>
        <x:v>0.09472817133443165</x:v>
      </x:c>
    </x:row>
    <x:row r="98">
      <x:c r="A98" s="12" t="str">
        <x:v>SALE-00097</x:v>
      </x:c>
      <x:c r="B98" s="14" t="n">
        <x:v>46113</x:v>
      </x:c>
      <x:c r="C98" s="12" t="str">
        <x:v>DLR-004</x:v>
      </x:c>
      <x:c r="D98" s="12" t="str">
        <x:v>Việt Trì Ford</x:v>
      </x:c>
      <x:c r="E98" s="12" t="str">
        <x:v>Ford</x:v>
      </x:c>
      <x:c r="F98" s="12" t="str">
        <x:v>Ranger</x:v>
      </x:c>
      <x:c r="G98" s="12" t="n">
        <x:v>9</x:v>
      </x:c>
      <x:c r="H98" s="12" t="n">
        <x:v>750.6</x:v>
      </x:c>
      <x:c r="I98" s="12" t="n">
        <x:v>6.76</x:v>
      </x:c>
      <x:c r="J98" s="16" t="n">
        <x:v>0.051112221829303306</x:v>
      </x:c>
      <x:c r="K98" s="12" t="n">
        <x:v>6.19</x:v>
      </x:c>
      <x:c r="L98" s="12" t="n">
        <x:f>I98-K98</x:f>
        <x:v>0.5699999999999994</x:v>
      </x:c>
      <x:c r="M98" s="16" t="n">
        <x:f>IFERROR(L98/I98,0)</x:f>
        <x:v>0.08431952662721885</x:v>
      </x:c>
    </x:row>
    <x:row r="99">
      <x:c r="A99" s="12" t="str">
        <x:v>SALE-00098</x:v>
      </x:c>
      <x:c r="B99" s="14" t="n">
        <x:v>46113</x:v>
      </x:c>
      <x:c r="C99" s="12" t="str">
        <x:v>DLR-004</x:v>
      </x:c>
      <x:c r="D99" s="12" t="str">
        <x:v>Việt Trì Ford</x:v>
      </x:c>
      <x:c r="E99" s="12" t="str">
        <x:v>Ford</x:v>
      </x:c>
      <x:c r="F99" s="12" t="str">
        <x:v>Everest</x:v>
      </x:c>
      <x:c r="G99" s="12" t="n">
        <x:v>5</x:v>
      </x:c>
      <x:c r="H99" s="12" t="n">
        <x:v>1101.9</x:v>
      </x:c>
      <x:c r="I99" s="12" t="n">
        <x:v>5.51</x:v>
      </x:c>
      <x:c r="J99" s="16" t="n">
        <x:v>0.015016237587891501</x:v>
      </x:c>
      <x:c r="K99" s="12" t="n">
        <x:v>4.94</x:v>
      </x:c>
      <x:c r="L99" s="12" t="n">
        <x:f>I99-K99</x:f>
        <x:v>0.5699999999999994</x:v>
      </x:c>
      <x:c r="M99" s="16" t="n">
        <x:f>IFERROR(L99/I99,0)</x:f>
        <x:v>0.10344827586206885</x:v>
      </x:c>
    </x:row>
    <x:row r="100">
      <x:c r="A100" s="12" t="str">
        <x:v>SALE-00099</x:v>
      </x:c>
      <x:c r="B100" s="14" t="n">
        <x:v>46113</x:v>
      </x:c>
      <x:c r="C100" s="12" t="str">
        <x:v>DLR-004</x:v>
      </x:c>
      <x:c r="D100" s="12" t="str">
        <x:v>Việt Trì Ford</x:v>
      </x:c>
      <x:c r="E100" s="12" t="str">
        <x:v>Ford</x:v>
      </x:c>
      <x:c r="F100" s="12" t="str">
        <x:v>Territory</x:v>
      </x:c>
      <x:c r="G100" s="12" t="n">
        <x:v>6</x:v>
      </x:c>
      <x:c r="H100" s="12" t="n">
        <x:v>808.8</x:v>
      </x:c>
      <x:c r="I100" s="12" t="n">
        <x:v>4.85</x:v>
      </x:c>
      <x:c r="J100" s="16" t="n">
        <x:v>0.04118822494812287</x:v>
      </x:c>
      <x:c r="K100" s="12" t="n">
        <x:v>4.41</x:v>
      </x:c>
      <x:c r="L100" s="12" t="n">
        <x:f>I100-K100</x:f>
        <x:v>0.4399999999999995</x:v>
      </x:c>
      <x:c r="M100" s="16" t="n">
        <x:f>IFERROR(L100/I100,0)</x:f>
        <x:v>0.09072164948453598</x:v>
      </x:c>
    </x:row>
    <x:row r="101">
      <x:c r="A101" s="12" t="str">
        <x:v>SALE-00100</x:v>
      </x:c>
      <x:c r="B101" s="14" t="n">
        <x:v>46113</x:v>
      </x:c>
      <x:c r="C101" s="12" t="str">
        <x:v>DLR-004</x:v>
      </x:c>
      <x:c r="D101" s="12" t="str">
        <x:v>Việt Trì Ford</x:v>
      </x:c>
      <x:c r="E101" s="12" t="str">
        <x:v>Ford</x:v>
      </x:c>
      <x:c r="F101" s="12" t="str">
        <x:v>Explorer</x:v>
      </x:c>
      <x:c r="G101" s="12" t="n">
        <x:v>6</x:v>
      </x:c>
      <x:c r="H101" s="12" t="n">
        <x:v>2009.9</x:v>
      </x:c>
      <x:c r="I101" s="12" t="n">
        <x:v>12.06</x:v>
      </x:c>
      <x:c r="J101" s="16" t="n">
        <x:v>0.03392744743637305</x:v>
      </x:c>
      <x:c r="K101" s="12" t="n">
        <x:v>11.26</x:v>
      </x:c>
      <x:c r="L101" s="12" t="n">
        <x:f>I101-K101</x:f>
        <x:v>0.8000000000000007</x:v>
      </x:c>
      <x:c r="M101" s="16" t="n">
        <x:f>IFERROR(L101/I101,0)</x:f>
        <x:v>0.0663349917081261</x:v>
      </x:c>
    </x:row>
    <x:row r="102">
      <x:c r="A102" s="12" t="str">
        <x:v>SALE-00101</x:v>
      </x:c>
      <x:c r="B102" s="14" t="n">
        <x:v>46143</x:v>
      </x:c>
      <x:c r="C102" s="12" t="str">
        <x:v>DLR-004</x:v>
      </x:c>
      <x:c r="D102" s="12" t="str">
        <x:v>Việt Trì Ford</x:v>
      </x:c>
      <x:c r="E102" s="12" t="str">
        <x:v>Ford</x:v>
      </x:c>
      <x:c r="F102" s="12" t="str">
        <x:v>Ranger</x:v>
      </x:c>
      <x:c r="G102" s="12" t="n">
        <x:v>8</x:v>
      </x:c>
      <x:c r="H102" s="12" t="n">
        <x:v>719.9</x:v>
      </x:c>
      <x:c r="I102" s="12" t="n">
        <x:v>5.76</x:v>
      </x:c>
      <x:c r="J102" s="16" t="n">
        <x:v>0.01839182146900487</x:v>
      </x:c>
      <x:c r="K102" s="12" t="n">
        <x:v>5.25</x:v>
      </x:c>
      <x:c r="L102" s="12" t="n">
        <x:f>I102-K102</x:f>
        <x:v>0.5099999999999998</x:v>
      </x:c>
      <x:c r="M102" s="16" t="n">
        <x:f>IFERROR(L102/I102,0)</x:f>
        <x:v>0.08854166666666663</x:v>
      </x:c>
    </x:row>
    <x:row r="103">
      <x:c r="A103" s="12" t="str">
        <x:v>SALE-00102</x:v>
      </x:c>
      <x:c r="B103" s="14" t="n">
        <x:v>46143</x:v>
      </x:c>
      <x:c r="C103" s="12" t="str">
        <x:v>DLR-004</x:v>
      </x:c>
      <x:c r="D103" s="12" t="str">
        <x:v>Việt Trì Ford</x:v>
      </x:c>
      <x:c r="E103" s="12" t="str">
        <x:v>Ford</x:v>
      </x:c>
      <x:c r="F103" s="12" t="str">
        <x:v>Everest</x:v>
      </x:c>
      <x:c r="G103" s="12" t="n">
        <x:v>7</x:v>
      </x:c>
      <x:c r="H103" s="12" t="n">
        <x:v>1082.8</x:v>
      </x:c>
      <x:c r="I103" s="12" t="n">
        <x:v>7.58</x:v>
      </x:c>
      <x:c r="J103" s="16" t="n">
        <x:v>0.04773693858146657</x:v>
      </x:c>
      <x:c r="K103" s="12" t="n">
        <x:v>7.01</x:v>
      </x:c>
      <x:c r="L103" s="12" t="n">
        <x:f>I103-K103</x:f>
        <x:v>0.5700000000000003</x:v>
      </x:c>
      <x:c r="M103" s="16" t="n">
        <x:f>IFERROR(L103/I103,0)</x:f>
        <x:v>0.07519788918205808</x:v>
      </x:c>
    </x:row>
    <x:row r="104">
      <x:c r="A104" s="12" t="str">
        <x:v>SALE-00103</x:v>
      </x:c>
      <x:c r="B104" s="14" t="n">
        <x:v>46143</x:v>
      </x:c>
      <x:c r="C104" s="12" t="str">
        <x:v>DLR-004</x:v>
      </x:c>
      <x:c r="D104" s="12" t="str">
        <x:v>Việt Trì Ford</x:v>
      </x:c>
      <x:c r="E104" s="12" t="str">
        <x:v>Ford</x:v>
      </x:c>
      <x:c r="F104" s="12" t="str">
        <x:v>Territory</x:v>
      </x:c>
      <x:c r="G104" s="12" t="n">
        <x:v>8</x:v>
      </x:c>
      <x:c r="H104" s="12" t="n">
        <x:v>785.5</x:v>
      </x:c>
      <x:c r="I104" s="12" t="n">
        <x:v>6.28</x:v>
      </x:c>
      <x:c r="J104" s="16" t="n">
        <x:v>0.022965197309063066</x:v>
      </x:c>
      <x:c r="K104" s="12" t="n">
        <x:v>5.54</x:v>
      </x:c>
      <x:c r="L104" s="12" t="n">
        <x:f>I104-K104</x:f>
        <x:v>0.7400000000000002</x:v>
      </x:c>
      <x:c r="M104" s="16" t="n">
        <x:f>IFERROR(L104/I104,0)</x:f>
        <x:v>0.11783439490445863</x:v>
      </x:c>
    </x:row>
    <x:row r="105">
      <x:c r="A105" s="12" t="str">
        <x:v>SALE-00104</x:v>
      </x:c>
      <x:c r="B105" s="14" t="n">
        <x:v>46143</x:v>
      </x:c>
      <x:c r="C105" s="12" t="str">
        <x:v>DLR-004</x:v>
      </x:c>
      <x:c r="D105" s="12" t="str">
        <x:v>Việt Trì Ford</x:v>
      </x:c>
      <x:c r="E105" s="12" t="str">
        <x:v>Ford</x:v>
      </x:c>
      <x:c r="F105" s="12" t="str">
        <x:v>Explorer</x:v>
      </x:c>
      <x:c r="G105" s="12" t="n">
        <x:v>5</x:v>
      </x:c>
      <x:c r="H105" s="12" t="n">
        <x:v>2053.8</x:v>
      </x:c>
      <x:c r="I105" s="12" t="n">
        <x:v>10.27</x:v>
      </x:c>
      <x:c r="J105" s="16" t="n">
        <x:v>0.04898950778498928</x:v>
      </x:c>
      <x:c r="K105" s="12" t="n">
        <x:v>9.08</x:v>
      </x:c>
      <x:c r="L105" s="12" t="n">
        <x:f>I105-K105</x:f>
        <x:v>1.1899999999999995</x:v>
      </x:c>
      <x:c r="M105" s="16" t="n">
        <x:f>IFERROR(L105/I105,0)</x:f>
        <x:v>0.11587147030185001</x:v>
      </x:c>
    </x:row>
    <x:row r="106">
      <x:c r="A106" s="12" t="str">
        <x:v>SALE-00105</x:v>
      </x:c>
      <x:c r="B106" s="14" t="n">
        <x:v>46174</x:v>
      </x:c>
      <x:c r="C106" s="12" t="str">
        <x:v>DLR-004</x:v>
      </x:c>
      <x:c r="D106" s="12" t="str">
        <x:v>Việt Trì Ford</x:v>
      </x:c>
      <x:c r="E106" s="12" t="str">
        <x:v>Ford</x:v>
      </x:c>
      <x:c r="F106" s="12" t="str">
        <x:v>Ranger</x:v>
      </x:c>
      <x:c r="G106" s="12" t="n">
        <x:v>6</x:v>
      </x:c>
      <x:c r="H106" s="12" t="n">
        <x:v>747.7</x:v>
      </x:c>
      <x:c r="I106" s="12" t="n">
        <x:v>4.49</x:v>
      </x:c>
      <x:c r="J106" s="16" t="n">
        <x:v>0.022777409469588374</x:v>
      </x:c>
      <x:c r="K106" s="12" t="n">
        <x:v>4.14</x:v>
      </x:c>
      <x:c r="L106" s="12" t="n">
        <x:f>I106-K106</x:f>
        <x:v>0.35000000000000053</x:v>
      </x:c>
      <x:c r="M106" s="16" t="n">
        <x:f>IFERROR(L106/I106,0)</x:f>
        <x:v>0.0779510022271716</x:v>
      </x:c>
    </x:row>
    <x:row r="107">
      <x:c r="A107" s="12" t="str">
        <x:v>SALE-00106</x:v>
      </x:c>
      <x:c r="B107" s="14" t="n">
        <x:v>46174</x:v>
      </x:c>
      <x:c r="C107" s="12" t="str">
        <x:v>DLR-004</x:v>
      </x:c>
      <x:c r="D107" s="12" t="str">
        <x:v>Việt Trì Ford</x:v>
      </x:c>
      <x:c r="E107" s="12" t="str">
        <x:v>Ford</x:v>
      </x:c>
      <x:c r="F107" s="12" t="str">
        <x:v>Everest</x:v>
      </x:c>
      <x:c r="G107" s="12" t="n">
        <x:v>7</x:v>
      </x:c>
      <x:c r="H107" s="12" t="n">
        <x:v>1074.7</x:v>
      </x:c>
      <x:c r="I107" s="12" t="n">
        <x:v>7.52</x:v>
      </x:c>
      <x:c r="J107" s="16" t="n">
        <x:v>0.04124232044447136</x:v>
      </x:c>
      <x:c r="K107" s="12" t="n">
        <x:v>6.62</x:v>
      </x:c>
      <x:c r="L107" s="12" t="n">
        <x:f>I107-K107</x:f>
        <x:v>0.8999999999999995</x:v>
      </x:c>
      <x:c r="M107" s="16" t="n">
        <x:f>IFERROR(L107/I107,0)</x:f>
        <x:v>0.11968085106382972</x:v>
      </x:c>
    </x:row>
    <x:row r="108">
      <x:c r="A108" s="12" t="str">
        <x:v>SALE-00107</x:v>
      </x:c>
      <x:c r="B108" s="14" t="n">
        <x:v>46174</x:v>
      </x:c>
      <x:c r="C108" s="12" t="str">
        <x:v>DLR-004</x:v>
      </x:c>
      <x:c r="D108" s="12" t="str">
        <x:v>Việt Trì Ford</x:v>
      </x:c>
      <x:c r="E108" s="12" t="str">
        <x:v>Ford</x:v>
      </x:c>
      <x:c r="F108" s="12" t="str">
        <x:v>Territory</x:v>
      </x:c>
      <x:c r="G108" s="12" t="n">
        <x:v>8</x:v>
      </x:c>
      <x:c r="H108" s="12" t="n">
        <x:v>821.3</x:v>
      </x:c>
      <x:c r="I108" s="12" t="n">
        <x:v>6.57</x:v>
      </x:c>
      <x:c r="J108" s="16" t="n">
        <x:v>0.019263491862541556</x:v>
      </x:c>
      <x:c r="K108" s="12" t="n">
        <x:v>5.95</x:v>
      </x:c>
      <x:c r="L108" s="12" t="n">
        <x:f>I108-K108</x:f>
        <x:v>0.6200000000000001</x:v>
      </x:c>
      <x:c r="M108" s="16" t="n">
        <x:f>IFERROR(L108/I108,0)</x:f>
        <x:v>0.09436834094368342</x:v>
      </x:c>
    </x:row>
    <x:row r="109">
      <x:c r="A109" s="12" t="str">
        <x:v>SALE-00108</x:v>
      </x:c>
      <x:c r="B109" s="14" t="n">
        <x:v>46174</x:v>
      </x:c>
      <x:c r="C109" s="12" t="str">
        <x:v>DLR-004</x:v>
      </x:c>
      <x:c r="D109" s="12" t="str">
        <x:v>Việt Trì Ford</x:v>
      </x:c>
      <x:c r="E109" s="12" t="str">
        <x:v>Ford</x:v>
      </x:c>
      <x:c r="F109" s="12" t="str">
        <x:v>Explorer</x:v>
      </x:c>
      <x:c r="G109" s="12" t="n">
        <x:v>5</x:v>
      </x:c>
      <x:c r="H109" s="12" t="n">
        <x:v>2134.9</x:v>
      </x:c>
      <x:c r="I109" s="12" t="n">
        <x:v>10.67</x:v>
      </x:c>
      <x:c r="J109" s="16" t="n">
        <x:v>0.03571831001774963</x:v>
      </x:c>
      <x:c r="K109" s="12" t="n">
        <x:v>9.43</x:v>
      </x:c>
      <x:c r="L109" s="12" t="n">
        <x:f>I109-K109</x:f>
        <x:v>1.2400000000000002</x:v>
      </x:c>
      <x:c r="M109" s="16" t="n">
        <x:f>IFERROR(L109/I109,0)</x:f>
        <x:v>0.11621368322399252</x:v>
      </x:c>
    </x:row>
    <x:row r="110">
      <x:c r="A110" s="12" t="str">
        <x:v>SALE-00109</x:v>
      </x:c>
      <x:c r="B110" s="14" t="n">
        <x:v>46204</x:v>
      </x:c>
      <x:c r="C110" s="12" t="str">
        <x:v>DLR-004</x:v>
      </x:c>
      <x:c r="D110" s="12" t="str">
        <x:v>Việt Trì Ford</x:v>
      </x:c>
      <x:c r="E110" s="12" t="str">
        <x:v>Ford</x:v>
      </x:c>
      <x:c r="F110" s="12" t="str">
        <x:v>Ranger</x:v>
      </x:c>
      <x:c r="G110" s="12" t="n">
        <x:v>6</x:v>
      </x:c>
      <x:c r="H110" s="12" t="n">
        <x:v>760.9</x:v>
      </x:c>
      <x:c r="I110" s="12" t="n">
        <x:v>4.57</x:v>
      </x:c>
      <x:c r="J110" s="16" t="n">
        <x:v>0.0332584730188069</x:v>
      </x:c>
      <x:c r="K110" s="12" t="n">
        <x:v>4.24</x:v>
      </x:c>
      <x:c r="L110" s="12" t="n">
        <x:f>I110-K110</x:f>
        <x:v>0.33000000000000007</x:v>
      </x:c>
      <x:c r="M110" s="16" t="n">
        <x:f>IFERROR(L110/I110,0)</x:f>
        <x:v>0.07221006564551423</x:v>
      </x:c>
    </x:row>
    <x:row r="111">
      <x:c r="A111" s="12" t="str">
        <x:v>SALE-00110</x:v>
      </x:c>
      <x:c r="B111" s="14" t="n">
        <x:v>46204</x:v>
      </x:c>
      <x:c r="C111" s="12" t="str">
        <x:v>DLR-004</x:v>
      </x:c>
      <x:c r="D111" s="12" t="str">
        <x:v>Việt Trì Ford</x:v>
      </x:c>
      <x:c r="E111" s="12" t="str">
        <x:v>Ford</x:v>
      </x:c>
      <x:c r="F111" s="12" t="str">
        <x:v>Everest</x:v>
      </x:c>
      <x:c r="G111" s="12" t="n">
        <x:v>8</x:v>
      </x:c>
      <x:c r="H111" s="12" t="n">
        <x:v>1141.3</x:v>
      </x:c>
      <x:c r="I111" s="12" t="n">
        <x:v>9.13</x:v>
      </x:c>
      <x:c r="J111" s="16" t="n">
        <x:v>0.03881809273877679</x:v>
      </x:c>
      <x:c r="K111" s="12" t="n">
        <x:v>8.56</x:v>
      </x:c>
      <x:c r="L111" s="12" t="n">
        <x:f>I111-K111</x:f>
        <x:v>0.5700000000000003</x:v>
      </x:c>
      <x:c r="M111" s="16" t="n">
        <x:f>IFERROR(L111/I111,0)</x:f>
        <x:v>0.06243154435925523</x:v>
      </x:c>
    </x:row>
    <x:row r="112">
      <x:c r="A112" s="12" t="str">
        <x:v>SALE-00111</x:v>
      </x:c>
      <x:c r="B112" s="14" t="n">
        <x:v>46204</x:v>
      </x:c>
      <x:c r="C112" s="12" t="str">
        <x:v>DLR-004</x:v>
      </x:c>
      <x:c r="D112" s="12" t="str">
        <x:v>Việt Trì Ford</x:v>
      </x:c>
      <x:c r="E112" s="12" t="str">
        <x:v>Ford</x:v>
      </x:c>
      <x:c r="F112" s="12" t="str">
        <x:v>Territory</x:v>
      </x:c>
      <x:c r="G112" s="12" t="n">
        <x:v>9</x:v>
      </x:c>
      <x:c r="H112" s="12" t="n">
        <x:v>811</x:v>
      </x:c>
      <x:c r="I112" s="12" t="n">
        <x:v>7.3</x:v>
      </x:c>
      <x:c r="J112" s="16" t="n">
        <x:v>0.043770958451038684</x:v>
      </x:c>
      <x:c r="K112" s="12" t="n">
        <x:v>6.64</x:v>
      </x:c>
      <x:c r="L112" s="12" t="n">
        <x:f>I112-K112</x:f>
        <x:v>0.6600000000000001</x:v>
      </x:c>
      <x:c r="M112" s="16" t="n">
        <x:f>IFERROR(L112/I112,0)</x:f>
        <x:v>0.0904109589041096</x:v>
      </x:c>
    </x:row>
    <x:row r="113">
      <x:c r="A113" s="12" t="str">
        <x:v>SALE-00112</x:v>
      </x:c>
      <x:c r="B113" s="14" t="n">
        <x:v>46204</x:v>
      </x:c>
      <x:c r="C113" s="12" t="str">
        <x:v>DLR-004</x:v>
      </x:c>
      <x:c r="D113" s="12" t="str">
        <x:v>Việt Trì Ford</x:v>
      </x:c>
      <x:c r="E113" s="12" t="str">
        <x:v>Ford</x:v>
      </x:c>
      <x:c r="F113" s="12" t="str">
        <x:v>Explorer</x:v>
      </x:c>
      <x:c r="G113" s="12" t="n">
        <x:v>9</x:v>
      </x:c>
      <x:c r="H113" s="12" t="n">
        <x:v>2066</x:v>
      </x:c>
      <x:c r="I113" s="12" t="n">
        <x:v>18.59</x:v>
      </x:c>
      <x:c r="J113" s="16" t="n">
        <x:v>0.05088832412933049</x:v>
      </x:c>
      <x:c r="K113" s="12" t="n">
        <x:v>17.19</x:v>
      </x:c>
      <x:c r="L113" s="12" t="n">
        <x:f>I113-K113</x:f>
        <x:v>1.3999999999999986</x:v>
      </x:c>
      <x:c r="M113" s="16" t="n">
        <x:f>IFERROR(L113/I113,0)</x:f>
        <x:v>0.07530930607853677</x:v>
      </x:c>
    </x:row>
    <x:row r="114">
      <x:c r="A114" s="12" t="str">
        <x:v>SALE-00113</x:v>
      </x:c>
      <x:c r="B114" s="14" t="n">
        <x:v>46023</x:v>
      </x:c>
      <x:c r="C114" s="12" t="str">
        <x:v>DLR-005</x:v>
      </x:c>
      <x:c r="D114" s="12" t="str">
        <x:v>BYD HTA Tây Hồ</x:v>
      </x:c>
      <x:c r="E114" s="12" t="str">
        <x:v>BYD</x:v>
      </x:c>
      <x:c r="F114" s="12" t="str">
        <x:v>Dolphin</x:v>
      </x:c>
      <x:c r="G114" s="12" t="n">
        <x:v>4</x:v>
      </x:c>
      <x:c r="H114" s="12" t="n">
        <x:v>632.5</x:v>
      </x:c>
      <x:c r="I114" s="12" t="n">
        <x:v>2.53</x:v>
      </x:c>
      <x:c r="J114" s="16" t="n">
        <x:v>0.04050645747104625</x:v>
      </x:c>
      <x:c r="K114" s="12" t="n">
        <x:v>2.34</x:v>
      </x:c>
      <x:c r="L114" s="12" t="n">
        <x:f>I114-K114</x:f>
        <x:v>0.18999999999999995</x:v>
      </x:c>
      <x:c r="M114" s="16" t="n">
        <x:f>IFERROR(L114/I114,0)</x:f>
        <x:v>0.075098814229249</x:v>
      </x:c>
    </x:row>
    <x:row r="115">
      <x:c r="A115" s="12" t="str">
        <x:v>SALE-00114</x:v>
      </x:c>
      <x:c r="B115" s="14" t="n">
        <x:v>46023</x:v>
      </x:c>
      <x:c r="C115" s="12" t="str">
        <x:v>DLR-005</x:v>
      </x:c>
      <x:c r="D115" s="12" t="str">
        <x:v>BYD HTA Tây Hồ</x:v>
      </x:c>
      <x:c r="E115" s="12" t="str">
        <x:v>BYD</x:v>
      </x:c>
      <x:c r="F115" s="12" t="str">
        <x:v>Atto 3</x:v>
      </x:c>
      <x:c r="G115" s="12" t="n">
        <x:v>5</x:v>
      </x:c>
      <x:c r="H115" s="12" t="n">
        <x:v>758.4</x:v>
      </x:c>
      <x:c r="I115" s="12" t="n">
        <x:v>3.79</x:v>
      </x:c>
      <x:c r="J115" s="16" t="n">
        <x:v>0.02598389787670153</x:v>
      </x:c>
      <x:c r="K115" s="12" t="n">
        <x:v>3.35</x:v>
      </x:c>
      <x:c r="L115" s="12" t="n">
        <x:f>I115-K115</x:f>
        <x:v>0.43999999999999995</x:v>
      </x:c>
      <x:c r="M115" s="16" t="n">
        <x:f>IFERROR(L115/I115,0)</x:f>
        <x:v>0.11609498680738785</x:v>
      </x:c>
    </x:row>
    <x:row r="116">
      <x:c r="A116" s="12" t="str">
        <x:v>SALE-00115</x:v>
      </x:c>
      <x:c r="B116" s="14" t="n">
        <x:v>46023</x:v>
      </x:c>
      <x:c r="C116" s="12" t="str">
        <x:v>DLR-005</x:v>
      </x:c>
      <x:c r="D116" s="12" t="str">
        <x:v>BYD HTA Tây Hồ</x:v>
      </x:c>
      <x:c r="E116" s="12" t="str">
        <x:v>BYD</x:v>
      </x:c>
      <x:c r="F116" s="12" t="str">
        <x:v>Seal</x:v>
      </x:c>
      <x:c r="G116" s="12" t="n">
        <x:v>4</x:v>
      </x:c>
      <x:c r="H116" s="12" t="n">
        <x:v>1076.2</x:v>
      </x:c>
      <x:c r="I116" s="12" t="n">
        <x:v>4.3</x:v>
      </x:c>
      <x:c r="J116" s="16" t="n">
        <x:v>0.027788382736750494</x:v>
      </x:c>
      <x:c r="K116" s="12" t="n">
        <x:v>3.93</x:v>
      </x:c>
      <x:c r="L116" s="12" t="n">
        <x:f>I116-K116</x:f>
        <x:v>0.36999999999999966</x:v>
      </x:c>
      <x:c r="M116" s="16" t="n">
        <x:f>IFERROR(L116/I116,0)</x:f>
        <x:v>0.0860465116279069</x:v>
      </x:c>
    </x:row>
    <x:row r="117">
      <x:c r="A117" s="12" t="str">
        <x:v>SALE-00116</x:v>
      </x:c>
      <x:c r="B117" s="14" t="n">
        <x:v>46023</x:v>
      </x:c>
      <x:c r="C117" s="12" t="str">
        <x:v>DLR-005</x:v>
      </x:c>
      <x:c r="D117" s="12" t="str">
        <x:v>BYD HTA Tây Hồ</x:v>
      </x:c>
      <x:c r="E117" s="12" t="str">
        <x:v>BYD</x:v>
      </x:c>
      <x:c r="F117" s="12" t="str">
        <x:v>M6</x:v>
      </x:c>
      <x:c r="G117" s="12" t="n">
        <x:v>3</x:v>
      </x:c>
      <x:c r="H117" s="12" t="n">
        <x:v>724.6</x:v>
      </x:c>
      <x:c r="I117" s="12" t="n">
        <x:v>2.17</x:v>
      </x:c>
      <x:c r="J117" s="16" t="n">
        <x:v>0.04275799249196209</x:v>
      </x:c>
      <x:c r="K117" s="12" t="n">
        <x:v>2.01</x:v>
      </x:c>
      <x:c r="L117" s="12" t="n">
        <x:f>I117-K117</x:f>
        <x:v>0.16000000000000014</x:v>
      </x:c>
      <x:c r="M117" s="16" t="n">
        <x:f>IFERROR(L117/I117,0)</x:f>
        <x:v>0.07373271889400929</x:v>
      </x:c>
    </x:row>
    <x:row r="118">
      <x:c r="A118" s="12" t="str">
        <x:v>SALE-00117</x:v>
      </x:c>
      <x:c r="B118" s="14" t="n">
        <x:v>46054</x:v>
      </x:c>
      <x:c r="C118" s="12" t="str">
        <x:v>DLR-005</x:v>
      </x:c>
      <x:c r="D118" s="12" t="str">
        <x:v>BYD HTA Tây Hồ</x:v>
      </x:c>
      <x:c r="E118" s="12" t="str">
        <x:v>BYD</x:v>
      </x:c>
      <x:c r="F118" s="12" t="str">
        <x:v>Dolphin</x:v>
      </x:c>
      <x:c r="G118" s="12" t="n">
        <x:v>3</x:v>
      </x:c>
      <x:c r="H118" s="12" t="n">
        <x:v>640.9</x:v>
      </x:c>
      <x:c r="I118" s="12" t="n">
        <x:v>1.92</x:v>
      </x:c>
      <x:c r="J118" s="16" t="n">
        <x:v>0.03670444562015661</x:v>
      </x:c>
      <x:c r="K118" s="12" t="n">
        <x:v>1.74</x:v>
      </x:c>
      <x:c r="L118" s="12" t="n">
        <x:f>I118-K118</x:f>
        <x:v>0.17999999999999994</x:v>
      </x:c>
      <x:c r="M118" s="16" t="n">
        <x:f>IFERROR(L118/I118,0)</x:f>
        <x:v>0.09374999999999997</x:v>
      </x:c>
    </x:row>
    <x:row r="119">
      <x:c r="A119" s="12" t="str">
        <x:v>SALE-00118</x:v>
      </x:c>
      <x:c r="B119" s="14" t="n">
        <x:v>46054</x:v>
      </x:c>
      <x:c r="C119" s="12" t="str">
        <x:v>DLR-005</x:v>
      </x:c>
      <x:c r="D119" s="12" t="str">
        <x:v>BYD HTA Tây Hồ</x:v>
      </x:c>
      <x:c r="E119" s="12" t="str">
        <x:v>BYD</x:v>
      </x:c>
      <x:c r="F119" s="12" t="str">
        <x:v>Atto 3</x:v>
      </x:c>
      <x:c r="G119" s="12" t="n">
        <x:v>4</x:v>
      </x:c>
      <x:c r="H119" s="12" t="n">
        <x:v>745.8</x:v>
      </x:c>
      <x:c r="I119" s="12" t="n">
        <x:v>2.98</x:v>
      </x:c>
      <x:c r="J119" s="16" t="n">
        <x:v>0.05119353913360708</x:v>
      </x:c>
      <x:c r="K119" s="12" t="n">
        <x:v>2.73</x:v>
      </x:c>
      <x:c r="L119" s="12" t="n">
        <x:f>I119-K119</x:f>
        <x:v>0.25</x:v>
      </x:c>
      <x:c r="M119" s="16" t="n">
        <x:f>IFERROR(L119/I119,0)</x:f>
        <x:v>0.08389261744966443</x:v>
      </x:c>
    </x:row>
    <x:row r="120">
      <x:c r="A120" s="12" t="str">
        <x:v>SALE-00119</x:v>
      </x:c>
      <x:c r="B120" s="14" t="n">
        <x:v>46054</x:v>
      </x:c>
      <x:c r="C120" s="12" t="str">
        <x:v>DLR-005</x:v>
      </x:c>
      <x:c r="D120" s="12" t="str">
        <x:v>BYD HTA Tây Hồ</x:v>
      </x:c>
      <x:c r="E120" s="12" t="str">
        <x:v>BYD</x:v>
      </x:c>
      <x:c r="F120" s="12" t="str">
        <x:v>Seal</x:v>
      </x:c>
      <x:c r="G120" s="12" t="n">
        <x:v>6</x:v>
      </x:c>
      <x:c r="H120" s="12" t="n">
        <x:v>1128.6</x:v>
      </x:c>
      <x:c r="I120" s="12" t="n">
        <x:v>6.77</x:v>
      </x:c>
      <x:c r="J120" s="16" t="n">
        <x:v>0.04562378304472278</x:v>
      </x:c>
      <x:c r="K120" s="12" t="n">
        <x:v>6.11</x:v>
      </x:c>
      <x:c r="L120" s="12" t="n">
        <x:f>I120-K120</x:f>
        <x:v>0.6599999999999993</x:v>
      </x:c>
      <x:c r="M120" s="16" t="n">
        <x:f>IFERROR(L120/I120,0)</x:f>
        <x:v>0.09748892171344155</x:v>
      </x:c>
    </x:row>
    <x:row r="121">
      <x:c r="A121" s="12" t="str">
        <x:v>SALE-00120</x:v>
      </x:c>
      <x:c r="B121" s="14" t="n">
        <x:v>46054</x:v>
      </x:c>
      <x:c r="C121" s="12" t="str">
        <x:v>DLR-005</x:v>
      </x:c>
      <x:c r="D121" s="12" t="str">
        <x:v>BYD HTA Tây Hồ</x:v>
      </x:c>
      <x:c r="E121" s="12" t="str">
        <x:v>BYD</x:v>
      </x:c>
      <x:c r="F121" s="12" t="str">
        <x:v>M6</x:v>
      </x:c>
      <x:c r="G121" s="12" t="n">
        <x:v>3</x:v>
      </x:c>
      <x:c r="H121" s="12" t="n">
        <x:v>731.9</x:v>
      </x:c>
      <x:c r="I121" s="12" t="n">
        <x:v>2.2</x:v>
      </x:c>
      <x:c r="J121" s="16" t="n">
        <x:v>0.04513900500237543</x:v>
      </x:c>
      <x:c r="K121" s="12" t="n">
        <x:v>2.04</x:v>
      </x:c>
      <x:c r="L121" s="12" t="n">
        <x:f>I121-K121</x:f>
        <x:v>0.16000000000000014</x:v>
      </x:c>
      <x:c r="M121" s="16" t="n">
        <x:f>IFERROR(L121/I121,0)</x:f>
        <x:v>0.07272727272727278</x:v>
      </x:c>
    </x:row>
    <x:row r="122">
      <x:c r="A122" s="12" t="str">
        <x:v>SALE-00121</x:v>
      </x:c>
      <x:c r="B122" s="14" t="n">
        <x:v>46082</x:v>
      </x:c>
      <x:c r="C122" s="12" t="str">
        <x:v>DLR-005</x:v>
      </x:c>
      <x:c r="D122" s="12" t="str">
        <x:v>BYD HTA Tây Hồ</x:v>
      </x:c>
      <x:c r="E122" s="12" t="str">
        <x:v>BYD</x:v>
      </x:c>
      <x:c r="F122" s="12" t="str">
        <x:v>Dolphin</x:v>
      </x:c>
      <x:c r="G122" s="12" t="n">
        <x:v>7</x:v>
      </x:c>
      <x:c r="H122" s="12" t="n">
        <x:v>641.6</x:v>
      </x:c>
      <x:c r="I122" s="12" t="n">
        <x:v>4.49</x:v>
      </x:c>
      <x:c r="J122" s="16" t="n">
        <x:v>0.04490062675912203</x:v>
      </x:c>
      <x:c r="K122" s="12" t="n">
        <x:v>4.1</x:v>
      </x:c>
      <x:c r="L122" s="12" t="n">
        <x:f>I122-K122</x:f>
        <x:v>0.39000000000000057</x:v>
      </x:c>
      <x:c r="M122" s="16" t="n">
        <x:f>IFERROR(L122/I122,0)</x:f>
        <x:v>0.08685968819599121</x:v>
      </x:c>
    </x:row>
    <x:row r="123">
      <x:c r="A123" s="12" t="str">
        <x:v>SALE-00122</x:v>
      </x:c>
      <x:c r="B123" s="14" t="n">
        <x:v>46082</x:v>
      </x:c>
      <x:c r="C123" s="12" t="str">
        <x:v>DLR-005</x:v>
      </x:c>
      <x:c r="D123" s="12" t="str">
        <x:v>BYD HTA Tây Hồ</x:v>
      </x:c>
      <x:c r="E123" s="12" t="str">
        <x:v>BYD</x:v>
      </x:c>
      <x:c r="F123" s="12" t="str">
        <x:v>Atto 3</x:v>
      </x:c>
      <x:c r="G123" s="12" t="n">
        <x:v>6</x:v>
      </x:c>
      <x:c r="H123" s="12" t="n">
        <x:v>733.6</x:v>
      </x:c>
      <x:c r="I123" s="12" t="n">
        <x:v>4.4</x:v>
      </x:c>
      <x:c r="J123" s="16" t="n">
        <x:v>0.023776865384857446</x:v>
      </x:c>
      <x:c r="K123" s="12" t="n">
        <x:v>3.99</x:v>
      </x:c>
      <x:c r="L123" s="12" t="n">
        <x:f>I123-K123</x:f>
        <x:v>0.41000000000000014</x:v>
      </x:c>
      <x:c r="M123" s="16" t="n">
        <x:f>IFERROR(L123/I123,0)</x:f>
        <x:v>0.09318181818181821</x:v>
      </x:c>
    </x:row>
    <x:row r="124">
      <x:c r="A124" s="12" t="str">
        <x:v>SALE-00123</x:v>
      </x:c>
      <x:c r="B124" s="14" t="n">
        <x:v>46082</x:v>
      </x:c>
      <x:c r="C124" s="12" t="str">
        <x:v>DLR-005</x:v>
      </x:c>
      <x:c r="D124" s="12" t="str">
        <x:v>BYD HTA Tây Hồ</x:v>
      </x:c>
      <x:c r="E124" s="12" t="str">
        <x:v>BYD</x:v>
      </x:c>
      <x:c r="F124" s="12" t="str">
        <x:v>Seal</x:v>
      </x:c>
      <x:c r="G124" s="12" t="n">
        <x:v>3</x:v>
      </x:c>
      <x:c r="H124" s="12" t="n">
        <x:v>1082</x:v>
      </x:c>
      <x:c r="I124" s="12" t="n">
        <x:v>3.25</x:v>
      </x:c>
      <x:c r="J124" s="16" t="n">
        <x:v>0.04216567540113399</x:v>
      </x:c>
      <x:c r="K124" s="12" t="n">
        <x:v>2.94</x:v>
      </x:c>
      <x:c r="L124" s="12" t="n">
        <x:f>I124-K124</x:f>
        <x:v>0.31000000000000005</x:v>
      </x:c>
      <x:c r="M124" s="16" t="n">
        <x:f>IFERROR(L124/I124,0)</x:f>
        <x:v>0.0953846153846154</x:v>
      </x:c>
    </x:row>
    <x:row r="125">
      <x:c r="A125" s="12" t="str">
        <x:v>SALE-00124</x:v>
      </x:c>
      <x:c r="B125" s="14" t="n">
        <x:v>46082</x:v>
      </x:c>
      <x:c r="C125" s="12" t="str">
        <x:v>DLR-005</x:v>
      </x:c>
      <x:c r="D125" s="12" t="str">
        <x:v>BYD HTA Tây Hồ</x:v>
      </x:c>
      <x:c r="E125" s="12" t="str">
        <x:v>BYD</x:v>
      </x:c>
      <x:c r="F125" s="12" t="str">
        <x:v>M6</x:v>
      </x:c>
      <x:c r="G125" s="12" t="n">
        <x:v>4</x:v>
      </x:c>
      <x:c r="H125" s="12" t="n">
        <x:v>738.9</x:v>
      </x:c>
      <x:c r="I125" s="12" t="n">
        <x:v>2.96</x:v>
      </x:c>
      <x:c r="J125" s="16" t="n">
        <x:v>0.020105111891246426</x:v>
      </x:c>
      <x:c r="K125" s="12" t="n">
        <x:v>2.71</x:v>
      </x:c>
      <x:c r="L125" s="12" t="n">
        <x:f>I125-K125</x:f>
        <x:v>0.25</x:v>
      </x:c>
      <x:c r="M125" s="16" t="n">
        <x:f>IFERROR(L125/I125,0)</x:f>
        <x:v>0.08445945945945946</x:v>
      </x:c>
    </x:row>
    <x:row r="126">
      <x:c r="A126" s="12" t="str">
        <x:v>SALE-00125</x:v>
      </x:c>
      <x:c r="B126" s="14" t="n">
        <x:v>46113</x:v>
      </x:c>
      <x:c r="C126" s="12" t="str">
        <x:v>DLR-005</x:v>
      </x:c>
      <x:c r="D126" s="12" t="str">
        <x:v>BYD HTA Tây Hồ</x:v>
      </x:c>
      <x:c r="E126" s="12" t="str">
        <x:v>BYD</x:v>
      </x:c>
      <x:c r="F126" s="12" t="str">
        <x:v>Dolphin</x:v>
      </x:c>
      <x:c r="G126" s="12" t="n">
        <x:v>3</x:v>
      </x:c>
      <x:c r="H126" s="12" t="n">
        <x:v>640.2</x:v>
      </x:c>
      <x:c r="I126" s="12" t="n">
        <x:v>1.92</x:v>
      </x:c>
      <x:c r="J126" s="16" t="n">
        <x:v>0.037575679320990964</x:v>
      </x:c>
      <x:c r="K126" s="12" t="n">
        <x:v>1.69</x:v>
      </x:c>
      <x:c r="L126" s="12" t="n">
        <x:f>I126-K126</x:f>
        <x:v>0.22999999999999998</x:v>
      </x:c>
      <x:c r="M126" s="16" t="n">
        <x:f>IFERROR(L126/I126,0)</x:f>
        <x:v>0.11979166666666666</x:v>
      </x:c>
    </x:row>
    <x:row r="127">
      <x:c r="A127" s="12" t="str">
        <x:v>SALE-00126</x:v>
      </x:c>
      <x:c r="B127" s="14" t="n">
        <x:v>46113</x:v>
      </x:c>
      <x:c r="C127" s="12" t="str">
        <x:v>DLR-005</x:v>
      </x:c>
      <x:c r="D127" s="12" t="str">
        <x:v>BYD HTA Tây Hồ</x:v>
      </x:c>
      <x:c r="E127" s="12" t="str">
        <x:v>BYD</x:v>
      </x:c>
      <x:c r="F127" s="12" t="str">
        <x:v>Atto 3</x:v>
      </x:c>
      <x:c r="G127" s="12" t="n">
        <x:v>6</x:v>
      </x:c>
      <x:c r="H127" s="12" t="n">
        <x:v>728.4</x:v>
      </x:c>
      <x:c r="I127" s="12" t="n">
        <x:v>4.37</x:v>
      </x:c>
      <x:c r="J127" s="16" t="n">
        <x:v>0.03346793776206047</x:v>
      </x:c>
      <x:c r="K127" s="12" t="n">
        <x:v>3.86</x:v>
      </x:c>
      <x:c r="L127" s="12" t="n">
        <x:f>I127-K127</x:f>
        <x:v>0.5100000000000002</x:v>
      </x:c>
      <x:c r="M127" s="16" t="n">
        <x:f>IFERROR(L127/I127,0)</x:f>
        <x:v>0.1167048054919909</x:v>
      </x:c>
    </x:row>
    <x:row r="128">
      <x:c r="A128" s="12" t="str">
        <x:v>SALE-00127</x:v>
      </x:c>
      <x:c r="B128" s="14" t="n">
        <x:v>46113</x:v>
      </x:c>
      <x:c r="C128" s="12" t="str">
        <x:v>DLR-005</x:v>
      </x:c>
      <x:c r="D128" s="12" t="str">
        <x:v>BYD HTA Tây Hồ</x:v>
      </x:c>
      <x:c r="E128" s="12" t="str">
        <x:v>BYD</x:v>
      </x:c>
      <x:c r="F128" s="12" t="str">
        <x:v>Seal</x:v>
      </x:c>
      <x:c r="G128" s="12" t="n">
        <x:v>5</x:v>
      </x:c>
      <x:c r="H128" s="12" t="n">
        <x:v>1070.8</x:v>
      </x:c>
      <x:c r="I128" s="12" t="n">
        <x:v>5.35</x:v>
      </x:c>
      <x:c r="J128" s="16" t="n">
        <x:v>0.028073832195252342</x:v>
      </x:c>
      <x:c r="K128" s="12" t="n">
        <x:v>4.96</x:v>
      </x:c>
      <x:c r="L128" s="12" t="n">
        <x:f>I128-K128</x:f>
        <x:v>0.3899999999999997</x:v>
      </x:c>
      <x:c r="M128" s="16" t="n">
        <x:f>IFERROR(L128/I128,0)</x:f>
        <x:v>0.07289719626168219</x:v>
      </x:c>
    </x:row>
    <x:row r="129">
      <x:c r="A129" s="12" t="str">
        <x:v>SALE-00128</x:v>
      </x:c>
      <x:c r="B129" s="14" t="n">
        <x:v>46113</x:v>
      </x:c>
      <x:c r="C129" s="12" t="str">
        <x:v>DLR-005</x:v>
      </x:c>
      <x:c r="D129" s="12" t="str">
        <x:v>BYD HTA Tây Hồ</x:v>
      </x:c>
      <x:c r="E129" s="12" t="str">
        <x:v>BYD</x:v>
      </x:c>
      <x:c r="F129" s="12" t="str">
        <x:v>M6</x:v>
      </x:c>
      <x:c r="G129" s="12" t="n">
        <x:v>5</x:v>
      </x:c>
      <x:c r="H129" s="12" t="n">
        <x:v>756.1</x:v>
      </x:c>
      <x:c r="I129" s="12" t="n">
        <x:v>3.78</x:v>
      </x:c>
      <x:c r="J129" s="16" t="n">
        <x:v>0.04827697140621091</x:v>
      </x:c>
      <x:c r="K129" s="12" t="n">
        <x:v>3.38</x:v>
      </x:c>
      <x:c r="L129" s="12" t="n">
        <x:f>I129-K129</x:f>
        <x:v>0.3999999999999999</x:v>
      </x:c>
      <x:c r="M129" s="16" t="n">
        <x:f>IFERROR(L129/I129,0)</x:f>
        <x:v>0.1058201058201058</x:v>
      </x:c>
    </x:row>
    <x:row r="130">
      <x:c r="A130" s="12" t="str">
        <x:v>SALE-00129</x:v>
      </x:c>
      <x:c r="B130" s="14" t="n">
        <x:v>46143</x:v>
      </x:c>
      <x:c r="C130" s="12" t="str">
        <x:v>DLR-005</x:v>
      </x:c>
      <x:c r="D130" s="12" t="str">
        <x:v>BYD HTA Tây Hồ</x:v>
      </x:c>
      <x:c r="E130" s="12" t="str">
        <x:v>BYD</x:v>
      </x:c>
      <x:c r="F130" s="12" t="str">
        <x:v>Dolphin</x:v>
      </x:c>
      <x:c r="G130" s="12" t="n">
        <x:v>4</x:v>
      </x:c>
      <x:c r="H130" s="12" t="n">
        <x:v>620.5</x:v>
      </x:c>
      <x:c r="I130" s="12" t="n">
        <x:v>2.48</x:v>
      </x:c>
      <x:c r="J130" s="16" t="n">
        <x:v>0.036576761916901346</x:v>
      </x:c>
      <x:c r="K130" s="12" t="n">
        <x:v>2.33</x:v>
      </x:c>
      <x:c r="L130" s="12" t="n">
        <x:f>I130-K130</x:f>
        <x:v>0.1499999999999999</x:v>
      </x:c>
      <x:c r="M130" s="16" t="n">
        <x:f>IFERROR(L130/I130,0)</x:f>
        <x:v>0.0604838709677419</x:v>
      </x:c>
    </x:row>
    <x:row r="131">
      <x:c r="A131" s="12" t="str">
        <x:v>SALE-00130</x:v>
      </x:c>
      <x:c r="B131" s="14" t="n">
        <x:v>46143</x:v>
      </x:c>
      <x:c r="C131" s="12" t="str">
        <x:v>DLR-005</x:v>
      </x:c>
      <x:c r="D131" s="12" t="str">
        <x:v>BYD HTA Tây Hồ</x:v>
      </x:c>
      <x:c r="E131" s="12" t="str">
        <x:v>BYD</x:v>
      </x:c>
      <x:c r="F131" s="12" t="str">
        <x:v>Atto 3</x:v>
      </x:c>
      <x:c r="G131" s="12" t="n">
        <x:v>5</x:v>
      </x:c>
      <x:c r="H131" s="12" t="n">
        <x:v>759.9</x:v>
      </x:c>
      <x:c r="I131" s="12" t="n">
        <x:v>3.8</x:v>
      </x:c>
      <x:c r="J131" s="16" t="n">
        <x:v>0.04624932198443579</x:v>
      </x:c>
      <x:c r="K131" s="12" t="n">
        <x:v>3.49</x:v>
      </x:c>
      <x:c r="L131" s="12" t="n">
        <x:f>I131-K131</x:f>
        <x:v>0.3099999999999996</x:v>
      </x:c>
      <x:c r="M131" s="16" t="n">
        <x:f>IFERROR(L131/I131,0)</x:f>
        <x:v>0.08157894736842096</x:v>
      </x:c>
    </x:row>
    <x:row r="132">
      <x:c r="A132" s="12" t="str">
        <x:v>SALE-00131</x:v>
      </x:c>
      <x:c r="B132" s="14" t="n">
        <x:v>46143</x:v>
      </x:c>
      <x:c r="C132" s="12" t="str">
        <x:v>DLR-005</x:v>
      </x:c>
      <x:c r="D132" s="12" t="str">
        <x:v>BYD HTA Tây Hồ</x:v>
      </x:c>
      <x:c r="E132" s="12" t="str">
        <x:v>BYD</x:v>
      </x:c>
      <x:c r="F132" s="12" t="str">
        <x:v>Seal</x:v>
      </x:c>
      <x:c r="G132" s="12" t="n">
        <x:v>7</x:v>
      </x:c>
      <x:c r="H132" s="12" t="n">
        <x:v>1136.9</x:v>
      </x:c>
      <x:c r="I132" s="12" t="n">
        <x:v>7.96</x:v>
      </x:c>
      <x:c r="J132" s="16" t="n">
        <x:v>0.022974427294501318</x:v>
      </x:c>
      <x:c r="K132" s="12" t="n">
        <x:v>7.01</x:v>
      </x:c>
      <x:c r="L132" s="12" t="n">
        <x:f>I132-K132</x:f>
        <x:v>0.9500000000000002</x:v>
      </x:c>
      <x:c r="M132" s="16" t="n">
        <x:f>IFERROR(L132/I132,0)</x:f>
        <x:v>0.11934673366834173</x:v>
      </x:c>
    </x:row>
    <x:row r="133">
      <x:c r="A133" s="12" t="str">
        <x:v>SALE-00132</x:v>
      </x:c>
      <x:c r="B133" s="14" t="n">
        <x:v>46143</x:v>
      </x:c>
      <x:c r="C133" s="12" t="str">
        <x:v>DLR-005</x:v>
      </x:c>
      <x:c r="D133" s="12" t="str">
        <x:v>BYD HTA Tây Hồ</x:v>
      </x:c>
      <x:c r="E133" s="12" t="str">
        <x:v>BYD</x:v>
      </x:c>
      <x:c r="F133" s="12" t="str">
        <x:v>M6</x:v>
      </x:c>
      <x:c r="G133" s="12" t="n">
        <x:v>4</x:v>
      </x:c>
      <x:c r="H133" s="12" t="n">
        <x:v>718.3</x:v>
      </x:c>
      <x:c r="I133" s="12" t="n">
        <x:v>2.87</x:v>
      </x:c>
      <x:c r="J133" s="16" t="n">
        <x:v>0.041778353784796426</x:v>
      </x:c>
      <x:c r="K133" s="12" t="n">
        <x:v>2.63</x:v>
      </x:c>
      <x:c r="L133" s="12" t="n">
        <x:f>I133-K133</x:f>
        <x:v>0.2400000000000002</x:v>
      </x:c>
      <x:c r="M133" s="16" t="n">
        <x:f>IFERROR(L133/I133,0)</x:f>
        <x:v>0.08362369337979102</x:v>
      </x:c>
    </x:row>
    <x:row r="134">
      <x:c r="A134" s="12" t="str">
        <x:v>SALE-00133</x:v>
      </x:c>
      <x:c r="B134" s="14" t="n">
        <x:v>46174</x:v>
      </x:c>
      <x:c r="C134" s="12" t="str">
        <x:v>DLR-005</x:v>
      </x:c>
      <x:c r="D134" s="12" t="str">
        <x:v>BYD HTA Tây Hồ</x:v>
      </x:c>
      <x:c r="E134" s="12" t="str">
        <x:v>BYD</x:v>
      </x:c>
      <x:c r="F134" s="12" t="str">
        <x:v>Dolphin</x:v>
      </x:c>
      <x:c r="G134" s="12" t="n">
        <x:v>5</x:v>
      </x:c>
      <x:c r="H134" s="12" t="n">
        <x:v>656.3</x:v>
      </x:c>
      <x:c r="I134" s="12" t="n">
        <x:v>3.28</x:v>
      </x:c>
      <x:c r="J134" s="16" t="n">
        <x:v>0.04567592393424963</x:v>
      </x:c>
      <x:c r="K134" s="12" t="n">
        <x:v>2.92</x:v>
      </x:c>
      <x:c r="L134" s="12" t="n">
        <x:f>I134-K134</x:f>
        <x:v>0.3599999999999999</x:v>
      </x:c>
      <x:c r="M134" s="16" t="n">
        <x:f>IFERROR(L134/I134,0)</x:f>
        <x:v>0.10975609756097558</x:v>
      </x:c>
    </x:row>
    <x:row r="135">
      <x:c r="A135" s="12" t="str">
        <x:v>SALE-00134</x:v>
      </x:c>
      <x:c r="B135" s="14" t="n">
        <x:v>46174</x:v>
      </x:c>
      <x:c r="C135" s="12" t="str">
        <x:v>DLR-005</x:v>
      </x:c>
      <x:c r="D135" s="12" t="str">
        <x:v>BYD HTA Tây Hồ</x:v>
      </x:c>
      <x:c r="E135" s="12" t="str">
        <x:v>BYD</x:v>
      </x:c>
      <x:c r="F135" s="12" t="str">
        <x:v>Atto 3</x:v>
      </x:c>
      <x:c r="G135" s="12" t="n">
        <x:v>6</x:v>
      </x:c>
      <x:c r="H135" s="12" t="n">
        <x:v>765.9</x:v>
      </x:c>
      <x:c r="I135" s="12" t="n">
        <x:v>4.6</x:v>
      </x:c>
      <x:c r="J135" s="16" t="n">
        <x:v>0.019581314855155907</x:v>
      </x:c>
      <x:c r="K135" s="12" t="n">
        <x:v>4.27</x:v>
      </x:c>
      <x:c r="L135" s="12" t="n">
        <x:f>I135-K135</x:f>
        <x:v>0.33000000000000007</x:v>
      </x:c>
      <x:c r="M135" s="16" t="n">
        <x:f>IFERROR(L135/I135,0)</x:f>
        <x:v>0.07173913043478262</x:v>
      </x:c>
    </x:row>
    <x:row r="136">
      <x:c r="A136" s="12" t="str">
        <x:v>SALE-00135</x:v>
      </x:c>
      <x:c r="B136" s="14" t="n">
        <x:v>46174</x:v>
      </x:c>
      <x:c r="C136" s="12" t="str">
        <x:v>DLR-005</x:v>
      </x:c>
      <x:c r="D136" s="12" t="str">
        <x:v>BYD HTA Tây Hồ</x:v>
      </x:c>
      <x:c r="E136" s="12" t="str">
        <x:v>BYD</x:v>
      </x:c>
      <x:c r="F136" s="12" t="str">
        <x:v>Seal</x:v>
      </x:c>
      <x:c r="G136" s="12" t="n">
        <x:v>8</x:v>
      </x:c>
      <x:c r="H136" s="12" t="n">
        <x:v>1061.5</x:v>
      </x:c>
      <x:c r="I136" s="12" t="n">
        <x:v>8.49</x:v>
      </x:c>
      <x:c r="J136" s="16" t="n">
        <x:v>0.01602713701989864</x:v>
      </x:c>
      <x:c r="K136" s="12" t="n">
        <x:v>7.63</x:v>
      </x:c>
      <x:c r="L136" s="12" t="n">
        <x:f>I136-K136</x:f>
        <x:v>0.8600000000000003</x:v>
      </x:c>
      <x:c r="M136" s="16" t="n">
        <x:f>IFERROR(L136/I136,0)</x:f>
        <x:v>0.10129564193168437</x:v>
      </x:c>
    </x:row>
    <x:row r="137">
      <x:c r="A137" s="12" t="str">
        <x:v>SALE-00136</x:v>
      </x:c>
      <x:c r="B137" s="14" t="n">
        <x:v>46174</x:v>
      </x:c>
      <x:c r="C137" s="12" t="str">
        <x:v>DLR-005</x:v>
      </x:c>
      <x:c r="D137" s="12" t="str">
        <x:v>BYD HTA Tây Hồ</x:v>
      </x:c>
      <x:c r="E137" s="12" t="str">
        <x:v>BYD</x:v>
      </x:c>
      <x:c r="F137" s="12" t="str">
        <x:v>M6</x:v>
      </x:c>
      <x:c r="G137" s="12" t="n">
        <x:v>7</x:v>
      </x:c>
      <x:c r="H137" s="12" t="n">
        <x:v>768.6</x:v>
      </x:c>
      <x:c r="I137" s="12" t="n">
        <x:v>5.38</x:v>
      </x:c>
      <x:c r="J137" s="16" t="n">
        <x:v>0.030866177660665094</x:v>
      </x:c>
      <x:c r="K137" s="12" t="n">
        <x:v>4.97</x:v>
      </x:c>
      <x:c r="L137" s="12" t="n">
        <x:f>I137-K137</x:f>
        <x:v>0.41000000000000014</x:v>
      </x:c>
      <x:c r="M137" s="16" t="n">
        <x:f>IFERROR(L137/I137,0)</x:f>
        <x:v>0.07620817843866173</x:v>
      </x:c>
    </x:row>
    <x:row r="138">
      <x:c r="A138" s="12" t="str">
        <x:v>SALE-00137</x:v>
      </x:c>
      <x:c r="B138" s="14" t="n">
        <x:v>46204</x:v>
      </x:c>
      <x:c r="C138" s="12" t="str">
        <x:v>DLR-005</x:v>
      </x:c>
      <x:c r="D138" s="12" t="str">
        <x:v>BYD HTA Tây Hồ</x:v>
      </x:c>
      <x:c r="E138" s="12" t="str">
        <x:v>BYD</x:v>
      </x:c>
      <x:c r="F138" s="12" t="str">
        <x:v>Dolphin</x:v>
      </x:c>
      <x:c r="G138" s="12" t="n">
        <x:v>4</x:v>
      </x:c>
      <x:c r="H138" s="12" t="n">
        <x:v>655.9</x:v>
      </x:c>
      <x:c r="I138" s="12" t="n">
        <x:v>2.62</x:v>
      </x:c>
      <x:c r="J138" s="16" t="n">
        <x:v>0.040089695824041774</x:v>
      </x:c>
      <x:c r="K138" s="12" t="n">
        <x:v>2.32</x:v>
      </x:c>
      <x:c r="L138" s="12" t="n">
        <x:f>I138-K138</x:f>
        <x:v>0.30000000000000027</x:v>
      </x:c>
      <x:c r="M138" s="16" t="n">
        <x:f>IFERROR(L138/I138,0)</x:f>
        <x:v>0.11450381679389322</x:v>
      </x:c>
    </x:row>
    <x:row r="139">
      <x:c r="A139" s="12" t="str">
        <x:v>SALE-00138</x:v>
      </x:c>
      <x:c r="B139" s="14" t="n">
        <x:v>46204</x:v>
      </x:c>
      <x:c r="C139" s="12" t="str">
        <x:v>DLR-005</x:v>
      </x:c>
      <x:c r="D139" s="12" t="str">
        <x:v>BYD HTA Tây Hồ</x:v>
      </x:c>
      <x:c r="E139" s="12" t="str">
        <x:v>BYD</x:v>
      </x:c>
      <x:c r="F139" s="12" t="str">
        <x:v>Atto 3</x:v>
      </x:c>
      <x:c r="G139" s="12" t="n">
        <x:v>7</x:v>
      </x:c>
      <x:c r="H139" s="12" t="n">
        <x:v>772.1</x:v>
      </x:c>
      <x:c r="I139" s="12" t="n">
        <x:v>5.41</x:v>
      </x:c>
      <x:c r="J139" s="16" t="n">
        <x:v>0.039016464592673765</x:v>
      </x:c>
      <x:c r="K139" s="12" t="n">
        <x:v>4.8</x:v>
      </x:c>
      <x:c r="L139" s="12" t="n">
        <x:f>I139-K139</x:f>
        <x:v>0.6100000000000003</x:v>
      </x:c>
      <x:c r="M139" s="16" t="n">
        <x:f>IFERROR(L139/I139,0)</x:f>
        <x:v>0.1127541589648799</x:v>
      </x:c>
    </x:row>
    <x:row r="140">
      <x:c r="A140" s="12" t="str">
        <x:v>SALE-00139</x:v>
      </x:c>
      <x:c r="B140" s="14" t="n">
        <x:v>46204</x:v>
      </x:c>
      <x:c r="C140" s="12" t="str">
        <x:v>DLR-005</x:v>
      </x:c>
      <x:c r="D140" s="12" t="str">
        <x:v>BYD HTA Tây Hồ</x:v>
      </x:c>
      <x:c r="E140" s="12" t="str">
        <x:v>BYD</x:v>
      </x:c>
      <x:c r="F140" s="12" t="str">
        <x:v>Seal</x:v>
      </x:c>
      <x:c r="G140" s="12" t="n">
        <x:v>8</x:v>
      </x:c>
      <x:c r="H140" s="12" t="n">
        <x:v>1121.9</x:v>
      </x:c>
      <x:c r="I140" s="12" t="n">
        <x:v>8.98</x:v>
      </x:c>
      <x:c r="J140" s="16" t="n">
        <x:v>0.02888815061233796</x:v>
      </x:c>
      <x:c r="K140" s="12" t="n">
        <x:v>8.13</x:v>
      </x:c>
      <x:c r="L140" s="12" t="n">
        <x:f>I140-K140</x:f>
        <x:v>0.8499999999999996</x:v>
      </x:c>
      <x:c r="M140" s="16" t="n">
        <x:f>IFERROR(L140/I140,0)</x:f>
        <x:v>0.0946547884187082</x:v>
      </x:c>
    </x:row>
    <x:row r="141">
      <x:c r="A141" s="12" t="str">
        <x:v>SALE-00140</x:v>
      </x:c>
      <x:c r="B141" s="14" t="n">
        <x:v>46204</x:v>
      </x:c>
      <x:c r="C141" s="12" t="str">
        <x:v>DLR-005</x:v>
      </x:c>
      <x:c r="D141" s="12" t="str">
        <x:v>BYD HTA Tây Hồ</x:v>
      </x:c>
      <x:c r="E141" s="12" t="str">
        <x:v>BYD</x:v>
      </x:c>
      <x:c r="F141" s="12" t="str">
        <x:v>M6</x:v>
      </x:c>
      <x:c r="G141" s="12" t="n">
        <x:v>5</x:v>
      </x:c>
      <x:c r="H141" s="12" t="n">
        <x:v>741.2</x:v>
      </x:c>
      <x:c r="I141" s="12" t="n">
        <x:v>3.71</x:v>
      </x:c>
      <x:c r="J141" s="16" t="n">
        <x:v>0.028649246994451327</x:v>
      </x:c>
      <x:c r="K141" s="12" t="n">
        <x:v>3.45</x:v>
      </x:c>
      <x:c r="L141" s="12" t="n">
        <x:f>I141-K141</x:f>
        <x:v>0.2599999999999998</x:v>
      </x:c>
      <x:c r="M141" s="16" t="n">
        <x:f>IFERROR(L141/I141,0)</x:f>
        <x:v>0.07008086253369267</x:v>
      </x:c>
    </x:row>
    <x:row r="142">
      <x:c r="A142" s="12" t="str">
        <x:v>SALE-00141</x:v>
      </x:c>
      <x:c r="B142" s="14" t="n">
        <x:v>46023</x:v>
      </x:c>
      <x:c r="C142" s="12" t="str">
        <x:v>DLR-006</x:v>
      </x:c>
      <x:c r="D142" s="12" t="str">
        <x:v>BYD HTA Hoàn Kiếm</x:v>
      </x:c>
      <x:c r="E142" s="12" t="str">
        <x:v>BYD</x:v>
      </x:c>
      <x:c r="F142" s="12" t="str">
        <x:v>Dolphin</x:v>
      </x:c>
      <x:c r="G142" s="12" t="n">
        <x:v>4</x:v>
      </x:c>
      <x:c r="H142" s="12" t="n">
        <x:v>670.1</x:v>
      </x:c>
      <x:c r="I142" s="12" t="n">
        <x:v>2.68</x:v>
      </x:c>
      <x:c r="J142" s="16" t="n">
        <x:v>0.04042340424405784</x:v>
      </x:c>
      <x:c r="K142" s="12" t="n">
        <x:v>2.49</x:v>
      </x:c>
      <x:c r="L142" s="12" t="n">
        <x:f>I142-K142</x:f>
        <x:v>0.18999999999999995</x:v>
      </x:c>
      <x:c r="M142" s="16" t="n">
        <x:f>IFERROR(L142/I142,0)</x:f>
        <x:v>0.07089552238805968</x:v>
      </x:c>
    </x:row>
    <x:row r="143">
      <x:c r="A143" s="12" t="str">
        <x:v>SALE-00142</x:v>
      </x:c>
      <x:c r="B143" s="14" t="n">
        <x:v>46023</x:v>
      </x:c>
      <x:c r="C143" s="12" t="str">
        <x:v>DLR-006</x:v>
      </x:c>
      <x:c r="D143" s="12" t="str">
        <x:v>BYD HTA Hoàn Kiếm</x:v>
      </x:c>
      <x:c r="E143" s="12" t="str">
        <x:v>BYD</x:v>
      </x:c>
      <x:c r="F143" s="12" t="str">
        <x:v>Atto 3</x:v>
      </x:c>
      <x:c r="G143" s="12" t="n">
        <x:v>7</x:v>
      </x:c>
      <x:c r="H143" s="12" t="n">
        <x:v>746.7</x:v>
      </x:c>
      <x:c r="I143" s="12" t="n">
        <x:v>5.23</x:v>
      </x:c>
      <x:c r="J143" s="16" t="n">
        <x:v>0.04435181216053567</x:v>
      </x:c>
      <x:c r="K143" s="12" t="n">
        <x:v>4.9</x:v>
      </x:c>
      <x:c r="L143" s="12" t="n">
        <x:f>I143-K143</x:f>
        <x:v>0.33000000000000007</x:v>
      </x:c>
      <x:c r="M143" s="16" t="n">
        <x:f>IFERROR(L143/I143,0)</x:f>
        <x:v>0.06309751434034418</x:v>
      </x:c>
    </x:row>
    <x:row r="144">
      <x:c r="A144" s="12" t="str">
        <x:v>SALE-00143</x:v>
      </x:c>
      <x:c r="B144" s="14" t="n">
        <x:v>46023</x:v>
      </x:c>
      <x:c r="C144" s="12" t="str">
        <x:v>DLR-006</x:v>
      </x:c>
      <x:c r="D144" s="12" t="str">
        <x:v>BYD HTA Hoàn Kiếm</x:v>
      </x:c>
      <x:c r="E144" s="12" t="str">
        <x:v>BYD</x:v>
      </x:c>
      <x:c r="F144" s="12" t="str">
        <x:v>Seal</x:v>
      </x:c>
      <x:c r="G144" s="12" t="n">
        <x:v>5</x:v>
      </x:c>
      <x:c r="H144" s="12" t="n">
        <x:v>1124.2</x:v>
      </x:c>
      <x:c r="I144" s="12" t="n">
        <x:v>5.62</x:v>
      </x:c>
      <x:c r="J144" s="16" t="n">
        <x:v>0.03652691625793023</x:v>
      </x:c>
      <x:c r="K144" s="12" t="n">
        <x:v>5.11</x:v>
      </x:c>
      <x:c r="L144" s="12" t="n">
        <x:f>I144-K144</x:f>
        <x:v>0.5099999999999998</x:v>
      </x:c>
      <x:c r="M144" s="16" t="n">
        <x:f>IFERROR(L144/I144,0)</x:f>
        <x:v>0.09074733096085405</x:v>
      </x:c>
    </x:row>
    <x:row r="145">
      <x:c r="A145" s="12" t="str">
        <x:v>SALE-00144</x:v>
      </x:c>
      <x:c r="B145" s="14" t="n">
        <x:v>46023</x:v>
      </x:c>
      <x:c r="C145" s="12" t="str">
        <x:v>DLR-006</x:v>
      </x:c>
      <x:c r="D145" s="12" t="str">
        <x:v>BYD HTA Hoàn Kiếm</x:v>
      </x:c>
      <x:c r="E145" s="12" t="str">
        <x:v>BYD</x:v>
      </x:c>
      <x:c r="F145" s="12" t="str">
        <x:v>M6</x:v>
      </x:c>
      <x:c r="G145" s="12" t="n">
        <x:v>6</x:v>
      </x:c>
      <x:c r="H145" s="12" t="n">
        <x:v>754.9</x:v>
      </x:c>
      <x:c r="I145" s="12" t="n">
        <x:v>4.53</x:v>
      </x:c>
      <x:c r="J145" s="16" t="n">
        <x:v>0.025735821521969016</x:v>
      </x:c>
      <x:c r="K145" s="12" t="n">
        <x:v>4.22</x:v>
      </x:c>
      <x:c r="L145" s="12" t="n">
        <x:f>I145-K145</x:f>
        <x:v>0.3100000000000005</x:v>
      </x:c>
      <x:c r="M145" s="16" t="n">
        <x:f>IFERROR(L145/I145,0)</x:f>
        <x:v>0.0684326710816778</x:v>
      </x:c>
    </x:row>
    <x:row r="146">
      <x:c r="A146" s="12" t="str">
        <x:v>SALE-00145</x:v>
      </x:c>
      <x:c r="B146" s="14" t="n">
        <x:v>46054</x:v>
      </x:c>
      <x:c r="C146" s="12" t="str">
        <x:v>DLR-006</x:v>
      </x:c>
      <x:c r="D146" s="12" t="str">
        <x:v>BYD HTA Hoàn Kiếm</x:v>
      </x:c>
      <x:c r="E146" s="12" t="str">
        <x:v>BYD</x:v>
      </x:c>
      <x:c r="F146" s="12" t="str">
        <x:v>Dolphin</x:v>
      </x:c>
      <x:c r="G146" s="12" t="n">
        <x:v>8</x:v>
      </x:c>
      <x:c r="H146" s="12" t="n">
        <x:v>624</x:v>
      </x:c>
      <x:c r="I146" s="12" t="n">
        <x:v>4.99</x:v>
      </x:c>
      <x:c r="J146" s="16" t="n">
        <x:v>0.05026524736011088</x:v>
      </x:c>
      <x:c r="K146" s="12" t="n">
        <x:v>4.47</x:v>
      </x:c>
      <x:c r="L146" s="12" t="n">
        <x:f>I146-K146</x:f>
        <x:v>0.5200000000000005</x:v>
      </x:c>
      <x:c r="M146" s="16" t="n">
        <x:f>IFERROR(L146/I146,0)</x:f>
        <x:v>0.10420841683366742</x:v>
      </x:c>
    </x:row>
    <x:row r="147">
      <x:c r="A147" s="12" t="str">
        <x:v>SALE-00146</x:v>
      </x:c>
      <x:c r="B147" s="14" t="n">
        <x:v>46054</x:v>
      </x:c>
      <x:c r="C147" s="12" t="str">
        <x:v>DLR-006</x:v>
      </x:c>
      <x:c r="D147" s="12" t="str">
        <x:v>BYD HTA Hoàn Kiếm</x:v>
      </x:c>
      <x:c r="E147" s="12" t="str">
        <x:v>BYD</x:v>
      </x:c>
      <x:c r="F147" s="12" t="str">
        <x:v>Atto 3</x:v>
      </x:c>
      <x:c r="G147" s="12" t="n">
        <x:v>6</x:v>
      </x:c>
      <x:c r="H147" s="12" t="n">
        <x:v>757.4</x:v>
      </x:c>
      <x:c r="I147" s="12" t="n">
        <x:v>4.54</x:v>
      </x:c>
      <x:c r="J147" s="16" t="n">
        <x:v>0.03015957216513056</x:v>
      </x:c>
      <x:c r="K147" s="12" t="n">
        <x:v>4.01</x:v>
      </x:c>
      <x:c r="L147" s="12" t="n">
        <x:f>I147-K147</x:f>
        <x:v>0.5300000000000002</x:v>
      </x:c>
      <x:c r="M147" s="16" t="n">
        <x:f>IFERROR(L147/I147,0)</x:f>
        <x:v>0.11674008810572693</x:v>
      </x:c>
    </x:row>
    <x:row r="148">
      <x:c r="A148" s="12" t="str">
        <x:v>SALE-00147</x:v>
      </x:c>
      <x:c r="B148" s="14" t="n">
        <x:v>46054</x:v>
      </x:c>
      <x:c r="C148" s="12" t="str">
        <x:v>DLR-006</x:v>
      </x:c>
      <x:c r="D148" s="12" t="str">
        <x:v>BYD HTA Hoàn Kiếm</x:v>
      </x:c>
      <x:c r="E148" s="12" t="str">
        <x:v>BYD</x:v>
      </x:c>
      <x:c r="F148" s="12" t="str">
        <x:v>Seal</x:v>
      </x:c>
      <x:c r="G148" s="12" t="n">
        <x:v>8</x:v>
      </x:c>
      <x:c r="H148" s="12" t="n">
        <x:v>1068.1</x:v>
      </x:c>
      <x:c r="I148" s="12" t="n">
        <x:v>8.55</x:v>
      </x:c>
      <x:c r="J148" s="16" t="n">
        <x:v>0.023484794007189558</x:v>
      </x:c>
      <x:c r="K148" s="12" t="n">
        <x:v>7.93</x:v>
      </x:c>
      <x:c r="L148" s="12" t="n">
        <x:f>I148-K148</x:f>
        <x:v>0.620000000000001</x:v>
      </x:c>
      <x:c r="M148" s="16" t="n">
        <x:f>IFERROR(L148/I148,0)</x:f>
        <x:v>0.07251461988304105</x:v>
      </x:c>
    </x:row>
    <x:row r="149">
      <x:c r="A149" s="12" t="str">
        <x:v>SALE-00148</x:v>
      </x:c>
      <x:c r="B149" s="14" t="n">
        <x:v>46054</x:v>
      </x:c>
      <x:c r="C149" s="12" t="str">
        <x:v>DLR-006</x:v>
      </x:c>
      <x:c r="D149" s="12" t="str">
        <x:v>BYD HTA Hoàn Kiếm</x:v>
      </x:c>
      <x:c r="E149" s="12" t="str">
        <x:v>BYD</x:v>
      </x:c>
      <x:c r="F149" s="12" t="str">
        <x:v>M6</x:v>
      </x:c>
      <x:c r="G149" s="12" t="n">
        <x:v>6</x:v>
      </x:c>
      <x:c r="H149" s="12" t="n">
        <x:v>763.9</x:v>
      </x:c>
      <x:c r="I149" s="12" t="n">
        <x:v>4.58</x:v>
      </x:c>
      <x:c r="J149" s="16" t="n">
        <x:v>0.04304735001328806</x:v>
      </x:c>
      <x:c r="K149" s="12" t="n">
        <x:v>4.11</x:v>
      </x:c>
      <x:c r="L149" s="12" t="n">
        <x:f>I149-K149</x:f>
        <x:v>0.46999999999999975</x:v>
      </x:c>
      <x:c r="M149" s="16" t="n">
        <x:f>IFERROR(L149/I149,0)</x:f>
        <x:v>0.10262008733624449</x:v>
      </x:c>
    </x:row>
    <x:row r="150">
      <x:c r="A150" s="12" t="str">
        <x:v>SALE-00149</x:v>
      </x:c>
      <x:c r="B150" s="14" t="n">
        <x:v>46082</x:v>
      </x:c>
      <x:c r="C150" s="12" t="str">
        <x:v>DLR-006</x:v>
      </x:c>
      <x:c r="D150" s="12" t="str">
        <x:v>BYD HTA Hoàn Kiếm</x:v>
      </x:c>
      <x:c r="E150" s="12" t="str">
        <x:v>BYD</x:v>
      </x:c>
      <x:c r="F150" s="12" t="str">
        <x:v>Dolphin</x:v>
      </x:c>
      <x:c r="G150" s="12" t="n">
        <x:v>4</x:v>
      </x:c>
      <x:c r="H150" s="12" t="n">
        <x:v>669.4</x:v>
      </x:c>
      <x:c r="I150" s="12" t="n">
        <x:v>2.68</x:v>
      </x:c>
      <x:c r="J150" s="16" t="n">
        <x:v>0.01842451847832085</x:v>
      </x:c>
      <x:c r="K150" s="12" t="n">
        <x:v>2.47</x:v>
      </x:c>
      <x:c r="L150" s="12" t="n">
        <x:f>I150-K150</x:f>
        <x:v>0.20999999999999996</x:v>
      </x:c>
      <x:c r="M150" s="16" t="n">
        <x:f>IFERROR(L150/I150,0)</x:f>
        <x:v>0.07835820895522386</x:v>
      </x:c>
    </x:row>
    <x:row r="151">
      <x:c r="A151" s="12" t="str">
        <x:v>SALE-00150</x:v>
      </x:c>
      <x:c r="B151" s="14" t="n">
        <x:v>46082</x:v>
      </x:c>
      <x:c r="C151" s="12" t="str">
        <x:v>DLR-006</x:v>
      </x:c>
      <x:c r="D151" s="12" t="str">
        <x:v>BYD HTA Hoàn Kiếm</x:v>
      </x:c>
      <x:c r="E151" s="12" t="str">
        <x:v>BYD</x:v>
      </x:c>
      <x:c r="F151" s="12" t="str">
        <x:v>Atto 3</x:v>
      </x:c>
      <x:c r="G151" s="12" t="n">
        <x:v>7</x:v>
      </x:c>
      <x:c r="H151" s="12" t="n">
        <x:v>766.5</x:v>
      </x:c>
      <x:c r="I151" s="12" t="n">
        <x:v>5.37</x:v>
      </x:c>
      <x:c r="J151" s="16" t="n">
        <x:v>0.04262437357786092</x:v>
      </x:c>
      <x:c r="K151" s="12" t="n">
        <x:v>4.93</x:v>
      </x:c>
      <x:c r="L151" s="12" t="n">
        <x:f>I151-K151</x:f>
        <x:v>0.4400000000000004</x:v>
      </x:c>
      <x:c r="M151" s="16" t="n">
        <x:f>IFERROR(L151/I151,0)</x:f>
        <x:v>0.08193668528864066</x:v>
      </x:c>
    </x:row>
    <x:row r="152">
      <x:c r="A152" s="12" t="str">
        <x:v>SALE-00151</x:v>
      </x:c>
      <x:c r="B152" s="14" t="n">
        <x:v>46082</x:v>
      </x:c>
      <x:c r="C152" s="12" t="str">
        <x:v>DLR-006</x:v>
      </x:c>
      <x:c r="D152" s="12" t="str">
        <x:v>BYD HTA Hoàn Kiếm</x:v>
      </x:c>
      <x:c r="E152" s="12" t="str">
        <x:v>BYD</x:v>
      </x:c>
      <x:c r="F152" s="12" t="str">
        <x:v>Seal</x:v>
      </x:c>
      <x:c r="G152" s="12" t="n">
        <x:v>7</x:v>
      </x:c>
      <x:c r="H152" s="12" t="n">
        <x:v>1122.8</x:v>
      </x:c>
      <x:c r="I152" s="12" t="n">
        <x:v>7.86</x:v>
      </x:c>
      <x:c r="J152" s="16" t="n">
        <x:v>0.018722134022186865</x:v>
      </x:c>
      <x:c r="K152" s="12" t="n">
        <x:v>7.02</x:v>
      </x:c>
      <x:c r="L152" s="12" t="n">
        <x:f>I152-K152</x:f>
        <x:v>0.8400000000000007</x:v>
      </x:c>
      <x:c r="M152" s="16" t="n">
        <x:f>IFERROR(L152/I152,0)</x:f>
        <x:v>0.10687022900763368</x:v>
      </x:c>
    </x:row>
    <x:row r="153">
      <x:c r="A153" s="12" t="str">
        <x:v>SALE-00152</x:v>
      </x:c>
      <x:c r="B153" s="14" t="n">
        <x:v>46082</x:v>
      </x:c>
      <x:c r="C153" s="12" t="str">
        <x:v>DLR-006</x:v>
      </x:c>
      <x:c r="D153" s="12" t="str">
        <x:v>BYD HTA Hoàn Kiếm</x:v>
      </x:c>
      <x:c r="E153" s="12" t="str">
        <x:v>BYD</x:v>
      </x:c>
      <x:c r="F153" s="12" t="str">
        <x:v>M6</x:v>
      </x:c>
      <x:c r="G153" s="12" t="n">
        <x:v>8</x:v>
      </x:c>
      <x:c r="H153" s="12" t="n">
        <x:v>729.2</x:v>
      </x:c>
      <x:c r="I153" s="12" t="n">
        <x:v>5.83</x:v>
      </x:c>
      <x:c r="J153" s="16" t="n">
        <x:v>0.03826222341329469</x:v>
      </x:c>
      <x:c r="K153" s="12" t="n">
        <x:v>5.3</x:v>
      </x:c>
      <x:c r="L153" s="12" t="n">
        <x:f>I153-K153</x:f>
        <x:v>0.5300000000000002</x:v>
      </x:c>
      <x:c r="M153" s="16" t="n">
        <x:f>IFERROR(L153/I153,0)</x:f>
        <x:v>0.09090909090909095</x:v>
      </x:c>
    </x:row>
    <x:row r="154">
      <x:c r="A154" s="12" t="str">
        <x:v>SALE-00153</x:v>
      </x:c>
      <x:c r="B154" s="14" t="n">
        <x:v>46113</x:v>
      </x:c>
      <x:c r="C154" s="12" t="str">
        <x:v>DLR-006</x:v>
      </x:c>
      <x:c r="D154" s="12" t="str">
        <x:v>BYD HTA Hoàn Kiếm</x:v>
      </x:c>
      <x:c r="E154" s="12" t="str">
        <x:v>BYD</x:v>
      </x:c>
      <x:c r="F154" s="12" t="str">
        <x:v>Dolphin</x:v>
      </x:c>
      <x:c r="G154" s="12" t="n">
        <x:v>7</x:v>
      </x:c>
      <x:c r="H154" s="12" t="n">
        <x:v>641.9</x:v>
      </x:c>
      <x:c r="I154" s="12" t="n">
        <x:v>4.49</x:v>
      </x:c>
      <x:c r="J154" s="16" t="n">
        <x:v>0.04483741746854439</x:v>
      </x:c>
      <x:c r="K154" s="12" t="n">
        <x:v>4.04</x:v>
      </x:c>
      <x:c r="L154" s="12" t="n">
        <x:f>I154-K154</x:f>
        <x:v>0.4500000000000002</x:v>
      </x:c>
      <x:c r="M154" s="16" t="n">
        <x:f>IFERROR(L154/I154,0)</x:f>
        <x:v>0.10022271714922053</x:v>
      </x:c>
    </x:row>
    <x:row r="155">
      <x:c r="A155" s="12" t="str">
        <x:v>SALE-00154</x:v>
      </x:c>
      <x:c r="B155" s="14" t="n">
        <x:v>46113</x:v>
      </x:c>
      <x:c r="C155" s="12" t="str">
        <x:v>DLR-006</x:v>
      </x:c>
      <x:c r="D155" s="12" t="str">
        <x:v>BYD HTA Hoàn Kiếm</x:v>
      </x:c>
      <x:c r="E155" s="12" t="str">
        <x:v>BYD</x:v>
      </x:c>
      <x:c r="F155" s="12" t="str">
        <x:v>Atto 3</x:v>
      </x:c>
      <x:c r="G155" s="12" t="n">
        <x:v>8</x:v>
      </x:c>
      <x:c r="H155" s="12" t="n">
        <x:v>736.6</x:v>
      </x:c>
      <x:c r="I155" s="12" t="n">
        <x:v>5.89</x:v>
      </x:c>
      <x:c r="J155" s="16" t="n">
        <x:v>0.025056147048037658</x:v>
      </x:c>
      <x:c r="K155" s="12" t="n">
        <x:v>5.23</x:v>
      </x:c>
      <x:c r="L155" s="12" t="n">
        <x:f>I155-K155</x:f>
        <x:v>0.6599999999999993</x:v>
      </x:c>
      <x:c r="M155" s="16" t="n">
        <x:f>IFERROR(L155/I155,0)</x:f>
        <x:v>0.11205432937181652</x:v>
      </x:c>
    </x:row>
    <x:row r="156">
      <x:c r="A156" s="12" t="str">
        <x:v>SALE-00155</x:v>
      </x:c>
      <x:c r="B156" s="14" t="n">
        <x:v>46113</x:v>
      </x:c>
      <x:c r="C156" s="12" t="str">
        <x:v>DLR-006</x:v>
      </x:c>
      <x:c r="D156" s="12" t="str">
        <x:v>BYD HTA Hoàn Kiếm</x:v>
      </x:c>
      <x:c r="E156" s="12" t="str">
        <x:v>BYD</x:v>
      </x:c>
      <x:c r="F156" s="12" t="str">
        <x:v>Seal</x:v>
      </x:c>
      <x:c r="G156" s="12" t="n">
        <x:v>5</x:v>
      </x:c>
      <x:c r="H156" s="12" t="n">
        <x:v>1062.6</x:v>
      </x:c>
      <x:c r="I156" s="12" t="n">
        <x:v>5.31</x:v>
      </x:c>
      <x:c r="J156" s="16" t="n">
        <x:v>0.03643455861534999</x:v>
      </x:c>
      <x:c r="K156" s="12" t="n">
        <x:v>4.92</x:v>
      </x:c>
      <x:c r="L156" s="12" t="n">
        <x:f>I156-K156</x:f>
        <x:v>0.3899999999999997</x:v>
      </x:c>
      <x:c r="M156" s="16" t="n">
        <x:f>IFERROR(L156/I156,0)</x:f>
        <x:v>0.07344632768361577</x:v>
      </x:c>
    </x:row>
    <x:row r="157">
      <x:c r="A157" s="12" t="str">
        <x:v>SALE-00156</x:v>
      </x:c>
      <x:c r="B157" s="14" t="n">
        <x:v>46113</x:v>
      </x:c>
      <x:c r="C157" s="12" t="str">
        <x:v>DLR-006</x:v>
      </x:c>
      <x:c r="D157" s="12" t="str">
        <x:v>BYD HTA Hoàn Kiếm</x:v>
      </x:c>
      <x:c r="E157" s="12" t="str">
        <x:v>BYD</x:v>
      </x:c>
      <x:c r="F157" s="12" t="str">
        <x:v>M6</x:v>
      </x:c>
      <x:c r="G157" s="12" t="n">
        <x:v>5</x:v>
      </x:c>
      <x:c r="H157" s="12" t="n">
        <x:v>723.7</x:v>
      </x:c>
      <x:c r="I157" s="12" t="n">
        <x:v>3.62</x:v>
      </x:c>
      <x:c r="J157" s="16" t="n">
        <x:v>0.03436794348850834</x:v>
      </x:c>
      <x:c r="K157" s="12" t="n">
        <x:v>3.34</x:v>
      </x:c>
      <x:c r="L157" s="12" t="n">
        <x:f>I157-K157</x:f>
        <x:v>0.28000000000000025</x:v>
      </x:c>
      <x:c r="M157" s="16" t="n">
        <x:f>IFERROR(L157/I157,0)</x:f>
        <x:v>0.07734806629834261</x:v>
      </x:c>
    </x:row>
    <x:row r="158">
      <x:c r="A158" s="12" t="str">
        <x:v>SALE-00157</x:v>
      </x:c>
      <x:c r="B158" s="14" t="n">
        <x:v>46143</x:v>
      </x:c>
      <x:c r="C158" s="12" t="str">
        <x:v>DLR-006</x:v>
      </x:c>
      <x:c r="D158" s="12" t="str">
        <x:v>BYD HTA Hoàn Kiếm</x:v>
      </x:c>
      <x:c r="E158" s="12" t="str">
        <x:v>BYD</x:v>
      </x:c>
      <x:c r="F158" s="12" t="str">
        <x:v>Dolphin</x:v>
      </x:c>
      <x:c r="G158" s="12" t="n">
        <x:v>10</x:v>
      </x:c>
      <x:c r="H158" s="12" t="n">
        <x:v>647.1</x:v>
      </x:c>
      <x:c r="I158" s="12" t="n">
        <x:v>6.47</x:v>
      </x:c>
      <x:c r="J158" s="16" t="n">
        <x:v>0.0263199481309982</x:v>
      </x:c>
      <x:c r="K158" s="12" t="n">
        <x:v>5.73</x:v>
      </x:c>
      <x:c r="L158" s="12" t="n">
        <x:f>I158-K158</x:f>
        <x:v>0.7399999999999993</x:v>
      </x:c>
      <x:c r="M158" s="16" t="n">
        <x:f>IFERROR(L158/I158,0)</x:f>
        <x:v>0.1143740340030911</x:v>
      </x:c>
    </x:row>
    <x:row r="159">
      <x:c r="A159" s="12" t="str">
        <x:v>SALE-00158</x:v>
      </x:c>
      <x:c r="B159" s="14" t="n">
        <x:v>46143</x:v>
      </x:c>
      <x:c r="C159" s="12" t="str">
        <x:v>DLR-006</x:v>
      </x:c>
      <x:c r="D159" s="12" t="str">
        <x:v>BYD HTA Hoàn Kiếm</x:v>
      </x:c>
      <x:c r="E159" s="12" t="str">
        <x:v>BYD</x:v>
      </x:c>
      <x:c r="F159" s="12" t="str">
        <x:v>Atto 3</x:v>
      </x:c>
      <x:c r="G159" s="12" t="n">
        <x:v>5</x:v>
      </x:c>
      <x:c r="H159" s="12" t="n">
        <x:v>734</x:v>
      </x:c>
      <x:c r="I159" s="12" t="n">
        <x:v>3.67</x:v>
      </x:c>
      <x:c r="J159" s="16" t="n">
        <x:v>0.022177661747416134</x:v>
      </x:c>
      <x:c r="K159" s="12" t="n">
        <x:v>3.23</x:v>
      </x:c>
      <x:c r="L159" s="12" t="n">
        <x:f>I159-K159</x:f>
        <x:v>0.43999999999999995</x:v>
      </x:c>
      <x:c r="M159" s="16" t="n">
        <x:f>IFERROR(L159/I159,0)</x:f>
        <x:v>0.11989100817438691</x:v>
      </x:c>
    </x:row>
    <x:row r="160">
      <x:c r="A160" s="12" t="str">
        <x:v>SALE-00159</x:v>
      </x:c>
      <x:c r="B160" s="14" t="n">
        <x:v>46143</x:v>
      </x:c>
      <x:c r="C160" s="12" t="str">
        <x:v>DLR-006</x:v>
      </x:c>
      <x:c r="D160" s="12" t="str">
        <x:v>BYD HTA Hoàn Kiếm</x:v>
      </x:c>
      <x:c r="E160" s="12" t="str">
        <x:v>BYD</x:v>
      </x:c>
      <x:c r="F160" s="12" t="str">
        <x:v>Seal</x:v>
      </x:c>
      <x:c r="G160" s="12" t="n">
        <x:v>7</x:v>
      </x:c>
      <x:c r="H160" s="12" t="n">
        <x:v>1076.4</x:v>
      </x:c>
      <x:c r="I160" s="12" t="n">
        <x:v>7.53</x:v>
      </x:c>
      <x:c r="J160" s="16" t="n">
        <x:v>0.05397179724410952</x:v>
      </x:c>
      <x:c r="K160" s="12" t="n">
        <x:v>6.88</x:v>
      </x:c>
      <x:c r="L160" s="12" t="n">
        <x:f>I160-K160</x:f>
        <x:v>0.6500000000000004</x:v>
      </x:c>
      <x:c r="M160" s="16" t="n">
        <x:f>IFERROR(L160/I160,0)</x:f>
        <x:v>0.08632138114209832</x:v>
      </x:c>
    </x:row>
    <x:row r="161">
      <x:c r="A161" s="12" t="str">
        <x:v>SALE-00160</x:v>
      </x:c>
      <x:c r="B161" s="14" t="n">
        <x:v>46143</x:v>
      </x:c>
      <x:c r="C161" s="12" t="str">
        <x:v>DLR-006</x:v>
      </x:c>
      <x:c r="D161" s="12" t="str">
        <x:v>BYD HTA Hoàn Kiếm</x:v>
      </x:c>
      <x:c r="E161" s="12" t="str">
        <x:v>BYD</x:v>
      </x:c>
      <x:c r="F161" s="12" t="str">
        <x:v>M6</x:v>
      </x:c>
      <x:c r="G161" s="12" t="n">
        <x:v>8</x:v>
      </x:c>
      <x:c r="H161" s="12" t="n">
        <x:v>718.3</x:v>
      </x:c>
      <x:c r="I161" s="12" t="n">
        <x:v>5.75</x:v>
      </x:c>
      <x:c r="J161" s="16" t="n">
        <x:v>0.04973844789051776</x:v>
      </x:c>
      <x:c r="K161" s="12" t="n">
        <x:v>5.23</x:v>
      </x:c>
      <x:c r="L161" s="12" t="n">
        <x:f>I161-K161</x:f>
        <x:v>0.5199999999999996</x:v>
      </x:c>
      <x:c r="M161" s="16" t="n">
        <x:f>IFERROR(L161/I161,0)</x:f>
        <x:v>0.09043478260869557</x:v>
      </x:c>
    </x:row>
    <x:row r="162">
      <x:c r="A162" s="12" t="str">
        <x:v>SALE-00161</x:v>
      </x:c>
      <x:c r="B162" s="14" t="n">
        <x:v>46174</x:v>
      </x:c>
      <x:c r="C162" s="12" t="str">
        <x:v>DLR-006</x:v>
      </x:c>
      <x:c r="D162" s="12" t="str">
        <x:v>BYD HTA Hoàn Kiếm</x:v>
      </x:c>
      <x:c r="E162" s="12" t="str">
        <x:v>BYD</x:v>
      </x:c>
      <x:c r="F162" s="12" t="str">
        <x:v>Dolphin</x:v>
      </x:c>
      <x:c r="G162" s="12" t="n">
        <x:v>9</x:v>
      </x:c>
      <x:c r="H162" s="12" t="n">
        <x:v>649.7</x:v>
      </x:c>
      <x:c r="I162" s="12" t="n">
        <x:v>5.85</x:v>
      </x:c>
      <x:c r="J162" s="16" t="n">
        <x:v>0.03377587779722041</x:v>
      </x:c>
      <x:c r="K162" s="12" t="n">
        <x:v>5.3</x:v>
      </x:c>
      <x:c r="L162" s="12" t="n">
        <x:f>I162-K162</x:f>
        <x:v>0.5499999999999998</x:v>
      </x:c>
      <x:c r="M162" s="16" t="n">
        <x:f>IFERROR(L162/I162,0)</x:f>
        <x:v>0.09401709401709399</x:v>
      </x:c>
    </x:row>
    <x:row r="163">
      <x:c r="A163" s="12" t="str">
        <x:v>SALE-00162</x:v>
      </x:c>
      <x:c r="B163" s="14" t="n">
        <x:v>46174</x:v>
      </x:c>
      <x:c r="C163" s="12" t="str">
        <x:v>DLR-006</x:v>
      </x:c>
      <x:c r="D163" s="12" t="str">
        <x:v>BYD HTA Hoàn Kiếm</x:v>
      </x:c>
      <x:c r="E163" s="12" t="str">
        <x:v>BYD</x:v>
      </x:c>
      <x:c r="F163" s="12" t="str">
        <x:v>Atto 3</x:v>
      </x:c>
      <x:c r="G163" s="12" t="n">
        <x:v>5</x:v>
      </x:c>
      <x:c r="H163" s="12" t="n">
        <x:v>723.2</x:v>
      </x:c>
      <x:c r="I163" s="12" t="n">
        <x:v>3.62</x:v>
      </x:c>
      <x:c r="J163" s="16" t="n">
        <x:v>0.05264254387072413</x:v>
      </x:c>
      <x:c r="K163" s="12" t="n">
        <x:v>3.29</x:v>
      </x:c>
      <x:c r="L163" s="12" t="n">
        <x:f>I163-K163</x:f>
        <x:v>0.33000000000000007</x:v>
      </x:c>
      <x:c r="M163" s="16" t="n">
        <x:f>IFERROR(L163/I163,0)</x:f>
        <x:v>0.09116022099447516</x:v>
      </x:c>
    </x:row>
    <x:row r="164">
      <x:c r="A164" s="12" t="str">
        <x:v>SALE-00163</x:v>
      </x:c>
      <x:c r="B164" s="14" t="n">
        <x:v>46174</x:v>
      </x:c>
      <x:c r="C164" s="12" t="str">
        <x:v>DLR-006</x:v>
      </x:c>
      <x:c r="D164" s="12" t="str">
        <x:v>BYD HTA Hoàn Kiếm</x:v>
      </x:c>
      <x:c r="E164" s="12" t="str">
        <x:v>BYD</x:v>
      </x:c>
      <x:c r="F164" s="12" t="str">
        <x:v>Seal</x:v>
      </x:c>
      <x:c r="G164" s="12" t="n">
        <x:v>9</x:v>
      </x:c>
      <x:c r="H164" s="12" t="n">
        <x:v>1087.7</x:v>
      </x:c>
      <x:c r="I164" s="12" t="n">
        <x:v>9.79</x:v>
      </x:c>
      <x:c r="J164" s="16" t="n">
        <x:v>0.01796328681022559</x:v>
      </x:c>
      <x:c r="K164" s="12" t="n">
        <x:v>8.98</x:v>
      </x:c>
      <x:c r="L164" s="12" t="n">
        <x:f>I164-K164</x:f>
        <x:v>0.8099999999999987</x:v>
      </x:c>
      <x:c r="M164" s="16" t="n">
        <x:f>IFERROR(L164/I164,0)</x:f>
        <x:v>0.08273748723186913</x:v>
      </x:c>
    </x:row>
    <x:row r="165">
      <x:c r="A165" s="12" t="str">
        <x:v>SALE-00164</x:v>
      </x:c>
      <x:c r="B165" s="14" t="n">
        <x:v>46174</x:v>
      </x:c>
      <x:c r="C165" s="12" t="str">
        <x:v>DLR-006</x:v>
      </x:c>
      <x:c r="D165" s="12" t="str">
        <x:v>BYD HTA Hoàn Kiếm</x:v>
      </x:c>
      <x:c r="E165" s="12" t="str">
        <x:v>BYD</x:v>
      </x:c>
      <x:c r="F165" s="12" t="str">
        <x:v>M6</x:v>
      </x:c>
      <x:c r="G165" s="12" t="n">
        <x:v>5</x:v>
      </x:c>
      <x:c r="H165" s="12" t="n">
        <x:v>719.7</x:v>
      </x:c>
      <x:c r="I165" s="12" t="n">
        <x:v>3.6</x:v>
      </x:c>
      <x:c r="J165" s="16" t="n">
        <x:v>0.037513583883382565</x:v>
      </x:c>
      <x:c r="K165" s="12" t="n">
        <x:v>3.23</x:v>
      </x:c>
      <x:c r="L165" s="12" t="n">
        <x:f>I165-K165</x:f>
        <x:v>0.3700000000000001</x:v>
      </x:c>
      <x:c r="M165" s="16" t="n">
        <x:f>IFERROR(L165/I165,0)</x:f>
        <x:v>0.1027777777777778</x:v>
      </x:c>
    </x:row>
    <x:row r="166">
      <x:c r="A166" s="12" t="str">
        <x:v>SALE-00165</x:v>
      </x:c>
      <x:c r="B166" s="14" t="n">
        <x:v>46204</x:v>
      </x:c>
      <x:c r="C166" s="12" t="str">
        <x:v>DLR-006</x:v>
      </x:c>
      <x:c r="D166" s="12" t="str">
        <x:v>BYD HTA Hoàn Kiếm</x:v>
      </x:c>
      <x:c r="E166" s="12" t="str">
        <x:v>BYD</x:v>
      </x:c>
      <x:c r="F166" s="12" t="str">
        <x:v>Dolphin</x:v>
      </x:c>
      <x:c r="G166" s="12" t="n">
        <x:v>11</x:v>
      </x:c>
      <x:c r="H166" s="12" t="n">
        <x:v>625.7</x:v>
      </x:c>
      <x:c r="I166" s="12" t="n">
        <x:v>6.88</x:v>
      </x:c>
      <x:c r="J166" s="16" t="n">
        <x:v>0.04557773781304777</x:v>
      </x:c>
      <x:c r="K166" s="12" t="n">
        <x:v>6.31</x:v>
      </x:c>
      <x:c r="L166" s="12" t="n">
        <x:f>I166-K166</x:f>
        <x:v>0.5700000000000003</x:v>
      </x:c>
      <x:c r="M166" s="16" t="n">
        <x:f>IFERROR(L166/I166,0)</x:f>
        <x:v>0.08284883720930236</x:v>
      </x:c>
    </x:row>
    <x:row r="167">
      <x:c r="A167" s="12" t="str">
        <x:v>SALE-00166</x:v>
      </x:c>
      <x:c r="B167" s="14" t="n">
        <x:v>46204</x:v>
      </x:c>
      <x:c r="C167" s="12" t="str">
        <x:v>DLR-006</x:v>
      </x:c>
      <x:c r="D167" s="12" t="str">
        <x:v>BYD HTA Hoàn Kiếm</x:v>
      </x:c>
      <x:c r="E167" s="12" t="str">
        <x:v>BYD</x:v>
      </x:c>
      <x:c r="F167" s="12" t="str">
        <x:v>Atto 3</x:v>
      </x:c>
      <x:c r="G167" s="12" t="n">
        <x:v>9</x:v>
      </x:c>
      <x:c r="H167" s="12" t="n">
        <x:v>733.9</x:v>
      </x:c>
      <x:c r="I167" s="12" t="n">
        <x:v>6.6</x:v>
      </x:c>
      <x:c r="J167" s="16" t="n">
        <x:v>0.035902901405208715</x:v>
      </x:c>
      <x:c r="K167" s="12" t="n">
        <x:v>5.99</x:v>
      </x:c>
      <x:c r="L167" s="12" t="n">
        <x:f>I167-K167</x:f>
        <x:v>0.6099999999999994</x:v>
      </x:c>
      <x:c r="M167" s="16" t="n">
        <x:f>IFERROR(L167/I167,0)</x:f>
        <x:v>0.09242424242424234</x:v>
      </x:c>
    </x:row>
    <x:row r="168">
      <x:c r="A168" s="12" t="str">
        <x:v>SALE-00167</x:v>
      </x:c>
      <x:c r="B168" s="14" t="n">
        <x:v>46204</x:v>
      </x:c>
      <x:c r="C168" s="12" t="str">
        <x:v>DLR-006</x:v>
      </x:c>
      <x:c r="D168" s="12" t="str">
        <x:v>BYD HTA Hoàn Kiếm</x:v>
      </x:c>
      <x:c r="E168" s="12" t="str">
        <x:v>BYD</x:v>
      </x:c>
      <x:c r="F168" s="12" t="str">
        <x:v>Seal</x:v>
      </x:c>
      <x:c r="G168" s="12" t="n">
        <x:v>7</x:v>
      </x:c>
      <x:c r="H168" s="12" t="n">
        <x:v>1128.9</x:v>
      </x:c>
      <x:c r="I168" s="12" t="n">
        <x:v>7.9</x:v>
      </x:c>
      <x:c r="J168" s="16" t="n">
        <x:v>0.054601250418671914</x:v>
      </x:c>
      <x:c r="K168" s="12" t="n">
        <x:v>7.1</x:v>
      </x:c>
      <x:c r="L168" s="12" t="n">
        <x:f>I168-K168</x:f>
        <x:v>0.8000000000000007</x:v>
      </x:c>
      <x:c r="M168" s="16" t="n">
        <x:f>IFERROR(L168/I168,0)</x:f>
        <x:v>0.10126582278481021</x:v>
      </x:c>
    </x:row>
    <x:row r="169">
      <x:c r="A169" s="12" t="str">
        <x:v>SALE-00168</x:v>
      </x:c>
      <x:c r="B169" s="14" t="n">
        <x:v>46204</x:v>
      </x:c>
      <x:c r="C169" s="12" t="str">
        <x:v>DLR-006</x:v>
      </x:c>
      <x:c r="D169" s="12" t="str">
        <x:v>BYD HTA Hoàn Kiếm</x:v>
      </x:c>
      <x:c r="E169" s="12" t="str">
        <x:v>BYD</x:v>
      </x:c>
      <x:c r="F169" s="12" t="str">
        <x:v>M6</x:v>
      </x:c>
      <x:c r="G169" s="12" t="n">
        <x:v>8</x:v>
      </x:c>
      <x:c r="H169" s="12" t="n">
        <x:v>747.5</x:v>
      </x:c>
      <x:c r="I169" s="12" t="n">
        <x:v>5.98</x:v>
      </x:c>
      <x:c r="J169" s="16" t="n">
        <x:v>0.0446035722193818</x:v>
      </x:c>
      <x:c r="K169" s="12" t="n">
        <x:v>5.6</x:v>
      </x:c>
      <x:c r="L169" s="12" t="n">
        <x:f>I169-K169</x:f>
        <x:v>0.3800000000000008</x:v>
      </x:c>
      <x:c r="M169" s="16" t="n">
        <x:f>IFERROR(L169/I169,0)</x:f>
        <x:v>0.06354515050167237</x:v>
      </x:c>
    </x:row>
    <x:row r="170">
      <x:c r="A170" s="12" t="str">
        <x:v>SALE-00169</x:v>
      </x:c>
      <x:c r="B170" s="14" t="n">
        <x:v>46023</x:v>
      </x:c>
      <x:c r="C170" s="12" t="str">
        <x:v>DLR-007</x:v>
      </x:c>
      <x:c r="D170" s="12" t="str">
        <x:v>BYD Hà Đông</x:v>
      </x:c>
      <x:c r="E170" s="12" t="str">
        <x:v>BYD</x:v>
      </x:c>
      <x:c r="F170" s="12" t="str">
        <x:v>Dolphin</x:v>
      </x:c>
      <x:c r="G170" s="12" t="n">
        <x:v>3</x:v>
      </x:c>
      <x:c r="H170" s="12" t="n">
        <x:v>654.3</x:v>
      </x:c>
      <x:c r="I170" s="12" t="n">
        <x:v>1.96</x:v>
      </x:c>
      <x:c r="J170" s="16" t="n">
        <x:v>0.021282283735235087</x:v>
      </x:c>
      <x:c r="K170" s="12" t="n">
        <x:v>1.75</x:v>
      </x:c>
      <x:c r="L170" s="12" t="n">
        <x:f>I170-K170</x:f>
        <x:v>0.20999999999999996</x:v>
      </x:c>
      <x:c r="M170" s="16" t="n">
        <x:f>IFERROR(L170/I170,0)</x:f>
        <x:v>0.10714285714285712</x:v>
      </x:c>
    </x:row>
    <x:row r="171">
      <x:c r="A171" s="12" t="str">
        <x:v>SALE-00170</x:v>
      </x:c>
      <x:c r="B171" s="14" t="n">
        <x:v>46023</x:v>
      </x:c>
      <x:c r="C171" s="12" t="str">
        <x:v>DLR-007</x:v>
      </x:c>
      <x:c r="D171" s="12" t="str">
        <x:v>BYD Hà Đông</x:v>
      </x:c>
      <x:c r="E171" s="12" t="str">
        <x:v>BYD</x:v>
      </x:c>
      <x:c r="F171" s="12" t="str">
        <x:v>Atto 3</x:v>
      </x:c>
      <x:c r="G171" s="12" t="n">
        <x:v>3</x:v>
      </x:c>
      <x:c r="H171" s="12" t="n">
        <x:v>720.2</x:v>
      </x:c>
      <x:c r="I171" s="12" t="n">
        <x:v>2.16</x:v>
      </x:c>
      <x:c r="J171" s="16" t="n">
        <x:v>0.033020148184708095</x:v>
      </x:c>
      <x:c r="K171" s="12" t="n">
        <x:v>1.98</x:v>
      </x:c>
      <x:c r="L171" s="12" t="n">
        <x:f>I171-K171</x:f>
        <x:v>0.18000000000000016</x:v>
      </x:c>
      <x:c r="M171" s="16" t="n">
        <x:f>IFERROR(L171/I171,0)</x:f>
        <x:v>0.0833333333333334</x:v>
      </x:c>
    </x:row>
    <x:row r="172">
      <x:c r="A172" s="12" t="str">
        <x:v>SALE-00171</x:v>
      </x:c>
      <x:c r="B172" s="14" t="n">
        <x:v>46023</x:v>
      </x:c>
      <x:c r="C172" s="12" t="str">
        <x:v>DLR-007</x:v>
      </x:c>
      <x:c r="D172" s="12" t="str">
        <x:v>BYD Hà Đông</x:v>
      </x:c>
      <x:c r="E172" s="12" t="str">
        <x:v>BYD</x:v>
      </x:c>
      <x:c r="F172" s="12" t="str">
        <x:v>Seal</x:v>
      </x:c>
      <x:c r="G172" s="12" t="n">
        <x:v>3</x:v>
      </x:c>
      <x:c r="H172" s="12" t="n">
        <x:v>1072.6</x:v>
      </x:c>
      <x:c r="I172" s="12" t="n">
        <x:v>3.22</x:v>
      </x:c>
      <x:c r="J172" s="16" t="n">
        <x:v>0.04327823319516133</x:v>
      </x:c>
      <x:c r="K172" s="12" t="n">
        <x:v>2.97</x:v>
      </x:c>
      <x:c r="L172" s="12" t="n">
        <x:f>I172-K172</x:f>
        <x:v>0.25</x:v>
      </x:c>
      <x:c r="M172" s="16" t="n">
        <x:f>IFERROR(L172/I172,0)</x:f>
        <x:v>0.07763975155279502</x:v>
      </x:c>
    </x:row>
    <x:row r="173">
      <x:c r="A173" s="12" t="str">
        <x:v>SALE-00172</x:v>
      </x:c>
      <x:c r="B173" s="14" t="n">
        <x:v>46023</x:v>
      </x:c>
      <x:c r="C173" s="12" t="str">
        <x:v>DLR-007</x:v>
      </x:c>
      <x:c r="D173" s="12" t="str">
        <x:v>BYD Hà Đông</x:v>
      </x:c>
      <x:c r="E173" s="12" t="str">
        <x:v>BYD</x:v>
      </x:c>
      <x:c r="F173" s="12" t="str">
        <x:v>M6</x:v>
      </x:c>
      <x:c r="G173" s="12" t="n">
        <x:v>4</x:v>
      </x:c>
      <x:c r="H173" s="12" t="n">
        <x:v>752.2</x:v>
      </x:c>
      <x:c r="I173" s="12" t="n">
        <x:v>3.01</x:v>
      </x:c>
      <x:c r="J173" s="16" t="n">
        <x:v>0.05195644177930195</x:v>
      </x:c>
      <x:c r="K173" s="12" t="n">
        <x:v>2.79</x:v>
      </x:c>
      <x:c r="L173" s="12" t="n">
        <x:f>I173-K173</x:f>
        <x:v>0.21999999999999975</x:v>
      </x:c>
      <x:c r="M173" s="16" t="n">
        <x:f>IFERROR(L173/I173,0)</x:f>
        <x:v>0.07308970099667766</x:v>
      </x:c>
    </x:row>
    <x:row r="174">
      <x:c r="A174" s="12" t="str">
        <x:v>SALE-00173</x:v>
      </x:c>
      <x:c r="B174" s="14" t="n">
        <x:v>46054</x:v>
      </x:c>
      <x:c r="C174" s="12" t="str">
        <x:v>DLR-007</x:v>
      </x:c>
      <x:c r="D174" s="12" t="str">
        <x:v>BYD Hà Đông</x:v>
      </x:c>
      <x:c r="E174" s="12" t="str">
        <x:v>BYD</x:v>
      </x:c>
      <x:c r="F174" s="12" t="str">
        <x:v>Dolphin</x:v>
      </x:c>
      <x:c r="G174" s="12" t="n">
        <x:v>5</x:v>
      </x:c>
      <x:c r="H174" s="12" t="n">
        <x:v>654.3</x:v>
      </x:c>
      <x:c r="I174" s="12" t="n">
        <x:v>3.27</x:v>
      </x:c>
      <x:c r="J174" s="16" t="n">
        <x:v>0.05234673833782053</x:v>
      </x:c>
      <x:c r="K174" s="12" t="n">
        <x:v>2.96</x:v>
      </x:c>
      <x:c r="L174" s="12" t="n">
        <x:f>I174-K174</x:f>
        <x:v>0.31000000000000005</x:v>
      </x:c>
      <x:c r="M174" s="16" t="n">
        <x:f>IFERROR(L174/I174,0)</x:f>
        <x:v>0.09480122324159022</x:v>
      </x:c>
    </x:row>
    <x:row r="175">
      <x:c r="A175" s="12" t="str">
        <x:v>SALE-00174</x:v>
      </x:c>
      <x:c r="B175" s="14" t="n">
        <x:v>46054</x:v>
      </x:c>
      <x:c r="C175" s="12" t="str">
        <x:v>DLR-007</x:v>
      </x:c>
      <x:c r="D175" s="12" t="str">
        <x:v>BYD Hà Đông</x:v>
      </x:c>
      <x:c r="E175" s="12" t="str">
        <x:v>BYD</x:v>
      </x:c>
      <x:c r="F175" s="12" t="str">
        <x:v>Atto 3</x:v>
      </x:c>
      <x:c r="G175" s="12" t="n">
        <x:v>4</x:v>
      </x:c>
      <x:c r="H175" s="12" t="n">
        <x:v>759.7</x:v>
      </x:c>
      <x:c r="I175" s="12" t="n">
        <x:v>3.04</x:v>
      </x:c>
      <x:c r="J175" s="16" t="n">
        <x:v>0.051336457808504245</x:v>
      </x:c>
      <x:c r="K175" s="12" t="n">
        <x:v>2.82</x:v>
      </x:c>
      <x:c r="L175" s="12" t="n">
        <x:f>I175-K175</x:f>
        <x:v>0.2200000000000002</x:v>
      </x:c>
      <x:c r="M175" s="16" t="n">
        <x:f>IFERROR(L175/I175,0)</x:f>
        <x:v>0.07236842105263164</x:v>
      </x:c>
    </x:row>
    <x:row r="176">
      <x:c r="A176" s="12" t="str">
        <x:v>SALE-00175</x:v>
      </x:c>
      <x:c r="B176" s="14" t="n">
        <x:v>46054</x:v>
      </x:c>
      <x:c r="C176" s="12" t="str">
        <x:v>DLR-007</x:v>
      </x:c>
      <x:c r="D176" s="12" t="str">
        <x:v>BYD Hà Đông</x:v>
      </x:c>
      <x:c r="E176" s="12" t="str">
        <x:v>BYD</x:v>
      </x:c>
      <x:c r="F176" s="12" t="str">
        <x:v>Seal</x:v>
      </x:c>
      <x:c r="G176" s="12" t="n">
        <x:v>3</x:v>
      </x:c>
      <x:c r="H176" s="12" t="n">
        <x:v>1066.7</x:v>
      </x:c>
      <x:c r="I176" s="12" t="n">
        <x:v>3.2</x:v>
      </x:c>
      <x:c r="J176" s="16" t="n">
        <x:v>0.0273044725045693</x:v>
      </x:c>
      <x:c r="K176" s="12" t="n">
        <x:v>2.96</x:v>
      </x:c>
      <x:c r="L176" s="12" t="n">
        <x:f>I176-K176</x:f>
        <x:v>0.2400000000000002</x:v>
      </x:c>
      <x:c r="M176" s="16" t="n">
        <x:f>IFERROR(L176/I176,0)</x:f>
        <x:v>0.07500000000000007</x:v>
      </x:c>
    </x:row>
    <x:row r="177">
      <x:c r="A177" s="12" t="str">
        <x:v>SALE-00176</x:v>
      </x:c>
      <x:c r="B177" s="14" t="n">
        <x:v>46054</x:v>
      </x:c>
      <x:c r="C177" s="12" t="str">
        <x:v>DLR-007</x:v>
      </x:c>
      <x:c r="D177" s="12" t="str">
        <x:v>BYD Hà Đông</x:v>
      </x:c>
      <x:c r="E177" s="12" t="str">
        <x:v>BYD</x:v>
      </x:c>
      <x:c r="F177" s="12" t="str">
        <x:v>M6</x:v>
      </x:c>
      <x:c r="G177" s="12" t="n">
        <x:v>4</x:v>
      </x:c>
      <x:c r="H177" s="12" t="n">
        <x:v>728.1</x:v>
      </x:c>
      <x:c r="I177" s="12" t="n">
        <x:v>2.91</x:v>
      </x:c>
      <x:c r="J177" s="16" t="n">
        <x:v>0.01997414632698833</x:v>
      </x:c>
      <x:c r="K177" s="12" t="n">
        <x:v>2.68</x:v>
      </x:c>
      <x:c r="L177" s="12" t="n">
        <x:f>I177-K177</x:f>
        <x:v>0.22999999999999998</x:v>
      </x:c>
      <x:c r="M177" s="16" t="n">
        <x:f>IFERROR(L177/I177,0)</x:f>
        <x:v>0.07903780068728522</x:v>
      </x:c>
    </x:row>
    <x:row r="178">
      <x:c r="A178" s="12" t="str">
        <x:v>SALE-00177</x:v>
      </x:c>
      <x:c r="B178" s="14" t="n">
        <x:v>46082</x:v>
      </x:c>
      <x:c r="C178" s="12" t="str">
        <x:v>DLR-007</x:v>
      </x:c>
      <x:c r="D178" s="12" t="str">
        <x:v>BYD Hà Đông</x:v>
      </x:c>
      <x:c r="E178" s="12" t="str">
        <x:v>BYD</x:v>
      </x:c>
      <x:c r="F178" s="12" t="str">
        <x:v>Dolphin</x:v>
      </x:c>
      <x:c r="G178" s="12" t="n">
        <x:v>5</x:v>
      </x:c>
      <x:c r="H178" s="12" t="n">
        <x:v>669.2</x:v>
      </x:c>
      <x:c r="I178" s="12" t="n">
        <x:v>3.35</x:v>
      </x:c>
      <x:c r="J178" s="16" t="n">
        <x:v>0.035018887084717024</x:v>
      </x:c>
      <x:c r="K178" s="12" t="n">
        <x:v>3.04</x:v>
      </x:c>
      <x:c r="L178" s="12" t="n">
        <x:f>I178-K178</x:f>
        <x:v>0.31000000000000005</x:v>
      </x:c>
      <x:c r="M178" s="16" t="n">
        <x:f>IFERROR(L178/I178,0)</x:f>
        <x:v>0.09253731343283583</x:v>
      </x:c>
    </x:row>
    <x:row r="179">
      <x:c r="A179" s="12" t="str">
        <x:v>SALE-00178</x:v>
      </x:c>
      <x:c r="B179" s="14" t="n">
        <x:v>46082</x:v>
      </x:c>
      <x:c r="C179" s="12" t="str">
        <x:v>DLR-007</x:v>
      </x:c>
      <x:c r="D179" s="12" t="str">
        <x:v>BYD Hà Đông</x:v>
      </x:c>
      <x:c r="E179" s="12" t="str">
        <x:v>BYD</x:v>
      </x:c>
      <x:c r="F179" s="12" t="str">
        <x:v>Atto 3</x:v>
      </x:c>
      <x:c r="G179" s="12" t="n">
        <x:v>3</x:v>
      </x:c>
      <x:c r="H179" s="12" t="n">
        <x:v>722.5</x:v>
      </x:c>
      <x:c r="I179" s="12" t="n">
        <x:v>2.17</x:v>
      </x:c>
      <x:c r="J179" s="16" t="n">
        <x:v>0.0322811465664309</x:v>
      </x:c>
      <x:c r="K179" s="12" t="n">
        <x:v>1.95</x:v>
      </x:c>
      <x:c r="L179" s="12" t="n">
        <x:f>I179-K179</x:f>
        <x:v>0.21999999999999997</x:v>
      </x:c>
      <x:c r="M179" s="16" t="n">
        <x:f>IFERROR(L179/I179,0)</x:f>
        <x:v>0.10138248847926266</x:v>
      </x:c>
    </x:row>
    <x:row r="180">
      <x:c r="A180" s="12" t="str">
        <x:v>SALE-00179</x:v>
      </x:c>
      <x:c r="B180" s="14" t="n">
        <x:v>46082</x:v>
      </x:c>
      <x:c r="C180" s="12" t="str">
        <x:v>DLR-007</x:v>
      </x:c>
      <x:c r="D180" s="12" t="str">
        <x:v>BYD Hà Đông</x:v>
      </x:c>
      <x:c r="E180" s="12" t="str">
        <x:v>BYD</x:v>
      </x:c>
      <x:c r="F180" s="12" t="str">
        <x:v>Seal</x:v>
      </x:c>
      <x:c r="G180" s="12" t="n">
        <x:v>3</x:v>
      </x:c>
      <x:c r="H180" s="12" t="n">
        <x:v>1060</x:v>
      </x:c>
      <x:c r="I180" s="12" t="n">
        <x:v>3.18</x:v>
      </x:c>
      <x:c r="J180" s="16" t="n">
        <x:v>0.053476444087713466</x:v>
      </x:c>
      <x:c r="K180" s="12" t="n">
        <x:v>2.96</x:v>
      </x:c>
      <x:c r="L180" s="12" t="n">
        <x:f>I180-K180</x:f>
        <x:v>0.2200000000000002</x:v>
      </x:c>
      <x:c r="M180" s="16" t="n">
        <x:f>IFERROR(L180/I180,0)</x:f>
        <x:v>0.06918238993710697</x:v>
      </x:c>
    </x:row>
    <x:row r="181">
      <x:c r="A181" s="12" t="str">
        <x:v>SALE-00180</x:v>
      </x:c>
      <x:c r="B181" s="14" t="n">
        <x:v>46082</x:v>
      </x:c>
      <x:c r="C181" s="12" t="str">
        <x:v>DLR-007</x:v>
      </x:c>
      <x:c r="D181" s="12" t="str">
        <x:v>BYD Hà Đông</x:v>
      </x:c>
      <x:c r="E181" s="12" t="str">
        <x:v>BYD</x:v>
      </x:c>
      <x:c r="F181" s="12" t="str">
        <x:v>M6</x:v>
      </x:c>
      <x:c r="G181" s="12" t="n">
        <x:v>5</x:v>
      </x:c>
      <x:c r="H181" s="12" t="n">
        <x:v>768.1</x:v>
      </x:c>
      <x:c r="I181" s="12" t="n">
        <x:v>3.84</x:v>
      </x:c>
      <x:c r="J181" s="16" t="n">
        <x:v>0.05498289667509806</x:v>
      </x:c>
      <x:c r="K181" s="12" t="n">
        <x:v>3.53</x:v>
      </x:c>
      <x:c r="L181" s="12" t="n">
        <x:f>I181-K181</x:f>
        <x:v>0.31000000000000005</x:v>
      </x:c>
      <x:c r="M181" s="16" t="n">
        <x:f>IFERROR(L181/I181,0)</x:f>
        <x:v>0.08072916666666669</x:v>
      </x:c>
    </x:row>
    <x:row r="182">
      <x:c r="A182" s="12" t="str">
        <x:v>SALE-00181</x:v>
      </x:c>
      <x:c r="B182" s="14" t="n">
        <x:v>46113</x:v>
      </x:c>
      <x:c r="C182" s="12" t="str">
        <x:v>DLR-007</x:v>
      </x:c>
      <x:c r="D182" s="12" t="str">
        <x:v>BYD Hà Đông</x:v>
      </x:c>
      <x:c r="E182" s="12" t="str">
        <x:v>BYD</x:v>
      </x:c>
      <x:c r="F182" s="12" t="str">
        <x:v>Dolphin</x:v>
      </x:c>
      <x:c r="G182" s="12" t="n">
        <x:v>4</x:v>
      </x:c>
      <x:c r="H182" s="12" t="n">
        <x:v>621.6</x:v>
      </x:c>
      <x:c r="I182" s="12" t="n">
        <x:v>2.49</x:v>
      </x:c>
      <x:c r="J182" s="16" t="n">
        <x:v>0.04525075321650228</x:v>
      </x:c>
      <x:c r="K182" s="12" t="n">
        <x:v>2.26</x:v>
      </x:c>
      <x:c r="L182" s="12" t="n">
        <x:f>I182-K182</x:f>
        <x:v>0.23000000000000043</x:v>
      </x:c>
      <x:c r="M182" s="16" t="n">
        <x:f>IFERROR(L182/I182,0)</x:f>
        <x:v>0.09236947791164675</x:v>
      </x:c>
    </x:row>
    <x:row r="183">
      <x:c r="A183" s="12" t="str">
        <x:v>SALE-00182</x:v>
      </x:c>
      <x:c r="B183" s="14" t="n">
        <x:v>46113</x:v>
      </x:c>
      <x:c r="C183" s="12" t="str">
        <x:v>DLR-007</x:v>
      </x:c>
      <x:c r="D183" s="12" t="str">
        <x:v>BYD Hà Đông</x:v>
      </x:c>
      <x:c r="E183" s="12" t="str">
        <x:v>BYD</x:v>
      </x:c>
      <x:c r="F183" s="12" t="str">
        <x:v>Atto 3</x:v>
      </x:c>
      <x:c r="G183" s="12" t="n">
        <x:v>5</x:v>
      </x:c>
      <x:c r="H183" s="12" t="n">
        <x:v>776.2</x:v>
      </x:c>
      <x:c r="I183" s="12" t="n">
        <x:v>3.88</x:v>
      </x:c>
      <x:c r="J183" s="16" t="n">
        <x:v>0.022259565888925036</x:v>
      </x:c>
      <x:c r="K183" s="12" t="n">
        <x:v>3.55</x:v>
      </x:c>
      <x:c r="L183" s="12" t="n">
        <x:f>I183-K183</x:f>
        <x:v>0.33000000000000007</x:v>
      </x:c>
      <x:c r="M183" s="16" t="n">
        <x:f>IFERROR(L183/I183,0)</x:f>
        <x:v>0.0850515463917526</x:v>
      </x:c>
    </x:row>
    <x:row r="184">
      <x:c r="A184" s="12" t="str">
        <x:v>SALE-00183</x:v>
      </x:c>
      <x:c r="B184" s="14" t="n">
        <x:v>46113</x:v>
      </x:c>
      <x:c r="C184" s="12" t="str">
        <x:v>DLR-007</x:v>
      </x:c>
      <x:c r="D184" s="12" t="str">
        <x:v>BYD Hà Đông</x:v>
      </x:c>
      <x:c r="E184" s="12" t="str">
        <x:v>BYD</x:v>
      </x:c>
      <x:c r="F184" s="12" t="str">
        <x:v>Seal</x:v>
      </x:c>
      <x:c r="G184" s="12" t="n">
        <x:v>5</x:v>
      </x:c>
      <x:c r="H184" s="12" t="n">
        <x:v>1095.9</x:v>
      </x:c>
      <x:c r="I184" s="12" t="n">
        <x:v>5.48</x:v>
      </x:c>
      <x:c r="J184" s="16" t="n">
        <x:v>0.018649696251753087</x:v>
      </x:c>
      <x:c r="K184" s="12" t="n">
        <x:v>4.94</x:v>
      </x:c>
      <x:c r="L184" s="12" t="n">
        <x:f>I184-K184</x:f>
        <x:v>0.54</x:v>
      </x:c>
      <x:c r="M184" s="16" t="n">
        <x:f>IFERROR(L184/I184,0)</x:f>
        <x:v>0.09854014598540146</x:v>
      </x:c>
    </x:row>
    <x:row r="185">
      <x:c r="A185" s="12" t="str">
        <x:v>SALE-00184</x:v>
      </x:c>
      <x:c r="B185" s="14" t="n">
        <x:v>46113</x:v>
      </x:c>
      <x:c r="C185" s="12" t="str">
        <x:v>DLR-007</x:v>
      </x:c>
      <x:c r="D185" s="12" t="str">
        <x:v>BYD Hà Đông</x:v>
      </x:c>
      <x:c r="E185" s="12" t="str">
        <x:v>BYD</x:v>
      </x:c>
      <x:c r="F185" s="12" t="str">
        <x:v>M6</x:v>
      </x:c>
      <x:c r="G185" s="12" t="n">
        <x:v>4</x:v>
      </x:c>
      <x:c r="H185" s="12" t="n">
        <x:v>751.2</x:v>
      </x:c>
      <x:c r="I185" s="12" t="n">
        <x:v>3</x:v>
      </x:c>
      <x:c r="J185" s="16" t="n">
        <x:v>0.0493093237760141</x:v>
      </x:c>
      <x:c r="K185" s="12" t="n">
        <x:v>2.7</x:v>
      </x:c>
      <x:c r="L185" s="12" t="n">
        <x:f>I185-K185</x:f>
        <x:v>0.2999999999999998</x:v>
      </x:c>
      <x:c r="M185" s="16" t="n">
        <x:f>IFERROR(L185/I185,0)</x:f>
        <x:v>0.09999999999999994</x:v>
      </x:c>
    </x:row>
    <x:row r="186">
      <x:c r="A186" s="12" t="str">
        <x:v>SALE-00185</x:v>
      </x:c>
      <x:c r="B186" s="14" t="n">
        <x:v>46143</x:v>
      </x:c>
      <x:c r="C186" s="12" t="str">
        <x:v>DLR-007</x:v>
      </x:c>
      <x:c r="D186" s="12" t="str">
        <x:v>BYD Hà Đông</x:v>
      </x:c>
      <x:c r="E186" s="12" t="str">
        <x:v>BYD</x:v>
      </x:c>
      <x:c r="F186" s="12" t="str">
        <x:v>Dolphin</x:v>
      </x:c>
      <x:c r="G186" s="12" t="n">
        <x:v>5</x:v>
      </x:c>
      <x:c r="H186" s="12" t="n">
        <x:v>634.7</x:v>
      </x:c>
      <x:c r="I186" s="12" t="n">
        <x:v>3.17</x:v>
      </x:c>
      <x:c r="J186" s="16" t="n">
        <x:v>0.05280774158252843</x:v>
      </x:c>
      <x:c r="K186" s="12" t="n">
        <x:v>2.95</x:v>
      </x:c>
      <x:c r="L186" s="12" t="n">
        <x:f>I186-K186</x:f>
        <x:v>0.21999999999999975</x:v>
      </x:c>
      <x:c r="M186" s="16" t="n">
        <x:f>IFERROR(L186/I186,0)</x:f>
        <x:v>0.06940063091482643</x:v>
      </x:c>
    </x:row>
    <x:row r="187">
      <x:c r="A187" s="12" t="str">
        <x:v>SALE-00186</x:v>
      </x:c>
      <x:c r="B187" s="14" t="n">
        <x:v>46143</x:v>
      </x:c>
      <x:c r="C187" s="12" t="str">
        <x:v>DLR-007</x:v>
      </x:c>
      <x:c r="D187" s="12" t="str">
        <x:v>BYD Hà Đông</x:v>
      </x:c>
      <x:c r="E187" s="12" t="str">
        <x:v>BYD</x:v>
      </x:c>
      <x:c r="F187" s="12" t="str">
        <x:v>Atto 3</x:v>
      </x:c>
      <x:c r="G187" s="12" t="n">
        <x:v>5</x:v>
      </x:c>
      <x:c r="H187" s="12" t="n">
        <x:v>747.9</x:v>
      </x:c>
      <x:c r="I187" s="12" t="n">
        <x:v>3.74</x:v>
      </x:c>
      <x:c r="J187" s="16" t="n">
        <x:v>0.027580686286806717</x:v>
      </x:c>
      <x:c r="K187" s="12" t="n">
        <x:v>3.36</x:v>
      </x:c>
      <x:c r="L187" s="12" t="n">
        <x:f>I187-K187</x:f>
        <x:v>0.38000000000000034</x:v>
      </x:c>
      <x:c r="M187" s="16" t="n">
        <x:f>IFERROR(L187/I187,0)</x:f>
        <x:v>0.1016042780748664</x:v>
      </x:c>
    </x:row>
    <x:row r="188">
      <x:c r="A188" s="12" t="str">
        <x:v>SALE-00187</x:v>
      </x:c>
      <x:c r="B188" s="14" t="n">
        <x:v>46143</x:v>
      </x:c>
      <x:c r="C188" s="12" t="str">
        <x:v>DLR-007</x:v>
      </x:c>
      <x:c r="D188" s="12" t="str">
        <x:v>BYD Hà Đông</x:v>
      </x:c>
      <x:c r="E188" s="12" t="str">
        <x:v>BYD</x:v>
      </x:c>
      <x:c r="F188" s="12" t="str">
        <x:v>Seal</x:v>
      </x:c>
      <x:c r="G188" s="12" t="n">
        <x:v>6</x:v>
      </x:c>
      <x:c r="H188" s="12" t="n">
        <x:v>1088</x:v>
      </x:c>
      <x:c r="I188" s="12" t="n">
        <x:v>6.53</x:v>
      </x:c>
      <x:c r="J188" s="16" t="n">
        <x:v>0.035583850093164206</x:v>
      </x:c>
      <x:c r="K188" s="12" t="n">
        <x:v>6.13</x:v>
      </x:c>
      <x:c r="L188" s="12" t="n">
        <x:f>I188-K188</x:f>
        <x:v>0.40000000000000036</x:v>
      </x:c>
      <x:c r="M188" s="16" t="n">
        <x:f>IFERROR(L188/I188,0)</x:f>
        <x:v>0.0612557427258806</x:v>
      </x:c>
    </x:row>
    <x:row r="189">
      <x:c r="A189" s="12" t="str">
        <x:v>SALE-00188</x:v>
      </x:c>
      <x:c r="B189" s="14" t="n">
        <x:v>46143</x:v>
      </x:c>
      <x:c r="C189" s="12" t="str">
        <x:v>DLR-007</x:v>
      </x:c>
      <x:c r="D189" s="12" t="str">
        <x:v>BYD Hà Đông</x:v>
      </x:c>
      <x:c r="E189" s="12" t="str">
        <x:v>BYD</x:v>
      </x:c>
      <x:c r="F189" s="12" t="str">
        <x:v>M6</x:v>
      </x:c>
      <x:c r="G189" s="12" t="n">
        <x:v>5</x:v>
      </x:c>
      <x:c r="H189" s="12" t="n">
        <x:v>743.5</x:v>
      </x:c>
      <x:c r="I189" s="12" t="n">
        <x:v>3.72</x:v>
      </x:c>
      <x:c r="J189" s="16" t="n">
        <x:v>0.031529902831972864</x:v>
      </x:c>
      <x:c r="K189" s="12" t="n">
        <x:v>3.31</x:v>
      </x:c>
      <x:c r="L189" s="12" t="n">
        <x:f>I189-K189</x:f>
        <x:v>0.41000000000000014</x:v>
      </x:c>
      <x:c r="M189" s="16" t="n">
        <x:f>IFERROR(L189/I189,0)</x:f>
        <x:v>0.11021505376344089</x:v>
      </x:c>
    </x:row>
    <x:row r="190">
      <x:c r="A190" s="12" t="str">
        <x:v>SALE-00189</x:v>
      </x:c>
      <x:c r="B190" s="14" t="n">
        <x:v>46174</x:v>
      </x:c>
      <x:c r="C190" s="12" t="str">
        <x:v>DLR-007</x:v>
      </x:c>
      <x:c r="D190" s="12" t="str">
        <x:v>BYD Hà Đông</x:v>
      </x:c>
      <x:c r="E190" s="12" t="str">
        <x:v>BYD</x:v>
      </x:c>
      <x:c r="F190" s="12" t="str">
        <x:v>Dolphin</x:v>
      </x:c>
      <x:c r="G190" s="12" t="n">
        <x:v>4</x:v>
      </x:c>
      <x:c r="H190" s="12" t="n">
        <x:v>659.3</x:v>
      </x:c>
      <x:c r="I190" s="12" t="n">
        <x:v>2.64</x:v>
      </x:c>
      <x:c r="J190" s="16" t="n">
        <x:v>0.040016349685800354</x:v>
      </x:c>
      <x:c r="K190" s="12" t="n">
        <x:v>2.44</x:v>
      </x:c>
      <x:c r="L190" s="12" t="n">
        <x:f>I190-K190</x:f>
        <x:v>0.20000000000000018</x:v>
      </x:c>
      <x:c r="M190" s="16" t="n">
        <x:f>IFERROR(L190/I190,0)</x:f>
        <x:v>0.07575757575757582</x:v>
      </x:c>
    </x:row>
    <x:row r="191">
      <x:c r="A191" s="12" t="str">
        <x:v>SALE-00190</x:v>
      </x:c>
      <x:c r="B191" s="14" t="n">
        <x:v>46174</x:v>
      </x:c>
      <x:c r="C191" s="12" t="str">
        <x:v>DLR-007</x:v>
      </x:c>
      <x:c r="D191" s="12" t="str">
        <x:v>BYD Hà Đông</x:v>
      </x:c>
      <x:c r="E191" s="12" t="str">
        <x:v>BYD</x:v>
      </x:c>
      <x:c r="F191" s="12" t="str">
        <x:v>Atto 3</x:v>
      </x:c>
      <x:c r="G191" s="12" t="n">
        <x:v>4</x:v>
      </x:c>
      <x:c r="H191" s="12" t="n">
        <x:v>753.7</x:v>
      </x:c>
      <x:c r="I191" s="12" t="n">
        <x:v>3.01</x:v>
      </x:c>
      <x:c r="J191" s="16" t="n">
        <x:v>0.05210691043377791</x:v>
      </x:c>
      <x:c r="K191" s="12" t="n">
        <x:v>2.73</x:v>
      </x:c>
      <x:c r="L191" s="12" t="n">
        <x:f>I191-K191</x:f>
        <x:v>0.2799999999999998</x:v>
      </x:c>
      <x:c r="M191" s="16" t="n">
        <x:f>IFERROR(L191/I191,0)</x:f>
        <x:v>0.09302325581395343</x:v>
      </x:c>
    </x:row>
    <x:row r="192">
      <x:c r="A192" s="12" t="str">
        <x:v>SALE-00191</x:v>
      </x:c>
      <x:c r="B192" s="14" t="n">
        <x:v>46174</x:v>
      </x:c>
      <x:c r="C192" s="12" t="str">
        <x:v>DLR-007</x:v>
      </x:c>
      <x:c r="D192" s="12" t="str">
        <x:v>BYD Hà Đông</x:v>
      </x:c>
      <x:c r="E192" s="12" t="str">
        <x:v>BYD</x:v>
      </x:c>
      <x:c r="F192" s="12" t="str">
        <x:v>Seal</x:v>
      </x:c>
      <x:c r="G192" s="12" t="n">
        <x:v>5</x:v>
      </x:c>
      <x:c r="H192" s="12" t="n">
        <x:v>1062.7</x:v>
      </x:c>
      <x:c r="I192" s="12" t="n">
        <x:v>5.31</x:v>
      </x:c>
      <x:c r="J192" s="16" t="n">
        <x:v>0.05392587263286778</x:v>
      </x:c>
      <x:c r="K192" s="12" t="n">
        <x:v>4.87</x:v>
      </x:c>
      <x:c r="L192" s="12" t="n">
        <x:f>I192-K192</x:f>
        <x:v>0.4399999999999995</x:v>
      </x:c>
      <x:c r="M192" s="16" t="n">
        <x:f>IFERROR(L192/I192,0)</x:f>
        <x:v>0.08286252354048955</x:v>
      </x:c>
    </x:row>
    <x:row r="193">
      <x:c r="A193" s="12" t="str">
        <x:v>SALE-00192</x:v>
      </x:c>
      <x:c r="B193" s="14" t="n">
        <x:v>46174</x:v>
      </x:c>
      <x:c r="C193" s="12" t="str">
        <x:v>DLR-007</x:v>
      </x:c>
      <x:c r="D193" s="12" t="str">
        <x:v>BYD Hà Đông</x:v>
      </x:c>
      <x:c r="E193" s="12" t="str">
        <x:v>BYD</x:v>
      </x:c>
      <x:c r="F193" s="12" t="str">
        <x:v>M6</x:v>
      </x:c>
      <x:c r="G193" s="12" t="n">
        <x:v>4</x:v>
      </x:c>
      <x:c r="H193" s="12" t="n">
        <x:v>720.2</x:v>
      </x:c>
      <x:c r="I193" s="12" t="n">
        <x:v>2.88</x:v>
      </x:c>
      <x:c r="J193" s="16" t="n">
        <x:v>0.0370335602801068</x:v>
      </x:c>
      <x:c r="K193" s="12" t="n">
        <x:v>2.63</x:v>
      </x:c>
      <x:c r="L193" s="12" t="n">
        <x:f>I193-K193</x:f>
        <x:v>0.25</x:v>
      </x:c>
      <x:c r="M193" s="16" t="n">
        <x:f>IFERROR(L193/I193,0)</x:f>
        <x:v>0.08680555555555555</x:v>
      </x:c>
    </x:row>
    <x:row r="194">
      <x:c r="A194" s="12" t="str">
        <x:v>SALE-00193</x:v>
      </x:c>
      <x:c r="B194" s="14" t="n">
        <x:v>46204</x:v>
      </x:c>
      <x:c r="C194" s="12" t="str">
        <x:v>DLR-007</x:v>
      </x:c>
      <x:c r="D194" s="12" t="str">
        <x:v>BYD Hà Đông</x:v>
      </x:c>
      <x:c r="E194" s="12" t="str">
        <x:v>BYD</x:v>
      </x:c>
      <x:c r="F194" s="12" t="str">
        <x:v>Dolphin</x:v>
      </x:c>
      <x:c r="G194" s="12" t="n">
        <x:v>3</x:v>
      </x:c>
      <x:c r="H194" s="12" t="n">
        <x:v>671.8</x:v>
      </x:c>
      <x:c r="I194" s="12" t="n">
        <x:v>2.02</x:v>
      </x:c>
      <x:c r="J194" s="16" t="n">
        <x:v>0.05151719513936672</x:v>
      </x:c>
      <x:c r="K194" s="12" t="n">
        <x:v>1.83</x:v>
      </x:c>
      <x:c r="L194" s="12" t="n">
        <x:f>I194-K194</x:f>
        <x:v>0.18999999999999995</x:v>
      </x:c>
      <x:c r="M194" s="16" t="n">
        <x:f>IFERROR(L194/I194,0)</x:f>
        <x:v>0.09405940594059403</x:v>
      </x:c>
    </x:row>
    <x:row r="195">
      <x:c r="A195" s="12" t="str">
        <x:v>SALE-00194</x:v>
      </x:c>
      <x:c r="B195" s="14" t="n">
        <x:v>46204</x:v>
      </x:c>
      <x:c r="C195" s="12" t="str">
        <x:v>DLR-007</x:v>
      </x:c>
      <x:c r="D195" s="12" t="str">
        <x:v>BYD Hà Đông</x:v>
      </x:c>
      <x:c r="E195" s="12" t="str">
        <x:v>BYD</x:v>
      </x:c>
      <x:c r="F195" s="12" t="str">
        <x:v>Atto 3</x:v>
      </x:c>
      <x:c r="G195" s="12" t="n">
        <x:v>3</x:v>
      </x:c>
      <x:c r="H195" s="12" t="n">
        <x:v>771</x:v>
      </x:c>
      <x:c r="I195" s="12" t="n">
        <x:v>2.31</x:v>
      </x:c>
      <x:c r="J195" s="16" t="n">
        <x:v>0.03493502018828781</x:v>
      </x:c>
      <x:c r="K195" s="12" t="n">
        <x:v>2.13</x:v>
      </x:c>
      <x:c r="L195" s="12" t="n">
        <x:f>I195-K195</x:f>
        <x:v>0.18000000000000016</x:v>
      </x:c>
      <x:c r="M195" s="16" t="n">
        <x:f>IFERROR(L195/I195,0)</x:f>
        <x:v>0.07792207792207799</x:v>
      </x:c>
    </x:row>
    <x:row r="196">
      <x:c r="A196" s="12" t="str">
        <x:v>SALE-00195</x:v>
      </x:c>
      <x:c r="B196" s="14" t="n">
        <x:v>46204</x:v>
      </x:c>
      <x:c r="C196" s="12" t="str">
        <x:v>DLR-007</x:v>
      </x:c>
      <x:c r="D196" s="12" t="str">
        <x:v>BYD Hà Đông</x:v>
      </x:c>
      <x:c r="E196" s="12" t="str">
        <x:v>BYD</x:v>
      </x:c>
      <x:c r="F196" s="12" t="str">
        <x:v>Seal</x:v>
      </x:c>
      <x:c r="G196" s="12" t="n">
        <x:v>5</x:v>
      </x:c>
      <x:c r="H196" s="12" t="n">
        <x:v>1076.3</x:v>
      </x:c>
      <x:c r="I196" s="12" t="n">
        <x:v>5.38</x:v>
      </x:c>
      <x:c r="J196" s="16" t="n">
        <x:v>0.04838895782306778</x:v>
      </x:c>
      <x:c r="K196" s="12" t="n">
        <x:v>5.05</x:v>
      </x:c>
      <x:c r="L196" s="12" t="n">
        <x:f>I196-K196</x:f>
        <x:v>0.33000000000000007</x:v>
      </x:c>
      <x:c r="M196" s="16" t="n">
        <x:f>IFERROR(L196/I196,0)</x:f>
        <x:v>0.061338289962825296</x:v>
      </x:c>
    </x:row>
    <x:row r="197">
      <x:c r="A197" s="12" t="str">
        <x:v>SALE-00196</x:v>
      </x:c>
      <x:c r="B197" s="14" t="n">
        <x:v>46204</x:v>
      </x:c>
      <x:c r="C197" s="12" t="str">
        <x:v>DLR-007</x:v>
      </x:c>
      <x:c r="D197" s="12" t="str">
        <x:v>BYD Hà Đông</x:v>
      </x:c>
      <x:c r="E197" s="12" t="str">
        <x:v>BYD</x:v>
      </x:c>
      <x:c r="F197" s="12" t="str">
        <x:v>M6</x:v>
      </x:c>
      <x:c r="G197" s="12" t="n">
        <x:v>4</x:v>
      </x:c>
      <x:c r="H197" s="12" t="n">
        <x:v>744</x:v>
      </x:c>
      <x:c r="I197" s="12" t="n">
        <x:v>2.98</x:v>
      </x:c>
      <x:c r="J197" s="16" t="n">
        <x:v>0.030343440529885995</x:v>
      </x:c>
      <x:c r="K197" s="12" t="n">
        <x:v>2.78</x:v>
      </x:c>
      <x:c r="L197" s="12" t="n">
        <x:f>I197-K197</x:f>
        <x:v>0.20000000000000018</x:v>
      </x:c>
      <x:c r="M197" s="16" t="n">
        <x:f>IFERROR(L197/I197,0)</x:f>
        <x:v>0.0671140939597316</x:v>
      </x:c>
    </x:row>
    <x:row r="198">
      <x:c r="A198" s="12" t="str">
        <x:v>SALE-00197</x:v>
      </x:c>
      <x:c r="B198" s="14" t="n">
        <x:v>46023</x:v>
      </x:c>
      <x:c r="C198" s="12" t="str">
        <x:v>DLR-008</x:v>
      </x:c>
      <x:c r="D198" s="12" t="str">
        <x:v>VinFast HTA Nguyễn Văn Linh</x:v>
      </x:c>
      <x:c r="E198" s="12" t="str">
        <x:v>VinFast</x:v>
      </x:c>
      <x:c r="F198" s="12" t="str">
        <x:v>VF 3</x:v>
      </x:c>
      <x:c r="G198" s="12" t="n">
        <x:v>9</x:v>
      </x:c>
      <x:c r="H198" s="12" t="n">
        <x:v>317.9</x:v>
      </x:c>
      <x:c r="I198" s="12" t="n">
        <x:v>2.86</x:v>
      </x:c>
      <x:c r="J198" s="16" t="n">
        <x:v>0.026049896112881638</x:v>
      </x:c>
      <x:c r="K198" s="12" t="n">
        <x:v>2.65</x:v>
      </x:c>
      <x:c r="L198" s="12" t="n">
        <x:f>I198-K198</x:f>
        <x:v>0.20999999999999996</x:v>
      </x:c>
      <x:c r="M198" s="16" t="n">
        <x:f>IFERROR(L198/I198,0)</x:f>
        <x:v>0.07342657342657341</x:v>
      </x:c>
    </x:row>
    <x:row r="199">
      <x:c r="A199" s="12" t="str">
        <x:v>SALE-00198</x:v>
      </x:c>
      <x:c r="B199" s="14" t="n">
        <x:v>46023</x:v>
      </x:c>
      <x:c r="C199" s="12" t="str">
        <x:v>DLR-008</x:v>
      </x:c>
      <x:c r="D199" s="12" t="str">
        <x:v>VinFast HTA Nguyễn Văn Linh</x:v>
      </x:c>
      <x:c r="E199" s="12" t="str">
        <x:v>VinFast</x:v>
      </x:c>
      <x:c r="F199" s="12" t="str">
        <x:v>VF 5</x:v>
      </x:c>
      <x:c r="G199" s="12" t="n">
        <x:v>6</x:v>
      </x:c>
      <x:c r="H199" s="12" t="n">
        <x:v>536.8</x:v>
      </x:c>
      <x:c r="I199" s="12" t="n">
        <x:v>3.22</x:v>
      </x:c>
      <x:c r="J199" s="16" t="n">
        <x:v>0.03530950703238626</x:v>
      </x:c>
      <x:c r="K199" s="12" t="n">
        <x:v>2.99</x:v>
      </x:c>
      <x:c r="L199" s="12" t="n">
        <x:f>I199-K199</x:f>
        <x:v>0.22999999999999998</x:v>
      </x:c>
      <x:c r="M199" s="16" t="n">
        <x:f>IFERROR(L199/I199,0)</x:f>
        <x:v>0.07142857142857142</x:v>
      </x:c>
    </x:row>
    <x:row r="200">
      <x:c r="A200" s="12" t="str">
        <x:v>SALE-00199</x:v>
      </x:c>
      <x:c r="B200" s="14" t="n">
        <x:v>46023</x:v>
      </x:c>
      <x:c r="C200" s="12" t="str">
        <x:v>DLR-008</x:v>
      </x:c>
      <x:c r="D200" s="12" t="str">
        <x:v>VinFast HTA Nguyễn Văn Linh</x:v>
      </x:c>
      <x:c r="E200" s="12" t="str">
        <x:v>VinFast</x:v>
      </x:c>
      <x:c r="F200" s="12" t="str">
        <x:v>VF 6</x:v>
      </x:c>
      <x:c r="G200" s="12" t="n">
        <x:v>6</x:v>
      </x:c>
      <x:c r="H200" s="12" t="n">
        <x:v>664.1</x:v>
      </x:c>
      <x:c r="I200" s="12" t="n">
        <x:v>3.98</x:v>
      </x:c>
      <x:c r="J200" s="16" t="n">
        <x:v>0.03847750889656644</x:v>
      </x:c>
      <x:c r="K200" s="12" t="n">
        <x:v>3.75</x:v>
      </x:c>
      <x:c r="L200" s="12" t="n">
        <x:f>I200-K200</x:f>
        <x:v>0.22999999999999998</x:v>
      </x:c>
      <x:c r="M200" s="16" t="n">
        <x:f>IFERROR(L200/I200,0)</x:f>
        <x:v>0.057788944723618084</x:v>
      </x:c>
    </x:row>
    <x:row r="201">
      <x:c r="A201" s="12" t="str">
        <x:v>SALE-00200</x:v>
      </x:c>
      <x:c r="B201" s="14" t="n">
        <x:v>46023</x:v>
      </x:c>
      <x:c r="C201" s="12" t="str">
        <x:v>DLR-008</x:v>
      </x:c>
      <x:c r="D201" s="12" t="str">
        <x:v>VinFast HTA Nguyễn Văn Linh</x:v>
      </x:c>
      <x:c r="E201" s="12" t="str">
        <x:v>VinFast</x:v>
      </x:c>
      <x:c r="F201" s="12" t="str">
        <x:v>VF 7</x:v>
      </x:c>
      <x:c r="G201" s="12" t="n">
        <x:v>7</x:v>
      </x:c>
      <x:c r="H201" s="12" t="n">
        <x:v>809.1</x:v>
      </x:c>
      <x:c r="I201" s="12" t="n">
        <x:v>5.66</x:v>
      </x:c>
      <x:c r="J201" s="16" t="n">
        <x:v>0.03654322310815494</x:v>
      </x:c>
      <x:c r="K201" s="12" t="n">
        <x:v>5.1</x:v>
      </x:c>
      <x:c r="L201" s="12" t="n">
        <x:f>I201-K201</x:f>
        <x:v>0.5600000000000005</x:v>
      </x:c>
      <x:c r="M201" s="16" t="n">
        <x:f>IFERROR(L201/I201,0)</x:f>
        <x:v>0.09893992932862199</x:v>
      </x:c>
    </x:row>
    <x:row r="202">
      <x:c r="A202" s="12" t="str">
        <x:v>SALE-00201</x:v>
      </x:c>
      <x:c r="B202" s="14" t="n">
        <x:v>46023</x:v>
      </x:c>
      <x:c r="C202" s="12" t="str">
        <x:v>DLR-008</x:v>
      </x:c>
      <x:c r="D202" s="12" t="str">
        <x:v>VinFast HTA Nguyễn Văn Linh</x:v>
      </x:c>
      <x:c r="E202" s="12" t="str">
        <x:v>VinFast</x:v>
      </x:c>
      <x:c r="F202" s="12" t="str">
        <x:v>VF 8</x:v>
      </x:c>
      <x:c r="G202" s="12" t="n">
        <x:v>7</x:v>
      </x:c>
      <x:c r="H202" s="12" t="n">
        <x:v>1002.2</x:v>
      </x:c>
      <x:c r="I202" s="12" t="n">
        <x:v>7.02</x:v>
      </x:c>
      <x:c r="J202" s="16" t="n">
        <x:v>0.033213784674660046</x:v>
      </x:c>
      <x:c r="K202" s="12" t="n">
        <x:v>6.31</x:v>
      </x:c>
      <x:c r="L202" s="12" t="n">
        <x:f>I202-K202</x:f>
        <x:v>0.71</x:v>
      </x:c>
      <x:c r="M202" s="16" t="n">
        <x:f>IFERROR(L202/I202,0)</x:f>
        <x:v>0.10113960113960115</x:v>
      </x:c>
    </x:row>
    <x:row r="203">
      <x:c r="A203" s="12" t="str">
        <x:v>SALE-00202</x:v>
      </x:c>
      <x:c r="B203" s="14" t="n">
        <x:v>46023</x:v>
      </x:c>
      <x:c r="C203" s="12" t="str">
        <x:v>DLR-008</x:v>
      </x:c>
      <x:c r="D203" s="12" t="str">
        <x:v>VinFast HTA Nguyễn Văn Linh</x:v>
      </x:c>
      <x:c r="E203" s="12" t="str">
        <x:v>VinFast</x:v>
      </x:c>
      <x:c r="F203" s="12" t="str">
        <x:v>VF 9</x:v>
      </x:c>
      <x:c r="G203" s="12" t="n">
        <x:v>5</x:v>
      </x:c>
      <x:c r="H203" s="12" t="n">
        <x:v>1492.7</x:v>
      </x:c>
      <x:c r="I203" s="12" t="n">
        <x:v>7.46</x:v>
      </x:c>
      <x:c r="J203" s="16" t="n">
        <x:v>0.037871905679396044</x:v>
      </x:c>
      <x:c r="K203" s="12" t="n">
        <x:v>6.67</x:v>
      </x:c>
      <x:c r="L203" s="12" t="n">
        <x:f>I203-K203</x:f>
        <x:v>0.79</x:v>
      </x:c>
      <x:c r="M203" s="16" t="n">
        <x:f>IFERROR(L203/I203,0)</x:f>
        <x:v>0.10589812332439678</x:v>
      </x:c>
    </x:row>
    <x:row r="204">
      <x:c r="A204" s="12" t="str">
        <x:v>SALE-00203</x:v>
      </x:c>
      <x:c r="B204" s="14" t="n">
        <x:v>46054</x:v>
      </x:c>
      <x:c r="C204" s="12" t="str">
        <x:v>DLR-008</x:v>
      </x:c>
      <x:c r="D204" s="12" t="str">
        <x:v>VinFast HTA Nguyễn Văn Linh</x:v>
      </x:c>
      <x:c r="E204" s="12" t="str">
        <x:v>VinFast</x:v>
      </x:c>
      <x:c r="F204" s="12" t="str">
        <x:v>VF 3</x:v>
      </x:c>
      <x:c r="G204" s="12" t="n">
        <x:v>8</x:v>
      </x:c>
      <x:c r="H204" s="12" t="n">
        <x:v>297.2</x:v>
      </x:c>
      <x:c r="I204" s="12" t="n">
        <x:v>2.38</x:v>
      </x:c>
      <x:c r="J204" s="16" t="n">
        <x:v>0.04478820606260783</x:v>
      </x:c>
      <x:c r="K204" s="12" t="n">
        <x:v>2.19</x:v>
      </x:c>
      <x:c r="L204" s="12" t="n">
        <x:f>I204-K204</x:f>
        <x:v>0.18999999999999995</x:v>
      </x:c>
      <x:c r="M204" s="16" t="n">
        <x:f>IFERROR(L204/I204,0)</x:f>
        <x:v>0.07983193277310922</x:v>
      </x:c>
    </x:row>
    <x:row r="205">
      <x:c r="A205" s="12" t="str">
        <x:v>SALE-00204</x:v>
      </x:c>
      <x:c r="B205" s="14" t="n">
        <x:v>46054</x:v>
      </x:c>
      <x:c r="C205" s="12" t="str">
        <x:v>DLR-008</x:v>
      </x:c>
      <x:c r="D205" s="12" t="str">
        <x:v>VinFast HTA Nguyễn Văn Linh</x:v>
      </x:c>
      <x:c r="E205" s="12" t="str">
        <x:v>VinFast</x:v>
      </x:c>
      <x:c r="F205" s="12" t="str">
        <x:v>VF 5</x:v>
      </x:c>
      <x:c r="G205" s="12" t="n">
        <x:v>9</x:v>
      </x:c>
      <x:c r="H205" s="12" t="n">
        <x:v>513.6</x:v>
      </x:c>
      <x:c r="I205" s="12" t="n">
        <x:v>4.62</x:v>
      </x:c>
      <x:c r="J205" s="16" t="n">
        <x:v>0.041547553179381386</x:v>
      </x:c>
      <x:c r="K205" s="12" t="n">
        <x:v>4.3</x:v>
      </x:c>
      <x:c r="L205" s="12" t="n">
        <x:f>I205-K205</x:f>
        <x:v>0.3200000000000003</x:v>
      </x:c>
      <x:c r="M205" s="16" t="n">
        <x:f>IFERROR(L205/I205,0)</x:f>
        <x:v>0.06926406926406932</x:v>
      </x:c>
    </x:row>
    <x:row r="206">
      <x:c r="A206" s="12" t="str">
        <x:v>SALE-00205</x:v>
      </x:c>
      <x:c r="B206" s="14" t="n">
        <x:v>46054</x:v>
      </x:c>
      <x:c r="C206" s="12" t="str">
        <x:v>DLR-008</x:v>
      </x:c>
      <x:c r="D206" s="12" t="str">
        <x:v>VinFast HTA Nguyễn Văn Linh</x:v>
      </x:c>
      <x:c r="E206" s="12" t="str">
        <x:v>VinFast</x:v>
      </x:c>
      <x:c r="F206" s="12" t="str">
        <x:v>VF 6</x:v>
      </x:c>
      <x:c r="G206" s="12" t="n">
        <x:v>10</x:v>
      </x:c>
      <x:c r="H206" s="12" t="n">
        <x:v>675</x:v>
      </x:c>
      <x:c r="I206" s="12" t="n">
        <x:v>6.75</x:v>
      </x:c>
      <x:c r="J206" s="16" t="n">
        <x:v>0.016480784453823047</x:v>
      </x:c>
      <x:c r="K206" s="12" t="n">
        <x:v>6.14</x:v>
      </x:c>
      <x:c r="L206" s="12" t="n">
        <x:f>I206-K206</x:f>
        <x:v>0.6100000000000003</x:v>
      </x:c>
      <x:c r="M206" s="16" t="n">
        <x:f>IFERROR(L206/I206,0)</x:f>
        <x:v>0.09037037037037042</x:v>
      </x:c>
    </x:row>
    <x:row r="207">
      <x:c r="A207" s="12" t="str">
        <x:v>SALE-00206</x:v>
      </x:c>
      <x:c r="B207" s="14" t="n">
        <x:v>46054</x:v>
      </x:c>
      <x:c r="C207" s="12" t="str">
        <x:v>DLR-008</x:v>
      </x:c>
      <x:c r="D207" s="12" t="str">
        <x:v>VinFast HTA Nguyễn Văn Linh</x:v>
      </x:c>
      <x:c r="E207" s="12" t="str">
        <x:v>VinFast</x:v>
      </x:c>
      <x:c r="F207" s="12" t="str">
        <x:v>VF 7</x:v>
      </x:c>
      <x:c r="G207" s="12" t="n">
        <x:v>7</x:v>
      </x:c>
      <x:c r="H207" s="12" t="n">
        <x:v>858.1</x:v>
      </x:c>
      <x:c r="I207" s="12" t="n">
        <x:v>6.01</x:v>
      </x:c>
      <x:c r="J207" s="16" t="n">
        <x:v>0.049967614962172335</x:v>
      </x:c>
      <x:c r="K207" s="12" t="n">
        <x:v>5.44</x:v>
      </x:c>
      <x:c r="L207" s="12" t="n">
        <x:f>I207-K207</x:f>
        <x:v>0.5699999999999994</x:v>
      </x:c>
      <x:c r="M207" s="16" t="n">
        <x:f>IFERROR(L207/I207,0)</x:f>
        <x:v>0.09484193011647245</x:v>
      </x:c>
    </x:row>
    <x:row r="208">
      <x:c r="A208" s="12" t="str">
        <x:v>SALE-00207</x:v>
      </x:c>
      <x:c r="B208" s="14" t="n">
        <x:v>46054</x:v>
      </x:c>
      <x:c r="C208" s="12" t="str">
        <x:v>DLR-008</x:v>
      </x:c>
      <x:c r="D208" s="12" t="str">
        <x:v>VinFast HTA Nguyễn Văn Linh</x:v>
      </x:c>
      <x:c r="E208" s="12" t="str">
        <x:v>VinFast</x:v>
      </x:c>
      <x:c r="F208" s="12" t="str">
        <x:v>VF 8</x:v>
      </x:c>
      <x:c r="G208" s="12" t="n">
        <x:v>7</x:v>
      </x:c>
      <x:c r="H208" s="12" t="n">
        <x:v>995.1</x:v>
      </x:c>
      <x:c r="I208" s="12" t="n">
        <x:v>6.97</x:v>
      </x:c>
      <x:c r="J208" s="16" t="n">
        <x:v>0.043897753102825704</x:v>
      </x:c>
      <x:c r="K208" s="12" t="n">
        <x:v>6.3</x:v>
      </x:c>
      <x:c r="L208" s="12" t="n">
        <x:f>I208-K208</x:f>
        <x:v>0.6699999999999999</x:v>
      </x:c>
      <x:c r="M208" s="16" t="n">
        <x:f>IFERROR(L208/I208,0)</x:f>
        <x:v>0.09612625538020085</x:v>
      </x:c>
    </x:row>
    <x:row r="209">
      <x:c r="A209" s="12" t="str">
        <x:v>SALE-00208</x:v>
      </x:c>
      <x:c r="B209" s="14" t="n">
        <x:v>46054</x:v>
      </x:c>
      <x:c r="C209" s="12" t="str">
        <x:v>DLR-008</x:v>
      </x:c>
      <x:c r="D209" s="12" t="str">
        <x:v>VinFast HTA Nguyễn Văn Linh</x:v>
      </x:c>
      <x:c r="E209" s="12" t="str">
        <x:v>VinFast</x:v>
      </x:c>
      <x:c r="F209" s="12" t="str">
        <x:v>VF 9</x:v>
      </x:c>
      <x:c r="G209" s="12" t="n">
        <x:v>8</x:v>
      </x:c>
      <x:c r="H209" s="12" t="n">
        <x:v>1427.6</x:v>
      </x:c>
      <x:c r="I209" s="12" t="n">
        <x:v>11.42</x:v>
      </x:c>
      <x:c r="J209" s="16" t="n">
        <x:v>0.03377962403938928</x:v>
      </x:c>
      <x:c r="K209" s="12" t="n">
        <x:v>10.71</x:v>
      </x:c>
      <x:c r="L209" s="12" t="n">
        <x:f>I209-K209</x:f>
        <x:v>0.7099999999999991</x:v>
      </x:c>
      <x:c r="M209" s="16" t="n">
        <x:f>IFERROR(L209/I209,0)</x:f>
        <x:v>0.062171628721541077</x:v>
      </x:c>
    </x:row>
    <x:row r="210">
      <x:c r="A210" s="12" t="str">
        <x:v>SALE-00209</x:v>
      </x:c>
      <x:c r="B210" s="14" t="n">
        <x:v>46082</x:v>
      </x:c>
      <x:c r="C210" s="12" t="str">
        <x:v>DLR-008</x:v>
      </x:c>
      <x:c r="D210" s="12" t="str">
        <x:v>VinFast HTA Nguyễn Văn Linh</x:v>
      </x:c>
      <x:c r="E210" s="12" t="str">
        <x:v>VinFast</x:v>
      </x:c>
      <x:c r="F210" s="12" t="str">
        <x:v>VF 3</x:v>
      </x:c>
      <x:c r="G210" s="12" t="n">
        <x:v>6</x:v>
      </x:c>
      <x:c r="H210" s="12" t="n">
        <x:v>313.6</x:v>
      </x:c>
      <x:c r="I210" s="12" t="n">
        <x:v>1.88</x:v>
      </x:c>
      <x:c r="J210" s="16" t="n">
        <x:v>0.04099346610317091</x:v>
      </x:c>
      <x:c r="K210" s="12" t="n">
        <x:v>1.75</x:v>
      </x:c>
      <x:c r="L210" s="12" t="n">
        <x:f>I210-K210</x:f>
        <x:v>0.1299999999999999</x:v>
      </x:c>
      <x:c r="M210" s="16" t="n">
        <x:f>IFERROR(L210/I210,0)</x:f>
        <x:v>0.06914893617021271</x:v>
      </x:c>
    </x:row>
    <x:row r="211">
      <x:c r="A211" s="12" t="str">
        <x:v>SALE-00210</x:v>
      </x:c>
      <x:c r="B211" s="14" t="n">
        <x:v>46082</x:v>
      </x:c>
      <x:c r="C211" s="12" t="str">
        <x:v>DLR-008</x:v>
      </x:c>
      <x:c r="D211" s="12" t="str">
        <x:v>VinFast HTA Nguyễn Văn Linh</x:v>
      </x:c>
      <x:c r="E211" s="12" t="str">
        <x:v>VinFast</x:v>
      </x:c>
      <x:c r="F211" s="12" t="str">
        <x:v>VF 5</x:v>
      </x:c>
      <x:c r="G211" s="12" t="n">
        <x:v>9</x:v>
      </x:c>
      <x:c r="H211" s="12" t="n">
        <x:v>533.6</x:v>
      </x:c>
      <x:c r="I211" s="12" t="n">
        <x:v>4.8</x:v>
      </x:c>
      <x:c r="J211" s="16" t="n">
        <x:v>0.030200375900906202</x:v>
      </x:c>
      <x:c r="K211" s="12" t="n">
        <x:v>4.32</x:v>
      </x:c>
      <x:c r="L211" s="12" t="n">
        <x:f>I211-K211</x:f>
        <x:v>0.47999999999999954</x:v>
      </x:c>
      <x:c r="M211" s="16" t="n">
        <x:f>IFERROR(L211/I211,0)</x:f>
        <x:v>0.09999999999999991</x:v>
      </x:c>
    </x:row>
    <x:row r="212">
      <x:c r="A212" s="12" t="str">
        <x:v>SALE-00211</x:v>
      </x:c>
      <x:c r="B212" s="14" t="n">
        <x:v>46082</x:v>
      </x:c>
      <x:c r="C212" s="12" t="str">
        <x:v>DLR-008</x:v>
      </x:c>
      <x:c r="D212" s="12" t="str">
        <x:v>VinFast HTA Nguyễn Văn Linh</x:v>
      </x:c>
      <x:c r="E212" s="12" t="str">
        <x:v>VinFast</x:v>
      </x:c>
      <x:c r="F212" s="12" t="str">
        <x:v>VF 6</x:v>
      </x:c>
      <x:c r="G212" s="12" t="n">
        <x:v>8</x:v>
      </x:c>
      <x:c r="H212" s="12" t="n">
        <x:v>689.5</x:v>
      </x:c>
      <x:c r="I212" s="12" t="n">
        <x:v>5.52</x:v>
      </x:c>
      <x:c r="J212" s="16" t="n">
        <x:v>0.04989532069594145</x:v>
      </x:c>
      <x:c r="K212" s="12" t="n">
        <x:v>4.87</x:v>
      </x:c>
      <x:c r="L212" s="12" t="n">
        <x:f>I212-K212</x:f>
        <x:v>0.6499999999999995</x:v>
      </x:c>
      <x:c r="M212" s="16" t="n">
        <x:f>IFERROR(L212/I212,0)</x:f>
        <x:v>0.11775362318840571</x:v>
      </x:c>
    </x:row>
    <x:row r="213">
      <x:c r="A213" s="12" t="str">
        <x:v>SALE-00212</x:v>
      </x:c>
      <x:c r="B213" s="14" t="n">
        <x:v>46082</x:v>
      </x:c>
      <x:c r="C213" s="12" t="str">
        <x:v>DLR-008</x:v>
      </x:c>
      <x:c r="D213" s="12" t="str">
        <x:v>VinFast HTA Nguyễn Văn Linh</x:v>
      </x:c>
      <x:c r="E213" s="12" t="str">
        <x:v>VinFast</x:v>
      </x:c>
      <x:c r="F213" s="12" t="str">
        <x:v>VF 7</x:v>
      </x:c>
      <x:c r="G213" s="12" t="n">
        <x:v>5</x:v>
      </x:c>
      <x:c r="H213" s="12" t="n">
        <x:v>841.9</x:v>
      </x:c>
      <x:c r="I213" s="12" t="n">
        <x:v>4.21</x:v>
      </x:c>
      <x:c r="J213" s="16" t="n">
        <x:v>0.05183716395121187</x:v>
      </x:c>
      <x:c r="K213" s="12" t="n">
        <x:v>3.96</x:v>
      </x:c>
      <x:c r="L213" s="12" t="n">
        <x:f>I213-K213</x:f>
        <x:v>0.25</x:v>
      </x:c>
      <x:c r="M213" s="16" t="n">
        <x:f>IFERROR(L213/I213,0)</x:f>
        <x:v>0.05938242280285036</x:v>
      </x:c>
    </x:row>
    <x:row r="214">
      <x:c r="A214" s="12" t="str">
        <x:v>SALE-00213</x:v>
      </x:c>
      <x:c r="B214" s="14" t="n">
        <x:v>46082</x:v>
      </x:c>
      <x:c r="C214" s="12" t="str">
        <x:v>DLR-008</x:v>
      </x:c>
      <x:c r="D214" s="12" t="str">
        <x:v>VinFast HTA Nguyễn Văn Linh</x:v>
      </x:c>
      <x:c r="E214" s="12" t="str">
        <x:v>VinFast</x:v>
      </x:c>
      <x:c r="F214" s="12" t="str">
        <x:v>VF 8</x:v>
      </x:c>
      <x:c r="G214" s="12" t="n">
        <x:v>9</x:v>
      </x:c>
      <x:c r="H214" s="12" t="n">
        <x:v>993.2</x:v>
      </x:c>
      <x:c r="I214" s="12" t="n">
        <x:v>8.94</x:v>
      </x:c>
      <x:c r="J214" s="16" t="n">
        <x:v>0.01893772505532792</x:v>
      </x:c>
      <x:c r="K214" s="12" t="n">
        <x:v>8.21</x:v>
      </x:c>
      <x:c r="L214" s="12" t="n">
        <x:f>I214-K214</x:f>
        <x:v>0.7299999999999986</x:v>
      </x:c>
      <x:c r="M214" s="16" t="n">
        <x:f>IFERROR(L214/I214,0)</x:f>
        <x:v>0.0816554809843399</x:v>
      </x:c>
    </x:row>
    <x:row r="215">
      <x:c r="A215" s="12" t="str">
        <x:v>SALE-00214</x:v>
      </x:c>
      <x:c r="B215" s="14" t="n">
        <x:v>46082</x:v>
      </x:c>
      <x:c r="C215" s="12" t="str">
        <x:v>DLR-008</x:v>
      </x:c>
      <x:c r="D215" s="12" t="str">
        <x:v>VinFast HTA Nguyễn Văn Linh</x:v>
      </x:c>
      <x:c r="E215" s="12" t="str">
        <x:v>VinFast</x:v>
      </x:c>
      <x:c r="F215" s="12" t="str">
        <x:v>VF 9</x:v>
      </x:c>
      <x:c r="G215" s="12" t="n">
        <x:v>9</x:v>
      </x:c>
      <x:c r="H215" s="12" t="n">
        <x:v>1462.3</x:v>
      </x:c>
      <x:c r="I215" s="12" t="n">
        <x:v>13.16</x:v>
      </x:c>
      <x:c r="J215" s="16" t="n">
        <x:v>0.04276004651172938</x:v>
      </x:c>
      <x:c r="K215" s="12" t="n">
        <x:v>12.29</x:v>
      </x:c>
      <x:c r="L215" s="12" t="n">
        <x:f>I215-K215</x:f>
        <x:v>0.870000000000001</x:v>
      </x:c>
      <x:c r="M215" s="16" t="n">
        <x:f>IFERROR(L215/I215,0)</x:f>
        <x:v>0.06610942249240129</x:v>
      </x:c>
    </x:row>
    <x:row r="216">
      <x:c r="A216" s="12" t="str">
        <x:v>SALE-00215</x:v>
      </x:c>
      <x:c r="B216" s="14" t="n">
        <x:v>46113</x:v>
      </x:c>
      <x:c r="C216" s="12" t="str">
        <x:v>DLR-008</x:v>
      </x:c>
      <x:c r="D216" s="12" t="str">
        <x:v>VinFast HTA Nguyễn Văn Linh</x:v>
      </x:c>
      <x:c r="E216" s="12" t="str">
        <x:v>VinFast</x:v>
      </x:c>
      <x:c r="F216" s="12" t="str">
        <x:v>VF 3</x:v>
      </x:c>
      <x:c r="G216" s="12" t="n">
        <x:v>5</x:v>
      </x:c>
      <x:c r="H216" s="12" t="n">
        <x:v>316.2</x:v>
      </x:c>
      <x:c r="I216" s="12" t="n">
        <x:v>1.58</x:v>
      </x:c>
      <x:c r="J216" s="16" t="n">
        <x:v>0.026734711038608354</x:v>
      </x:c>
      <x:c r="K216" s="12" t="n">
        <x:v>1.43</x:v>
      </x:c>
      <x:c r="L216" s="12" t="n">
        <x:f>I216-K216</x:f>
        <x:v>0.15000000000000013</x:v>
      </x:c>
      <x:c r="M216" s="16" t="n">
        <x:f>IFERROR(L216/I216,0)</x:f>
        <x:v>0.09493670886075957</x:v>
      </x:c>
    </x:row>
    <x:row r="217">
      <x:c r="A217" s="12" t="str">
        <x:v>SALE-00216</x:v>
      </x:c>
      <x:c r="B217" s="14" t="n">
        <x:v>46113</x:v>
      </x:c>
      <x:c r="C217" s="12" t="str">
        <x:v>DLR-008</x:v>
      </x:c>
      <x:c r="D217" s="12" t="str">
        <x:v>VinFast HTA Nguyễn Văn Linh</x:v>
      </x:c>
      <x:c r="E217" s="12" t="str">
        <x:v>VinFast</x:v>
      </x:c>
      <x:c r="F217" s="12" t="str">
        <x:v>VF 5</x:v>
      </x:c>
      <x:c r="G217" s="12" t="n">
        <x:v>5</x:v>
      </x:c>
      <x:c r="H217" s="12" t="n">
        <x:v>519.7</x:v>
      </x:c>
      <x:c r="I217" s="12" t="n">
        <x:v>2.6</x:v>
      </x:c>
      <x:c r="J217" s="16" t="n">
        <x:v>0.037637122476637475</x:v>
      </x:c>
      <x:c r="K217" s="12" t="n">
        <x:v>2.41</x:v>
      </x:c>
      <x:c r="L217" s="12" t="n">
        <x:f>I217-K217</x:f>
        <x:v>0.18999999999999995</x:v>
      </x:c>
      <x:c r="M217" s="16" t="n">
        <x:f>IFERROR(L217/I217,0)</x:f>
        <x:v>0.07307692307692305</x:v>
      </x:c>
    </x:row>
    <x:row r="218">
      <x:c r="A218" s="12" t="str">
        <x:v>SALE-00217</x:v>
      </x:c>
      <x:c r="B218" s="14" t="n">
        <x:v>46113</x:v>
      </x:c>
      <x:c r="C218" s="12" t="str">
        <x:v>DLR-008</x:v>
      </x:c>
      <x:c r="D218" s="12" t="str">
        <x:v>VinFast HTA Nguyễn Văn Linh</x:v>
      </x:c>
      <x:c r="E218" s="12" t="str">
        <x:v>VinFast</x:v>
      </x:c>
      <x:c r="F218" s="12" t="str">
        <x:v>VF 6</x:v>
      </x:c>
      <x:c r="G218" s="12" t="n">
        <x:v>5</x:v>
      </x:c>
      <x:c r="H218" s="12" t="n">
        <x:v>652</x:v>
      </x:c>
      <x:c r="I218" s="12" t="n">
        <x:v>3.26</x:v>
      </x:c>
      <x:c r="J218" s="16" t="n">
        <x:v>0.049833583945794194</x:v>
      </x:c>
      <x:c r="K218" s="12" t="n">
        <x:v>2.99</x:v>
      </x:c>
      <x:c r="L218" s="12" t="n">
        <x:f>I218-K218</x:f>
        <x:v>0.2699999999999996</x:v>
      </x:c>
      <x:c r="M218" s="16" t="n">
        <x:f>IFERROR(L218/I218,0)</x:f>
        <x:v>0.08282208588957042</x:v>
      </x:c>
    </x:row>
    <x:row r="219">
      <x:c r="A219" s="12" t="str">
        <x:v>SALE-00218</x:v>
      </x:c>
      <x:c r="B219" s="14" t="n">
        <x:v>46113</x:v>
      </x:c>
      <x:c r="C219" s="12" t="str">
        <x:v>DLR-008</x:v>
      </x:c>
      <x:c r="D219" s="12" t="str">
        <x:v>VinFast HTA Nguyễn Văn Linh</x:v>
      </x:c>
      <x:c r="E219" s="12" t="str">
        <x:v>VinFast</x:v>
      </x:c>
      <x:c r="F219" s="12" t="str">
        <x:v>VF 7</x:v>
      </x:c>
      <x:c r="G219" s="12" t="n">
        <x:v>6</x:v>
      </x:c>
      <x:c r="H219" s="12" t="n">
        <x:v>861.1</x:v>
      </x:c>
      <x:c r="I219" s="12" t="n">
        <x:v>5.17</x:v>
      </x:c>
      <x:c r="J219" s="16" t="n">
        <x:v>0.020724708805140386</x:v>
      </x:c>
      <x:c r="K219" s="12" t="n">
        <x:v>4.69</x:v>
      </x:c>
      <x:c r="L219" s="12" t="n">
        <x:f>I219-K219</x:f>
        <x:v>0.47999999999999954</x:v>
      </x:c>
      <x:c r="M219" s="16" t="n">
        <x:f>IFERROR(L219/I219,0)</x:f>
        <x:v>0.09284332688587998</x:v>
      </x:c>
    </x:row>
    <x:row r="220">
      <x:c r="A220" s="12" t="str">
        <x:v>SALE-00219</x:v>
      </x:c>
      <x:c r="B220" s="14" t="n">
        <x:v>46113</x:v>
      </x:c>
      <x:c r="C220" s="12" t="str">
        <x:v>DLR-008</x:v>
      </x:c>
      <x:c r="D220" s="12" t="str">
        <x:v>VinFast HTA Nguyễn Văn Linh</x:v>
      </x:c>
      <x:c r="E220" s="12" t="str">
        <x:v>VinFast</x:v>
      </x:c>
      <x:c r="F220" s="12" t="str">
        <x:v>VF 8</x:v>
      </x:c>
      <x:c r="G220" s="12" t="n">
        <x:v>6</x:v>
      </x:c>
      <x:c r="H220" s="12" t="n">
        <x:v>978.7</x:v>
      </x:c>
      <x:c r="I220" s="12" t="n">
        <x:v>5.87</x:v>
      </x:c>
      <x:c r="J220" s="16" t="n">
        <x:v>0.015375897258194842</x:v>
      </x:c>
      <x:c r="K220" s="12" t="n">
        <x:v>5.45</x:v>
      </x:c>
      <x:c r="L220" s="12" t="n">
        <x:f>I220-K220</x:f>
        <x:v>0.41999999999999993</x:v>
      </x:c>
      <x:c r="M220" s="16" t="n">
        <x:f>IFERROR(L220/I220,0)</x:f>
        <x:v>0.0715502555366269</x:v>
      </x:c>
    </x:row>
    <x:row r="221">
      <x:c r="A221" s="12" t="str">
        <x:v>SALE-00220</x:v>
      </x:c>
      <x:c r="B221" s="14" t="n">
        <x:v>46113</x:v>
      </x:c>
      <x:c r="C221" s="12" t="str">
        <x:v>DLR-008</x:v>
      </x:c>
      <x:c r="D221" s="12" t="str">
        <x:v>VinFast HTA Nguyễn Văn Linh</x:v>
      </x:c>
      <x:c r="E221" s="12" t="str">
        <x:v>VinFast</x:v>
      </x:c>
      <x:c r="F221" s="12" t="str">
        <x:v>VF 9</x:v>
      </x:c>
      <x:c r="G221" s="12" t="n">
        <x:v>10</x:v>
      </x:c>
      <x:c r="H221" s="12" t="n">
        <x:v>1490.3</x:v>
      </x:c>
      <x:c r="I221" s="12" t="n">
        <x:v>14.9</x:v>
      </x:c>
      <x:c r="J221" s="16" t="n">
        <x:v>0.021319024882871476</x:v>
      </x:c>
      <x:c r="K221" s="12" t="n">
        <x:v>13.51</x:v>
      </x:c>
      <x:c r="L221" s="12" t="n">
        <x:f>I221-K221</x:f>
        <x:v>1.3900000000000006</x:v>
      </x:c>
      <x:c r="M221" s="16" t="n">
        <x:f>IFERROR(L221/I221,0)</x:f>
        <x:v>0.09328859060402687</x:v>
      </x:c>
    </x:row>
    <x:row r="222">
      <x:c r="A222" s="12" t="str">
        <x:v>SALE-00221</x:v>
      </x:c>
      <x:c r="B222" s="14" t="n">
        <x:v>46143</x:v>
      </x:c>
      <x:c r="C222" s="12" t="str">
        <x:v>DLR-008</x:v>
      </x:c>
      <x:c r="D222" s="12" t="str">
        <x:v>VinFast HTA Nguyễn Văn Linh</x:v>
      </x:c>
      <x:c r="E222" s="12" t="str">
        <x:v>VinFast</x:v>
      </x:c>
      <x:c r="F222" s="12" t="str">
        <x:v>VF 3</x:v>
      </x:c>
      <x:c r="G222" s="12" t="n">
        <x:v>7</x:v>
      </x:c>
      <x:c r="H222" s="12" t="n">
        <x:v>310.9</x:v>
      </x:c>
      <x:c r="I222" s="12" t="n">
        <x:v>2.18</x:v>
      </x:c>
      <x:c r="J222" s="16" t="n">
        <x:v>0.040557548094400486</x:v>
      </x:c>
      <x:c r="K222" s="12" t="n">
        <x:v>1.97</x:v>
      </x:c>
      <x:c r="L222" s="12" t="n">
        <x:f>I222-K222</x:f>
        <x:v>0.2100000000000002</x:v>
      </x:c>
      <x:c r="M222" s="16" t="n">
        <x:f>IFERROR(L222/I222,0)</x:f>
        <x:v>0.09633027522935787</x:v>
      </x:c>
    </x:row>
    <x:row r="223">
      <x:c r="A223" s="12" t="str">
        <x:v>SALE-00222</x:v>
      </x:c>
      <x:c r="B223" s="14" t="n">
        <x:v>46143</x:v>
      </x:c>
      <x:c r="C223" s="12" t="str">
        <x:v>DLR-008</x:v>
      </x:c>
      <x:c r="D223" s="12" t="str">
        <x:v>VinFast HTA Nguyễn Văn Linh</x:v>
      </x:c>
      <x:c r="E223" s="12" t="str">
        <x:v>VinFast</x:v>
      </x:c>
      <x:c r="F223" s="12" t="str">
        <x:v>VF 5</x:v>
      </x:c>
      <x:c r="G223" s="12" t="n">
        <x:v>6</x:v>
      </x:c>
      <x:c r="H223" s="12" t="n">
        <x:v>533</x:v>
      </x:c>
      <x:c r="I223" s="12" t="n">
        <x:v>3.2</x:v>
      </x:c>
      <x:c r="J223" s="16" t="n">
        <x:v>0.02296867996435569</x:v>
      </x:c>
      <x:c r="K223" s="12" t="n">
        <x:v>2.89</x:v>
      </x:c>
      <x:c r="L223" s="12" t="n">
        <x:f>I223-K223</x:f>
        <x:v>0.31000000000000005</x:v>
      </x:c>
      <x:c r="M223" s="16" t="n">
        <x:f>IFERROR(L223/I223,0)</x:f>
        <x:v>0.09687500000000002</x:v>
      </x:c>
    </x:row>
    <x:row r="224">
      <x:c r="A224" s="12" t="str">
        <x:v>SALE-00223</x:v>
      </x:c>
      <x:c r="B224" s="14" t="n">
        <x:v>46143</x:v>
      </x:c>
      <x:c r="C224" s="12" t="str">
        <x:v>DLR-008</x:v>
      </x:c>
      <x:c r="D224" s="12" t="str">
        <x:v>VinFast HTA Nguyễn Văn Linh</x:v>
      </x:c>
      <x:c r="E224" s="12" t="str">
        <x:v>VinFast</x:v>
      </x:c>
      <x:c r="F224" s="12" t="str">
        <x:v>VF 6</x:v>
      </x:c>
      <x:c r="G224" s="12" t="n">
        <x:v>8</x:v>
      </x:c>
      <x:c r="H224" s="12" t="n">
        <x:v>660.7</x:v>
      </x:c>
      <x:c r="I224" s="12" t="n">
        <x:v>5.29</x:v>
      </x:c>
      <x:c r="J224" s="16" t="n">
        <x:v>0.03787690769402956</x:v>
      </x:c>
      <x:c r="K224" s="12" t="n">
        <x:v>4.83</x:v>
      </x:c>
      <x:c r="L224" s="12" t="n">
        <x:f>I224-K224</x:f>
        <x:v>0.45999999999999996</x:v>
      </x:c>
      <x:c r="M224" s="16" t="n">
        <x:f>IFERROR(L224/I224,0)</x:f>
        <x:v>0.08695652173913043</x:v>
      </x:c>
    </x:row>
    <x:row r="225">
      <x:c r="A225" s="12" t="str">
        <x:v>SALE-00224</x:v>
      </x:c>
      <x:c r="B225" s="14" t="n">
        <x:v>46143</x:v>
      </x:c>
      <x:c r="C225" s="12" t="str">
        <x:v>DLR-008</x:v>
      </x:c>
      <x:c r="D225" s="12" t="str">
        <x:v>VinFast HTA Nguyễn Văn Linh</x:v>
      </x:c>
      <x:c r="E225" s="12" t="str">
        <x:v>VinFast</x:v>
      </x:c>
      <x:c r="F225" s="12" t="str">
        <x:v>VF 7</x:v>
      </x:c>
      <x:c r="G225" s="12" t="n">
        <x:v>11</x:v>
      </x:c>
      <x:c r="H225" s="12" t="n">
        <x:v>819.1</x:v>
      </x:c>
      <x:c r="I225" s="12" t="n">
        <x:v>9.01</x:v>
      </x:c>
      <x:c r="J225" s="16" t="n">
        <x:v>0.05411777938307451</x:v>
      </x:c>
      <x:c r="K225" s="12" t="n">
        <x:v>8.28</x:v>
      </x:c>
      <x:c r="L225" s="12" t="n">
        <x:f>I225-K225</x:f>
        <x:v>0.7300000000000004</x:v>
      </x:c>
      <x:c r="M225" s="16" t="n">
        <x:f>IFERROR(L225/I225,0)</x:f>
        <x:v>0.08102108768035521</x:v>
      </x:c>
    </x:row>
    <x:row r="226">
      <x:c r="A226" s="12" t="str">
        <x:v>SALE-00225</x:v>
      </x:c>
      <x:c r="B226" s="14" t="n">
        <x:v>46143</x:v>
      </x:c>
      <x:c r="C226" s="12" t="str">
        <x:v>DLR-008</x:v>
      </x:c>
      <x:c r="D226" s="12" t="str">
        <x:v>VinFast HTA Nguyễn Văn Linh</x:v>
      </x:c>
      <x:c r="E226" s="12" t="str">
        <x:v>VinFast</x:v>
      </x:c>
      <x:c r="F226" s="12" t="str">
        <x:v>VF 8</x:v>
      </x:c>
      <x:c r="G226" s="12" t="n">
        <x:v>6</x:v>
      </x:c>
      <x:c r="H226" s="12" t="n">
        <x:v>1004</x:v>
      </x:c>
      <x:c r="I226" s="12" t="n">
        <x:v>6.02</x:v>
      </x:c>
      <x:c r="J226" s="16" t="n">
        <x:v>0.04243197970936048</x:v>
      </x:c>
      <x:c r="K226" s="12" t="n">
        <x:v>5.57</x:v>
      </x:c>
      <x:c r="L226" s="12" t="n">
        <x:f>I226-K226</x:f>
        <x:v>0.4499999999999993</x:v>
      </x:c>
      <x:c r="M226" s="16" t="n">
        <x:f>IFERROR(L226/I226,0)</x:f>
        <x:v>0.07475083056478395</x:v>
      </x:c>
    </x:row>
    <x:row r="227">
      <x:c r="A227" s="12" t="str">
        <x:v>SALE-00226</x:v>
      </x:c>
      <x:c r="B227" s="14" t="n">
        <x:v>46143</x:v>
      </x:c>
      <x:c r="C227" s="12" t="str">
        <x:v>DLR-008</x:v>
      </x:c>
      <x:c r="D227" s="12" t="str">
        <x:v>VinFast HTA Nguyễn Văn Linh</x:v>
      </x:c>
      <x:c r="E227" s="12" t="str">
        <x:v>VinFast</x:v>
      </x:c>
      <x:c r="F227" s="12" t="str">
        <x:v>VF 9</x:v>
      </x:c>
      <x:c r="G227" s="12" t="n">
        <x:v>5</x:v>
      </x:c>
      <x:c r="H227" s="12" t="n">
        <x:v>1481.8</x:v>
      </x:c>
      <x:c r="I227" s="12" t="n">
        <x:v>7.41</x:v>
      </x:c>
      <x:c r="J227" s="16" t="n">
        <x:v>0.034869091460954814</x:v>
      </x:c>
      <x:c r="K227" s="12" t="n">
        <x:v>6.92</x:v>
      </x:c>
      <x:c r="L227" s="12" t="n">
        <x:f>I227-K227</x:f>
        <x:v>0.4900000000000002</x:v>
      </x:c>
      <x:c r="M227" s="16" t="n">
        <x:f>IFERROR(L227/I227,0)</x:f>
        <x:v>0.06612685560053984</x:v>
      </x:c>
    </x:row>
    <x:row r="228">
      <x:c r="A228" s="12" t="str">
        <x:v>SALE-00227</x:v>
      </x:c>
      <x:c r="B228" s="14" t="n">
        <x:v>46174</x:v>
      </x:c>
      <x:c r="C228" s="12" t="str">
        <x:v>DLR-008</x:v>
      </x:c>
      <x:c r="D228" s="12" t="str">
        <x:v>VinFast HTA Nguyễn Văn Linh</x:v>
      </x:c>
      <x:c r="E228" s="12" t="str">
        <x:v>VinFast</x:v>
      </x:c>
      <x:c r="F228" s="12" t="str">
        <x:v>VF 3</x:v>
      </x:c>
      <x:c r="G228" s="12" t="n">
        <x:v>7</x:v>
      </x:c>
      <x:c r="H228" s="12" t="n">
        <x:v>316.2</x:v>
      </x:c>
      <x:c r="I228" s="12" t="n">
        <x:v>2.21</x:v>
      </x:c>
      <x:c r="J228" s="16" t="n">
        <x:v>0.03928259992657064</x:v>
      </x:c>
      <x:c r="K228" s="12" t="n">
        <x:v>1.99</x:v>
      </x:c>
      <x:c r="L228" s="12" t="n">
        <x:f>I228-K228</x:f>
        <x:v>0.21999999999999997</x:v>
      </x:c>
      <x:c r="M228" s="16" t="n">
        <x:f>IFERROR(L228/I228,0)</x:f>
        <x:v>0.09954751131221719</x:v>
      </x:c>
    </x:row>
    <x:row r="229">
      <x:c r="A229" s="12" t="str">
        <x:v>SALE-00228</x:v>
      </x:c>
      <x:c r="B229" s="14" t="n">
        <x:v>46174</x:v>
      </x:c>
      <x:c r="C229" s="12" t="str">
        <x:v>DLR-008</x:v>
      </x:c>
      <x:c r="D229" s="12" t="str">
        <x:v>VinFast HTA Nguyễn Văn Linh</x:v>
      </x:c>
      <x:c r="E229" s="12" t="str">
        <x:v>VinFast</x:v>
      </x:c>
      <x:c r="F229" s="12" t="str">
        <x:v>VF 5</x:v>
      </x:c>
      <x:c r="G229" s="12" t="n">
        <x:v>9</x:v>
      </x:c>
      <x:c r="H229" s="12" t="n">
        <x:v>523.5</x:v>
      </x:c>
      <x:c r="I229" s="12" t="n">
        <x:v>4.71</x:v>
      </x:c>
      <x:c r="J229" s="16" t="n">
        <x:v>0.04211057834493438</x:v>
      </x:c>
      <x:c r="K229" s="12" t="n">
        <x:v>4.35</x:v>
      </x:c>
      <x:c r="L229" s="12" t="n">
        <x:f>I229-K229</x:f>
        <x:v>0.3600000000000003</x:v>
      </x:c>
      <x:c r="M229" s="16" t="n">
        <x:f>IFERROR(L229/I229,0)</x:f>
        <x:v>0.07643312101910835</x:v>
      </x:c>
    </x:row>
    <x:row r="230">
      <x:c r="A230" s="12" t="str">
        <x:v>SALE-00229</x:v>
      </x:c>
      <x:c r="B230" s="14" t="n">
        <x:v>46174</x:v>
      </x:c>
      <x:c r="C230" s="12" t="str">
        <x:v>DLR-008</x:v>
      </x:c>
      <x:c r="D230" s="12" t="str">
        <x:v>VinFast HTA Nguyễn Văn Linh</x:v>
      </x:c>
      <x:c r="E230" s="12" t="str">
        <x:v>VinFast</x:v>
      </x:c>
      <x:c r="F230" s="12" t="str">
        <x:v>VF 6</x:v>
      </x:c>
      <x:c r="G230" s="12" t="n">
        <x:v>9</x:v>
      </x:c>
      <x:c r="H230" s="12" t="n">
        <x:v>693.9</x:v>
      </x:c>
      <x:c r="I230" s="12" t="n">
        <x:v>6.24</x:v>
      </x:c>
      <x:c r="J230" s="16" t="n">
        <x:v>0.04012992414747593</x:v>
      </x:c>
      <x:c r="K230" s="12" t="n">
        <x:v>5.83</x:v>
      </x:c>
      <x:c r="L230" s="12" t="n">
        <x:f>I230-K230</x:f>
        <x:v>0.41000000000000014</x:v>
      </x:c>
      <x:c r="M230" s="16" t="n">
        <x:f>IFERROR(L230/I230,0)</x:f>
        <x:v>0.06570512820512822</x:v>
      </x:c>
    </x:row>
    <x:row r="231">
      <x:c r="A231" s="12" t="str">
        <x:v>SALE-00230</x:v>
      </x:c>
      <x:c r="B231" s="14" t="n">
        <x:v>46174</x:v>
      </x:c>
      <x:c r="C231" s="12" t="str">
        <x:v>DLR-008</x:v>
      </x:c>
      <x:c r="D231" s="12" t="str">
        <x:v>VinFast HTA Nguyễn Văn Linh</x:v>
      </x:c>
      <x:c r="E231" s="12" t="str">
        <x:v>VinFast</x:v>
      </x:c>
      <x:c r="F231" s="12" t="str">
        <x:v>VF 7</x:v>
      </x:c>
      <x:c r="G231" s="12" t="n">
        <x:v>9</x:v>
      </x:c>
      <x:c r="H231" s="12" t="n">
        <x:v>820</x:v>
      </x:c>
      <x:c r="I231" s="12" t="n">
        <x:v>7.38</x:v>
      </x:c>
      <x:c r="J231" s="16" t="n">
        <x:v>0.032632927606512464</x:v>
      </x:c>
      <x:c r="K231" s="12" t="n">
        <x:v>6.75</x:v>
      </x:c>
      <x:c r="L231" s="12" t="n">
        <x:f>I231-K231</x:f>
        <x:v>0.6299999999999999</x:v>
      </x:c>
      <x:c r="M231" s="16" t="n">
        <x:f>IFERROR(L231/I231,0)</x:f>
        <x:v>0.08536585365853658</x:v>
      </x:c>
    </x:row>
    <x:row r="232">
      <x:c r="A232" s="12" t="str">
        <x:v>SALE-00231</x:v>
      </x:c>
      <x:c r="B232" s="14" t="n">
        <x:v>46174</x:v>
      </x:c>
      <x:c r="C232" s="12" t="str">
        <x:v>DLR-008</x:v>
      </x:c>
      <x:c r="D232" s="12" t="str">
        <x:v>VinFast HTA Nguyễn Văn Linh</x:v>
      </x:c>
      <x:c r="E232" s="12" t="str">
        <x:v>VinFast</x:v>
      </x:c>
      <x:c r="F232" s="12" t="str">
        <x:v>VF 8</x:v>
      </x:c>
      <x:c r="G232" s="12" t="n">
        <x:v>9</x:v>
      </x:c>
      <x:c r="H232" s="12" t="n">
        <x:v>965.2</x:v>
      </x:c>
      <x:c r="I232" s="12" t="n">
        <x:v>8.69</x:v>
      </x:c>
      <x:c r="J232" s="16" t="n">
        <x:v>0.02680441806516621</x:v>
      </x:c>
      <x:c r="K232" s="12" t="n">
        <x:v>8.03</x:v>
      </x:c>
      <x:c r="L232" s="12" t="n">
        <x:f>I232-K232</x:f>
        <x:v>0.6600000000000001</x:v>
      </x:c>
      <x:c r="M232" s="16" t="n">
        <x:f>IFERROR(L232/I232,0)</x:f>
        <x:v>0.07594936708860761</x:v>
      </x:c>
    </x:row>
    <x:row r="233">
      <x:c r="A233" s="12" t="str">
        <x:v>SALE-00232</x:v>
      </x:c>
      <x:c r="B233" s="14" t="n">
        <x:v>46174</x:v>
      </x:c>
      <x:c r="C233" s="12" t="str">
        <x:v>DLR-008</x:v>
      </x:c>
      <x:c r="D233" s="12" t="str">
        <x:v>VinFast HTA Nguyễn Văn Linh</x:v>
      </x:c>
      <x:c r="E233" s="12" t="str">
        <x:v>VinFast</x:v>
      </x:c>
      <x:c r="F233" s="12" t="str">
        <x:v>VF 9</x:v>
      </x:c>
      <x:c r="G233" s="12" t="n">
        <x:v>6</x:v>
      </x:c>
      <x:c r="H233" s="12" t="n">
        <x:v>1424.9</x:v>
      </x:c>
      <x:c r="I233" s="12" t="n">
        <x:v>8.55</x:v>
      </x:c>
      <x:c r="J233" s="16" t="n">
        <x:v>0.03657631035937684</x:v>
      </x:c>
      <x:c r="K233" s="12" t="n">
        <x:v>8.02</x:v>
      </x:c>
      <x:c r="L233" s="12" t="n">
        <x:f>I233-K233</x:f>
        <x:v>0.5300000000000011</x:v>
      </x:c>
      <x:c r="M233" s="16" t="n">
        <x:f>IFERROR(L233/I233,0)</x:f>
        <x:v>0.06198830409356738</x:v>
      </x:c>
    </x:row>
    <x:row r="234">
      <x:c r="A234" s="12" t="str">
        <x:v>SALE-00233</x:v>
      </x:c>
      <x:c r="B234" s="14" t="n">
        <x:v>46204</x:v>
      </x:c>
      <x:c r="C234" s="12" t="str">
        <x:v>DLR-008</x:v>
      </x:c>
      <x:c r="D234" s="12" t="str">
        <x:v>VinFast HTA Nguyễn Văn Linh</x:v>
      </x:c>
      <x:c r="E234" s="12" t="str">
        <x:v>VinFast</x:v>
      </x:c>
      <x:c r="F234" s="12" t="str">
        <x:v>VF 3</x:v>
      </x:c>
      <x:c r="G234" s="12" t="n">
        <x:v>8</x:v>
      </x:c>
      <x:c r="H234" s="12" t="n">
        <x:v>319.1</x:v>
      </x:c>
      <x:c r="I234" s="12" t="n">
        <x:v>2.55</x:v>
      </x:c>
      <x:c r="J234" s="16" t="n">
        <x:v>0.048218904782695894</x:v>
      </x:c>
      <x:c r="K234" s="12" t="n">
        <x:v>2.29</x:v>
      </x:c>
      <x:c r="L234" s="12" t="n">
        <x:f>I234-K234</x:f>
        <x:v>0.2599999999999998</x:v>
      </x:c>
      <x:c r="M234" s="16" t="n">
        <x:f>IFERROR(L234/I234,0)</x:f>
        <x:v>0.10196078431372542</x:v>
      </x:c>
    </x:row>
    <x:row r="235">
      <x:c r="A235" s="12" t="str">
        <x:v>SALE-00234</x:v>
      </x:c>
      <x:c r="B235" s="14" t="n">
        <x:v>46204</x:v>
      </x:c>
      <x:c r="C235" s="12" t="str">
        <x:v>DLR-008</x:v>
      </x:c>
      <x:c r="D235" s="12" t="str">
        <x:v>VinFast HTA Nguyễn Văn Linh</x:v>
      </x:c>
      <x:c r="E235" s="12" t="str">
        <x:v>VinFast</x:v>
      </x:c>
      <x:c r="F235" s="12" t="str">
        <x:v>VF 5</x:v>
      </x:c>
      <x:c r="G235" s="12" t="n">
        <x:v>10</x:v>
      </x:c>
      <x:c r="H235" s="12" t="n">
        <x:v>517.7</x:v>
      </x:c>
      <x:c r="I235" s="12" t="n">
        <x:v>5.18</x:v>
      </x:c>
      <x:c r="J235" s="16" t="n">
        <x:v>0.04725953975175066</x:v>
      </x:c>
      <x:c r="K235" s="12" t="n">
        <x:v>4.79</x:v>
      </x:c>
      <x:c r="L235" s="12" t="n">
        <x:f>I235-K235</x:f>
        <x:v>0.3899999999999997</x:v>
      </x:c>
      <x:c r="M235" s="16" t="n">
        <x:f>IFERROR(L235/I235,0)</x:f>
        <x:v>0.07528957528957524</x:v>
      </x:c>
    </x:row>
    <x:row r="236">
      <x:c r="A236" s="12" t="str">
        <x:v>SALE-00235</x:v>
      </x:c>
      <x:c r="B236" s="14" t="n">
        <x:v>46204</x:v>
      </x:c>
      <x:c r="C236" s="12" t="str">
        <x:v>DLR-008</x:v>
      </x:c>
      <x:c r="D236" s="12" t="str">
        <x:v>VinFast HTA Nguyễn Văn Linh</x:v>
      </x:c>
      <x:c r="E236" s="12" t="str">
        <x:v>VinFast</x:v>
      </x:c>
      <x:c r="F236" s="12" t="str">
        <x:v>VF 6</x:v>
      </x:c>
      <x:c r="G236" s="12" t="n">
        <x:v>7</x:v>
      </x:c>
      <x:c r="H236" s="12" t="n">
        <x:v>654</x:v>
      </x:c>
      <x:c r="I236" s="12" t="n">
        <x:v>4.58</x:v>
      </x:c>
      <x:c r="J236" s="16" t="n">
        <x:v>0.053515731714755106</x:v>
      </x:c>
      <x:c r="K236" s="12" t="n">
        <x:v>4.07</x:v>
      </x:c>
      <x:c r="L236" s="12" t="n">
        <x:f>I236-K236</x:f>
        <x:v>0.5099999999999998</x:v>
      </x:c>
      <x:c r="M236" s="16" t="n">
        <x:f>IFERROR(L236/I236,0)</x:f>
        <x:v>0.11135371179039297</x:v>
      </x:c>
    </x:row>
    <x:row r="237">
      <x:c r="A237" s="12" t="str">
        <x:v>SALE-00236</x:v>
      </x:c>
      <x:c r="B237" s="14" t="n">
        <x:v>46204</x:v>
      </x:c>
      <x:c r="C237" s="12" t="str">
        <x:v>DLR-008</x:v>
      </x:c>
      <x:c r="D237" s="12" t="str">
        <x:v>VinFast HTA Nguyễn Văn Linh</x:v>
      </x:c>
      <x:c r="E237" s="12" t="str">
        <x:v>VinFast</x:v>
      </x:c>
      <x:c r="F237" s="12" t="str">
        <x:v>VF 7</x:v>
      </x:c>
      <x:c r="G237" s="12" t="n">
        <x:v>11</x:v>
      </x:c>
      <x:c r="H237" s="12" t="n">
        <x:v>857.5</x:v>
      </x:c>
      <x:c r="I237" s="12" t="n">
        <x:v>9.43</x:v>
      </x:c>
      <x:c r="J237" s="16" t="n">
        <x:v>0.04396866848302072</x:v>
      </x:c>
      <x:c r="K237" s="12" t="n">
        <x:v>8.86</x:v>
      </x:c>
      <x:c r="L237" s="12" t="n">
        <x:f>I237-K237</x:f>
        <x:v>0.5700000000000003</x:v>
      </x:c>
      <x:c r="M237" s="16" t="n">
        <x:f>IFERROR(L237/I237,0)</x:f>
        <x:v>0.06044538706256631</x:v>
      </x:c>
    </x:row>
    <x:row r="238">
      <x:c r="A238" s="12" t="str">
        <x:v>SALE-00237</x:v>
      </x:c>
      <x:c r="B238" s="14" t="n">
        <x:v>46204</x:v>
      </x:c>
      <x:c r="C238" s="12" t="str">
        <x:v>DLR-008</x:v>
      </x:c>
      <x:c r="D238" s="12" t="str">
        <x:v>VinFast HTA Nguyễn Văn Linh</x:v>
      </x:c>
      <x:c r="E238" s="12" t="str">
        <x:v>VinFast</x:v>
      </x:c>
      <x:c r="F238" s="12" t="str">
        <x:v>VF 8</x:v>
      </x:c>
      <x:c r="G238" s="12" t="n">
        <x:v>11</x:v>
      </x:c>
      <x:c r="H238" s="12" t="n">
        <x:v>1023.4</x:v>
      </x:c>
      <x:c r="I238" s="12" t="n">
        <x:v>11.26</x:v>
      </x:c>
      <x:c r="J238" s="16" t="n">
        <x:v>0.029631001976222655</x:v>
      </x:c>
      <x:c r="K238" s="12" t="n">
        <x:v>10.44</x:v>
      </x:c>
      <x:c r="L238" s="12" t="n">
        <x:f>I238-K238</x:f>
        <x:v>0.8200000000000003</x:v>
      </x:c>
      <x:c r="M238" s="16" t="n">
        <x:f>IFERROR(L238/I238,0)</x:f>
        <x:v>0.07282415630550625</x:v>
      </x:c>
    </x:row>
    <x:row r="239">
      <x:c r="A239" s="12" t="str">
        <x:v>SALE-00238</x:v>
      </x:c>
      <x:c r="B239" s="14" t="n">
        <x:v>46204</x:v>
      </x:c>
      <x:c r="C239" s="12" t="str">
        <x:v>DLR-008</x:v>
      </x:c>
      <x:c r="D239" s="12" t="str">
        <x:v>VinFast HTA Nguyễn Văn Linh</x:v>
      </x:c>
      <x:c r="E239" s="12" t="str">
        <x:v>VinFast</x:v>
      </x:c>
      <x:c r="F239" s="12" t="str">
        <x:v>VF 9</x:v>
      </x:c>
      <x:c r="G239" s="12" t="n">
        <x:v>5</x:v>
      </x:c>
      <x:c r="H239" s="12" t="n">
        <x:v>1473.4</x:v>
      </x:c>
      <x:c r="I239" s="12" t="n">
        <x:v>7.37</x:v>
      </x:c>
      <x:c r="J239" s="16" t="n">
        <x:v>0.033191441109354985</x:v>
      </x:c>
      <x:c r="K239" s="12" t="n">
        <x:v>6.78</x:v>
      </x:c>
      <x:c r="L239" s="12" t="n">
        <x:f>I239-K239</x:f>
        <x:v>0.5899999999999999</x:v>
      </x:c>
      <x:c r="M239" s="16" t="n">
        <x:f>IFERROR(L239/I239,0)</x:f>
        <x:v>0.08005427408412481</x:v>
      </x:c>
    </x:row>
    <x:row r="240">
      <x:c r="A240" s="12" t="str">
        <x:v>SALE-00239</x:v>
      </x:c>
      <x:c r="B240" s="14" t="n">
        <x:v>46023</x:v>
      </x:c>
      <x:c r="C240" s="12" t="str">
        <x:v>DLR-009</x:v>
      </x:c>
      <x:c r="D240" s="12" t="str">
        <x:v>VinFast HTA Đông Anh</x:v>
      </x:c>
      <x:c r="E240" s="12" t="str">
        <x:v>VinFast</x:v>
      </x:c>
      <x:c r="F240" s="12" t="str">
        <x:v>VF 3</x:v>
      </x:c>
      <x:c r="G240" s="12" t="n">
        <x:v>8</x:v>
      </x:c>
      <x:c r="H240" s="12" t="n">
        <x:v>316.8</x:v>
      </x:c>
      <x:c r="I240" s="12" t="n">
        <x:v>2.53</x:v>
      </x:c>
      <x:c r="J240" s="16" t="n">
        <x:v>0.05261167567118217</x:v>
      </x:c>
      <x:c r="K240" s="12" t="n">
        <x:v>2.25</x:v>
      </x:c>
      <x:c r="L240" s="12" t="n">
        <x:f>I240-K240</x:f>
        <x:v>0.2799999999999998</x:v>
      </x:c>
      <x:c r="M240" s="16" t="n">
        <x:f>IFERROR(L240/I240,0)</x:f>
        <x:v>0.11067193675889321</x:v>
      </x:c>
    </x:row>
    <x:row r="241">
      <x:c r="A241" s="12" t="str">
        <x:v>SALE-00240</x:v>
      </x:c>
      <x:c r="B241" s="14" t="n">
        <x:v>46023</x:v>
      </x:c>
      <x:c r="C241" s="12" t="str">
        <x:v>DLR-009</x:v>
      </x:c>
      <x:c r="D241" s="12" t="str">
        <x:v>VinFast HTA Đông Anh</x:v>
      </x:c>
      <x:c r="E241" s="12" t="str">
        <x:v>VinFast</x:v>
      </x:c>
      <x:c r="F241" s="12" t="str">
        <x:v>VF 5</x:v>
      </x:c>
      <x:c r="G241" s="12" t="n">
        <x:v>6</x:v>
      </x:c>
      <x:c r="H241" s="12" t="n">
        <x:v>498.3</x:v>
      </x:c>
      <x:c r="I241" s="12" t="n">
        <x:v>2.99</x:v>
      </x:c>
      <x:c r="J241" s="16" t="n">
        <x:v>0.050369393808594086</x:v>
      </x:c>
      <x:c r="K241" s="12" t="n">
        <x:v>2.73</x:v>
      </x:c>
      <x:c r="L241" s="12" t="n">
        <x:f>I241-K241</x:f>
        <x:v>0.26000000000000023</x:v>
      </x:c>
      <x:c r="M241" s="16" t="n">
        <x:f>IFERROR(L241/I241,0)</x:f>
        <x:v>0.0869565217391305</x:v>
      </x:c>
    </x:row>
    <x:row r="242">
      <x:c r="A242" s="12" t="str">
        <x:v>SALE-00241</x:v>
      </x:c>
      <x:c r="B242" s="14" t="n">
        <x:v>46023</x:v>
      </x:c>
      <x:c r="C242" s="12" t="str">
        <x:v>DLR-009</x:v>
      </x:c>
      <x:c r="D242" s="12" t="str">
        <x:v>VinFast HTA Đông Anh</x:v>
      </x:c>
      <x:c r="E242" s="12" t="str">
        <x:v>VinFast</x:v>
      </x:c>
      <x:c r="F242" s="12" t="str">
        <x:v>VF 6</x:v>
      </x:c>
      <x:c r="G242" s="12" t="n">
        <x:v>10</x:v>
      </x:c>
      <x:c r="H242" s="12" t="n">
        <x:v>659.9</x:v>
      </x:c>
      <x:c r="I242" s="12" t="n">
        <x:v>6.6</x:v>
      </x:c>
      <x:c r="J242" s="16" t="n">
        <x:v>0.017528681646407817</x:v>
      </x:c>
      <x:c r="K242" s="12" t="n">
        <x:v>6.13</x:v>
      </x:c>
      <x:c r="L242" s="12" t="n">
        <x:f>I242-K242</x:f>
        <x:v>0.46999999999999975</x:v>
      </x:c>
      <x:c r="M242" s="16" t="n">
        <x:f>IFERROR(L242/I242,0)</x:f>
        <x:v>0.07121212121212118</x:v>
      </x:c>
    </x:row>
    <x:row r="243">
      <x:c r="A243" s="12" t="str">
        <x:v>SALE-00242</x:v>
      </x:c>
      <x:c r="B243" s="14" t="n">
        <x:v>46023</x:v>
      </x:c>
      <x:c r="C243" s="12" t="str">
        <x:v>DLR-009</x:v>
      </x:c>
      <x:c r="D243" s="12" t="str">
        <x:v>VinFast HTA Đông Anh</x:v>
      </x:c>
      <x:c r="E243" s="12" t="str">
        <x:v>VinFast</x:v>
      </x:c>
      <x:c r="F243" s="12" t="str">
        <x:v>VF 7</x:v>
      </x:c>
      <x:c r="G243" s="12" t="n">
        <x:v>10</x:v>
      </x:c>
      <x:c r="H243" s="12" t="n">
        <x:v>819.5</x:v>
      </x:c>
      <x:c r="I243" s="12" t="n">
        <x:v>8.2</x:v>
      </x:c>
      <x:c r="J243" s="16" t="n">
        <x:v>0.03133183423181651</x:v>
      </x:c>
      <x:c r="K243" s="12" t="n">
        <x:v>7.28</x:v>
      </x:c>
      <x:c r="L243" s="12" t="n">
        <x:f>I243-K243</x:f>
        <x:v>0.919999999999999</x:v>
      </x:c>
      <x:c r="M243" s="16" t="n">
        <x:f>IFERROR(L243/I243,0)</x:f>
        <x:v>0.1121951219512194</x:v>
      </x:c>
    </x:row>
    <x:row r="244">
      <x:c r="A244" s="12" t="str">
        <x:v>SALE-00243</x:v>
      </x:c>
      <x:c r="B244" s="14" t="n">
        <x:v>46023</x:v>
      </x:c>
      <x:c r="C244" s="12" t="str">
        <x:v>DLR-009</x:v>
      </x:c>
      <x:c r="D244" s="12" t="str">
        <x:v>VinFast HTA Đông Anh</x:v>
      </x:c>
      <x:c r="E244" s="12" t="str">
        <x:v>VinFast</x:v>
      </x:c>
      <x:c r="F244" s="12" t="str">
        <x:v>VF 8</x:v>
      </x:c>
      <x:c r="G244" s="12" t="n">
        <x:v>10</x:v>
      </x:c>
      <x:c r="H244" s="12" t="n">
        <x:v>982.7</x:v>
      </x:c>
      <x:c r="I244" s="12" t="n">
        <x:v>9.83</x:v>
      </x:c>
      <x:c r="J244" s="16" t="n">
        <x:v>0.034704984759128234</x:v>
      </x:c>
      <x:c r="K244" s="12" t="n">
        <x:v>8.7</x:v>
      </x:c>
      <x:c r="L244" s="12" t="n">
        <x:f>I244-K244</x:f>
        <x:v>1.1300000000000008</x:v>
      </x:c>
      <x:c r="M244" s="16" t="n">
        <x:f>IFERROR(L244/I244,0)</x:f>
        <x:v>0.11495422177009164</x:v>
      </x:c>
    </x:row>
    <x:row r="245">
      <x:c r="A245" s="12" t="str">
        <x:v>SALE-00244</x:v>
      </x:c>
      <x:c r="B245" s="14" t="n">
        <x:v>46023</x:v>
      </x:c>
      <x:c r="C245" s="12" t="str">
        <x:v>DLR-009</x:v>
      </x:c>
      <x:c r="D245" s="12" t="str">
        <x:v>VinFast HTA Đông Anh</x:v>
      </x:c>
      <x:c r="E245" s="12" t="str">
        <x:v>VinFast</x:v>
      </x:c>
      <x:c r="F245" s="12" t="str">
        <x:v>VF 9</x:v>
      </x:c>
      <x:c r="G245" s="12" t="n">
        <x:v>10</x:v>
      </x:c>
      <x:c r="H245" s="12" t="n">
        <x:v>1425.3</x:v>
      </x:c>
      <x:c r="I245" s="12" t="n">
        <x:v>14.25</x:v>
      </x:c>
      <x:c r="J245" s="16" t="n">
        <x:v>0.033145750275555705</x:v>
      </x:c>
      <x:c r="K245" s="12" t="n">
        <x:v>13.12</x:v>
      </x:c>
      <x:c r="L245" s="12" t="n">
        <x:f>I245-K245</x:f>
        <x:v>1.1300000000000008</x:v>
      </x:c>
      <x:c r="M245" s="16" t="n">
        <x:f>IFERROR(L245/I245,0)</x:f>
        <x:v>0.07929824561403515</x:v>
      </x:c>
    </x:row>
    <x:row r="246">
      <x:c r="A246" s="12" t="str">
        <x:v>SALE-00245</x:v>
      </x:c>
      <x:c r="B246" s="14" t="n">
        <x:v>46054</x:v>
      </x:c>
      <x:c r="C246" s="12" t="str">
        <x:v>DLR-009</x:v>
      </x:c>
      <x:c r="D246" s="12" t="str">
        <x:v>VinFast HTA Đông Anh</x:v>
      </x:c>
      <x:c r="E246" s="12" t="str">
        <x:v>VinFast</x:v>
      </x:c>
      <x:c r="F246" s="12" t="str">
        <x:v>VF 3</x:v>
      </x:c>
      <x:c r="G246" s="12" t="n">
        <x:v>9</x:v>
      </x:c>
      <x:c r="H246" s="12" t="n">
        <x:v>319.9</x:v>
      </x:c>
      <x:c r="I246" s="12" t="n">
        <x:v>2.88</x:v>
      </x:c>
      <x:c r="J246" s="16" t="n">
        <x:v>0.03176507013658891</x:v>
      </x:c>
      <x:c r="K246" s="12" t="n">
        <x:v>2.66</x:v>
      </x:c>
      <x:c r="L246" s="12" t="n">
        <x:f>I246-K246</x:f>
        <x:v>0.21999999999999975</x:v>
      </x:c>
      <x:c r="M246" s="16" t="n">
        <x:f>IFERROR(L246/I246,0)</x:f>
        <x:v>0.07638888888888881</x:v>
      </x:c>
    </x:row>
    <x:row r="247">
      <x:c r="A247" s="12" t="str">
        <x:v>SALE-00246</x:v>
      </x:c>
      <x:c r="B247" s="14" t="n">
        <x:v>46054</x:v>
      </x:c>
      <x:c r="C247" s="12" t="str">
        <x:v>DLR-009</x:v>
      </x:c>
      <x:c r="D247" s="12" t="str">
        <x:v>VinFast HTA Đông Anh</x:v>
      </x:c>
      <x:c r="E247" s="12" t="str">
        <x:v>VinFast</x:v>
      </x:c>
      <x:c r="F247" s="12" t="str">
        <x:v>VF 5</x:v>
      </x:c>
      <x:c r="G247" s="12" t="n">
        <x:v>6</x:v>
      </x:c>
      <x:c r="H247" s="12" t="n">
        <x:v>514.8</x:v>
      </x:c>
      <x:c r="I247" s="12" t="n">
        <x:v>3.09</x:v>
      </x:c>
      <x:c r="J247" s="16" t="n">
        <x:v>0.01896086538842114</x:v>
      </x:c>
      <x:c r="K247" s="12" t="n">
        <x:v>2.81</x:v>
      </x:c>
      <x:c r="L247" s="12" t="n">
        <x:f>I247-K247</x:f>
        <x:v>0.2799999999999998</x:v>
      </x:c>
      <x:c r="M247" s="16" t="n">
        <x:f>IFERROR(L247/I247,0)</x:f>
        <x:v>0.09061488673139152</x:v>
      </x:c>
    </x:row>
    <x:row r="248">
      <x:c r="A248" s="12" t="str">
        <x:v>SALE-00247</x:v>
      </x:c>
      <x:c r="B248" s="14" t="n">
        <x:v>46054</x:v>
      </x:c>
      <x:c r="C248" s="12" t="str">
        <x:v>DLR-009</x:v>
      </x:c>
      <x:c r="D248" s="12" t="str">
        <x:v>VinFast HTA Đông Anh</x:v>
      </x:c>
      <x:c r="E248" s="12" t="str">
        <x:v>VinFast</x:v>
      </x:c>
      <x:c r="F248" s="12" t="str">
        <x:v>VF 6</x:v>
      </x:c>
      <x:c r="G248" s="12" t="n">
        <x:v>7</x:v>
      </x:c>
      <x:c r="H248" s="12" t="n">
        <x:v>700.1</x:v>
      </x:c>
      <x:c r="I248" s="12" t="n">
        <x:v>4.9</x:v>
      </x:c>
      <x:c r="J248" s="16" t="n">
        <x:v>0.016308651474201876</x:v>
      </x:c>
      <x:c r="K248" s="12" t="n">
        <x:v>4.42</x:v>
      </x:c>
      <x:c r="L248" s="12" t="n">
        <x:f>I248-K248</x:f>
        <x:v>0.4800000000000004</x:v>
      </x:c>
      <x:c r="M248" s="16" t="n">
        <x:f>IFERROR(L248/I248,0)</x:f>
        <x:v>0.09795918367346947</x:v>
      </x:c>
    </x:row>
    <x:row r="249">
      <x:c r="A249" s="12" t="str">
        <x:v>SALE-00248</x:v>
      </x:c>
      <x:c r="B249" s="14" t="n">
        <x:v>46054</x:v>
      </x:c>
      <x:c r="C249" s="12" t="str">
        <x:v>DLR-009</x:v>
      </x:c>
      <x:c r="D249" s="12" t="str">
        <x:v>VinFast HTA Đông Anh</x:v>
      </x:c>
      <x:c r="E249" s="12" t="str">
        <x:v>VinFast</x:v>
      </x:c>
      <x:c r="F249" s="12" t="str">
        <x:v>VF 7</x:v>
      </x:c>
      <x:c r="G249" s="12" t="n">
        <x:v>7</x:v>
      </x:c>
      <x:c r="H249" s="12" t="n">
        <x:v>863.6</x:v>
      </x:c>
      <x:c r="I249" s="12" t="n">
        <x:v>6.05</x:v>
      </x:c>
      <x:c r="J249" s="16" t="n">
        <x:v>0.04921800773223819</x:v>
      </x:c>
      <x:c r="K249" s="12" t="n">
        <x:v>5.36</x:v>
      </x:c>
      <x:c r="L249" s="12" t="n">
        <x:f>I249-K249</x:f>
        <x:v>0.6899999999999995</x:v>
      </x:c>
      <x:c r="M249" s="16" t="n">
        <x:f>IFERROR(L249/I249,0)</x:f>
        <x:v>0.11404958677685942</x:v>
      </x:c>
    </x:row>
    <x:row r="250">
      <x:c r="A250" s="12" t="str">
        <x:v>SALE-00249</x:v>
      </x:c>
      <x:c r="B250" s="14" t="n">
        <x:v>46054</x:v>
      </x:c>
      <x:c r="C250" s="12" t="str">
        <x:v>DLR-009</x:v>
      </x:c>
      <x:c r="D250" s="12" t="str">
        <x:v>VinFast HTA Đông Anh</x:v>
      </x:c>
      <x:c r="E250" s="12" t="str">
        <x:v>VinFast</x:v>
      </x:c>
      <x:c r="F250" s="12" t="str">
        <x:v>VF 8</x:v>
      </x:c>
      <x:c r="G250" s="12" t="n">
        <x:v>9</x:v>
      </x:c>
      <x:c r="H250" s="12" t="n">
        <x:v>1002.2</x:v>
      </x:c>
      <x:c r="I250" s="12" t="n">
        <x:v>9.02</x:v>
      </x:c>
      <x:c r="J250" s="16" t="n">
        <x:v>0.05411370117808187</x:v>
      </x:c>
      <x:c r="K250" s="12" t="n">
        <x:v>8.13</x:v>
      </x:c>
      <x:c r="L250" s="12" t="n">
        <x:f>I250-K250</x:f>
        <x:v>0.8899999999999988</x:v>
      </x:c>
      <x:c r="M250" s="16" t="n">
        <x:f>IFERROR(L250/I250,0)</x:f>
        <x:v>0.09866962305986683</x:v>
      </x:c>
    </x:row>
    <x:row r="251">
      <x:c r="A251" s="12" t="str">
        <x:v>SALE-00250</x:v>
      </x:c>
      <x:c r="B251" s="14" t="n">
        <x:v>46054</x:v>
      </x:c>
      <x:c r="C251" s="12" t="str">
        <x:v>DLR-009</x:v>
      </x:c>
      <x:c r="D251" s="12" t="str">
        <x:v>VinFast HTA Đông Anh</x:v>
      </x:c>
      <x:c r="E251" s="12" t="str">
        <x:v>VinFast</x:v>
      </x:c>
      <x:c r="F251" s="12" t="str">
        <x:v>VF 9</x:v>
      </x:c>
      <x:c r="G251" s="12" t="n">
        <x:v>7</x:v>
      </x:c>
      <x:c r="H251" s="12" t="n">
        <x:v>1431.8</x:v>
      </x:c>
      <x:c r="I251" s="12" t="n">
        <x:v>10.02</x:v>
      </x:c>
      <x:c r="J251" s="16" t="n">
        <x:v>0.01988638876349055</x:v>
      </x:c>
      <x:c r="K251" s="12" t="n">
        <x:v>9.33</x:v>
      </x:c>
      <x:c r="L251" s="12" t="n">
        <x:f>I251-K251</x:f>
        <x:v>0.6899999999999995</x:v>
      </x:c>
      <x:c r="M251" s="16" t="n">
        <x:f>IFERROR(L251/I251,0)</x:f>
        <x:v>0.06886227544910176</x:v>
      </x:c>
    </x:row>
    <x:row r="252">
      <x:c r="A252" s="12" t="str">
        <x:v>SALE-00251</x:v>
      </x:c>
      <x:c r="B252" s="14" t="n">
        <x:v>46082</x:v>
      </x:c>
      <x:c r="C252" s="12" t="str">
        <x:v>DLR-009</x:v>
      </x:c>
      <x:c r="D252" s="12" t="str">
        <x:v>VinFast HTA Đông Anh</x:v>
      </x:c>
      <x:c r="E252" s="12" t="str">
        <x:v>VinFast</x:v>
      </x:c>
      <x:c r="F252" s="12" t="str">
        <x:v>VF 3</x:v>
      </x:c>
      <x:c r="G252" s="12" t="n">
        <x:v>8</x:v>
      </x:c>
      <x:c r="H252" s="12" t="n">
        <x:v>312.8</x:v>
      </x:c>
      <x:c r="I252" s="12" t="n">
        <x:v>2.5</x:v>
      </x:c>
      <x:c r="J252" s="16" t="n">
        <x:v>0.040668178689328705</x:v>
      </x:c>
      <x:c r="K252" s="12" t="n">
        <x:v>2.29</x:v>
      </x:c>
      <x:c r="L252" s="12" t="n">
        <x:f>I252-K252</x:f>
        <x:v>0.20999999999999996</x:v>
      </x:c>
      <x:c r="M252" s="16" t="n">
        <x:f>IFERROR(L252/I252,0)</x:f>
        <x:v>0.08399999999999999</x:v>
      </x:c>
    </x:row>
    <x:row r="253">
      <x:c r="A253" s="12" t="str">
        <x:v>SALE-00252</x:v>
      </x:c>
      <x:c r="B253" s="14" t="n">
        <x:v>46082</x:v>
      </x:c>
      <x:c r="C253" s="12" t="str">
        <x:v>DLR-009</x:v>
      </x:c>
      <x:c r="D253" s="12" t="str">
        <x:v>VinFast HTA Đông Anh</x:v>
      </x:c>
      <x:c r="E253" s="12" t="str">
        <x:v>VinFast</x:v>
      </x:c>
      <x:c r="F253" s="12" t="str">
        <x:v>VF 5</x:v>
      </x:c>
      <x:c r="G253" s="12" t="n">
        <x:v>5</x:v>
      </x:c>
      <x:c r="H253" s="12" t="n">
        <x:v>530.6</x:v>
      </x:c>
      <x:c r="I253" s="12" t="n">
        <x:v>2.65</x:v>
      </x:c>
      <x:c r="J253" s="16" t="n">
        <x:v>0.024742755886560944</x:v>
      </x:c>
      <x:c r="K253" s="12" t="n">
        <x:v>2.35</x:v>
      </x:c>
      <x:c r="L253" s="12" t="n">
        <x:f>I253-K253</x:f>
        <x:v>0.2999999999999998</x:v>
      </x:c>
      <x:c r="M253" s="16" t="n">
        <x:f>IFERROR(L253/I253,0)</x:f>
        <x:v>0.11320754716981125</x:v>
      </x:c>
    </x:row>
    <x:row r="254">
      <x:c r="A254" s="12" t="str">
        <x:v>SALE-00253</x:v>
      </x:c>
      <x:c r="B254" s="14" t="n">
        <x:v>46082</x:v>
      </x:c>
      <x:c r="C254" s="12" t="str">
        <x:v>DLR-009</x:v>
      </x:c>
      <x:c r="D254" s="12" t="str">
        <x:v>VinFast HTA Đông Anh</x:v>
      </x:c>
      <x:c r="E254" s="12" t="str">
        <x:v>VinFast</x:v>
      </x:c>
      <x:c r="F254" s="12" t="str">
        <x:v>VF 6</x:v>
      </x:c>
      <x:c r="G254" s="12" t="n">
        <x:v>8</x:v>
      </x:c>
      <x:c r="H254" s="12" t="n">
        <x:v>651.4</x:v>
      </x:c>
      <x:c r="I254" s="12" t="n">
        <x:v>5.21</x:v>
      </x:c>
      <x:c r="J254" s="16" t="n">
        <x:v>0.04560629503554338</x:v>
      </x:c>
      <x:c r="K254" s="12" t="n">
        <x:v>4.65</x:v>
      </x:c>
      <x:c r="L254" s="12" t="n">
        <x:f>I254-K254</x:f>
        <x:v>0.5599999999999996</x:v>
      </x:c>
      <x:c r="M254" s="16" t="n">
        <x:f>IFERROR(L254/I254,0)</x:f>
        <x:v>0.10748560460652584</x:v>
      </x:c>
    </x:row>
    <x:row r="255">
      <x:c r="A255" s="12" t="str">
        <x:v>SALE-00254</x:v>
      </x:c>
      <x:c r="B255" s="14" t="n">
        <x:v>46082</x:v>
      </x:c>
      <x:c r="C255" s="12" t="str">
        <x:v>DLR-009</x:v>
      </x:c>
      <x:c r="D255" s="12" t="str">
        <x:v>VinFast HTA Đông Anh</x:v>
      </x:c>
      <x:c r="E255" s="12" t="str">
        <x:v>VinFast</x:v>
      </x:c>
      <x:c r="F255" s="12" t="str">
        <x:v>VF 7</x:v>
      </x:c>
      <x:c r="G255" s="12" t="n">
        <x:v>6</x:v>
      </x:c>
      <x:c r="H255" s="12" t="n">
        <x:v>858.1</x:v>
      </x:c>
      <x:c r="I255" s="12" t="n">
        <x:v>5.15</x:v>
      </x:c>
      <x:c r="J255" s="16" t="n">
        <x:v>0.028142382137289215</x:v>
      </x:c>
      <x:c r="K255" s="12" t="n">
        <x:v>4.58</x:v>
      </x:c>
      <x:c r="L255" s="12" t="n">
        <x:f>I255-K255</x:f>
        <x:v>0.5700000000000003</x:v>
      </x:c>
      <x:c r="M255" s="16" t="n">
        <x:f>IFERROR(L255/I255,0)</x:f>
        <x:v>0.11067961165048548</x:v>
      </x:c>
    </x:row>
    <x:row r="256">
      <x:c r="A256" s="12" t="str">
        <x:v>SALE-00255</x:v>
      </x:c>
      <x:c r="B256" s="14" t="n">
        <x:v>46082</x:v>
      </x:c>
      <x:c r="C256" s="12" t="str">
        <x:v>DLR-009</x:v>
      </x:c>
      <x:c r="D256" s="12" t="str">
        <x:v>VinFast HTA Đông Anh</x:v>
      </x:c>
      <x:c r="E256" s="12" t="str">
        <x:v>VinFast</x:v>
      </x:c>
      <x:c r="F256" s="12" t="str">
        <x:v>VF 8</x:v>
      </x:c>
      <x:c r="G256" s="12" t="n">
        <x:v>11</x:v>
      </x:c>
      <x:c r="H256" s="12" t="n">
        <x:v>958.1</x:v>
      </x:c>
      <x:c r="I256" s="12" t="n">
        <x:v>10.54</x:v>
      </x:c>
      <x:c r="J256" s="16" t="n">
        <x:v>0.049336245055207055</x:v>
      </x:c>
      <x:c r="K256" s="12" t="n">
        <x:v>9.37</x:v>
      </x:c>
      <x:c r="L256" s="12" t="n">
        <x:f>I256-K256</x:f>
        <x:v>1.17</x:v>
      </x:c>
      <x:c r="M256" s="16" t="n">
        <x:f>IFERROR(L256/I256,0)</x:f>
        <x:v>0.1110056925996205</x:v>
      </x:c>
    </x:row>
    <x:row r="257">
      <x:c r="A257" s="12" t="str">
        <x:v>SALE-00256</x:v>
      </x:c>
      <x:c r="B257" s="14" t="n">
        <x:v>46082</x:v>
      </x:c>
      <x:c r="C257" s="12" t="str">
        <x:v>DLR-009</x:v>
      </x:c>
      <x:c r="D257" s="12" t="str">
        <x:v>VinFast HTA Đông Anh</x:v>
      </x:c>
      <x:c r="E257" s="12" t="str">
        <x:v>VinFast</x:v>
      </x:c>
      <x:c r="F257" s="12" t="str">
        <x:v>VF 9</x:v>
      </x:c>
      <x:c r="G257" s="12" t="n">
        <x:v>6</x:v>
      </x:c>
      <x:c r="H257" s="12" t="n">
        <x:v>1439.1</x:v>
      </x:c>
      <x:c r="I257" s="12" t="n">
        <x:v>8.63</x:v>
      </x:c>
      <x:c r="J257" s="16" t="n">
        <x:v>0.021979884836055737</x:v>
      </x:c>
      <x:c r="K257" s="12" t="n">
        <x:v>7.94</x:v>
      </x:c>
      <x:c r="L257" s="12" t="n">
        <x:f>I257-K257</x:f>
        <x:v>0.6900000000000004</x:v>
      </x:c>
      <x:c r="M257" s="16" t="n">
        <x:f>IFERROR(L257/I257,0)</x:f>
        <x:v>0.07995365005793746</x:v>
      </x:c>
    </x:row>
    <x:row r="258">
      <x:c r="A258" s="12" t="str">
        <x:v>SALE-00257</x:v>
      </x:c>
      <x:c r="B258" s="14" t="n">
        <x:v>46113</x:v>
      </x:c>
      <x:c r="C258" s="12" t="str">
        <x:v>DLR-009</x:v>
      </x:c>
      <x:c r="D258" s="12" t="str">
        <x:v>VinFast HTA Đông Anh</x:v>
      </x:c>
      <x:c r="E258" s="12" t="str">
        <x:v>VinFast</x:v>
      </x:c>
      <x:c r="F258" s="12" t="str">
        <x:v>VF 3</x:v>
      </x:c>
      <x:c r="G258" s="12" t="n">
        <x:v>5</x:v>
      </x:c>
      <x:c r="H258" s="12" t="n">
        <x:v>296.5</x:v>
      </x:c>
      <x:c r="I258" s="12" t="n">
        <x:v>1.48</x:v>
      </x:c>
      <x:c r="J258" s="16" t="n">
        <x:v>0.04659938656939015</x:v>
      </x:c>
      <x:c r="K258" s="12" t="n">
        <x:v>1.33</x:v>
      </x:c>
      <x:c r="L258" s="12" t="n">
        <x:f>I258-K258</x:f>
        <x:v>0.1499999999999999</x:v>
      </x:c>
      <x:c r="M258" s="16" t="n">
        <x:f>IFERROR(L258/I258,0)</x:f>
        <x:v>0.10135135135135129</x:v>
      </x:c>
    </x:row>
    <x:row r="259">
      <x:c r="A259" s="12" t="str">
        <x:v>SALE-00258</x:v>
      </x:c>
      <x:c r="B259" s="14" t="n">
        <x:v>46113</x:v>
      </x:c>
      <x:c r="C259" s="12" t="str">
        <x:v>DLR-009</x:v>
      </x:c>
      <x:c r="D259" s="12" t="str">
        <x:v>VinFast HTA Đông Anh</x:v>
      </x:c>
      <x:c r="E259" s="12" t="str">
        <x:v>VinFast</x:v>
      </x:c>
      <x:c r="F259" s="12" t="str">
        <x:v>VF 5</x:v>
      </x:c>
      <x:c r="G259" s="12" t="n">
        <x:v>7</x:v>
      </x:c>
      <x:c r="H259" s="12" t="n">
        <x:v>504.6</x:v>
      </x:c>
      <x:c r="I259" s="12" t="n">
        <x:v>3.53</x:v>
      </x:c>
      <x:c r="J259" s="16" t="n">
        <x:v>0.01709596071444706</x:v>
      </x:c>
      <x:c r="K259" s="12" t="n">
        <x:v>3.27</x:v>
      </x:c>
      <x:c r="L259" s="12" t="n">
        <x:f>I259-K259</x:f>
        <x:v>0.2599999999999998</x:v>
      </x:c>
      <x:c r="M259" s="16" t="n">
        <x:f>IFERROR(L259/I259,0)</x:f>
        <x:v>0.07365439093484413</x:v>
      </x:c>
    </x:row>
    <x:row r="260">
      <x:c r="A260" s="12" t="str">
        <x:v>SALE-00259</x:v>
      </x:c>
      <x:c r="B260" s="14" t="n">
        <x:v>46113</x:v>
      </x:c>
      <x:c r="C260" s="12" t="str">
        <x:v>DLR-009</x:v>
      </x:c>
      <x:c r="D260" s="12" t="str">
        <x:v>VinFast HTA Đông Anh</x:v>
      </x:c>
      <x:c r="E260" s="12" t="str">
        <x:v>VinFast</x:v>
      </x:c>
      <x:c r="F260" s="12" t="str">
        <x:v>VF 6</x:v>
      </x:c>
      <x:c r="G260" s="12" t="n">
        <x:v>8</x:v>
      </x:c>
      <x:c r="H260" s="12" t="n">
        <x:v>688.8</x:v>
      </x:c>
      <x:c r="I260" s="12" t="n">
        <x:v>5.51</x:v>
      </x:c>
      <x:c r="J260" s="16" t="n">
        <x:v>0.034049838616930006</x:v>
      </x:c>
      <x:c r="K260" s="12" t="n">
        <x:v>5.11</x:v>
      </x:c>
      <x:c r="L260" s="12" t="n">
        <x:f>I260-K260</x:f>
        <x:v>0.39999999999999947</x:v>
      </x:c>
      <x:c r="M260" s="16" t="n">
        <x:f>IFERROR(L260/I260,0)</x:f>
        <x:v>0.07259528130671497</x:v>
      </x:c>
    </x:row>
    <x:row r="261">
      <x:c r="A261" s="12" t="str">
        <x:v>SALE-00260</x:v>
      </x:c>
      <x:c r="B261" s="14" t="n">
        <x:v>46113</x:v>
      </x:c>
      <x:c r="C261" s="12" t="str">
        <x:v>DLR-009</x:v>
      </x:c>
      <x:c r="D261" s="12" t="str">
        <x:v>VinFast HTA Đông Anh</x:v>
      </x:c>
      <x:c r="E261" s="12" t="str">
        <x:v>VinFast</x:v>
      </x:c>
      <x:c r="F261" s="12" t="str">
        <x:v>VF 7</x:v>
      </x:c>
      <x:c r="G261" s="12" t="n">
        <x:v>8</x:v>
      </x:c>
      <x:c r="H261" s="12" t="n">
        <x:v>806.4</x:v>
      </x:c>
      <x:c r="I261" s="12" t="n">
        <x:v>6.45</x:v>
      </x:c>
      <x:c r="J261" s="16" t="n">
        <x:v>0.035153547591432854</x:v>
      </x:c>
      <x:c r="K261" s="12" t="n">
        <x:v>6.04</x:v>
      </x:c>
      <x:c r="L261" s="12" t="n">
        <x:f>I261-K261</x:f>
        <x:v>0.41000000000000014</x:v>
      </x:c>
      <x:c r="M261" s="16" t="n">
        <x:f>IFERROR(L261/I261,0)</x:f>
        <x:v>0.06356589147286824</x:v>
      </x:c>
    </x:row>
    <x:row r="262">
      <x:c r="A262" s="12" t="str">
        <x:v>SALE-00261</x:v>
      </x:c>
      <x:c r="B262" s="14" t="n">
        <x:v>46113</x:v>
      </x:c>
      <x:c r="C262" s="12" t="str">
        <x:v>DLR-009</x:v>
      </x:c>
      <x:c r="D262" s="12" t="str">
        <x:v>VinFast HTA Đông Anh</x:v>
      </x:c>
      <x:c r="E262" s="12" t="str">
        <x:v>VinFast</x:v>
      </x:c>
      <x:c r="F262" s="12" t="str">
        <x:v>VF 8</x:v>
      </x:c>
      <x:c r="G262" s="12" t="n">
        <x:v>5</x:v>
      </x:c>
      <x:c r="H262" s="12" t="n">
        <x:v>1021.7</x:v>
      </x:c>
      <x:c r="I262" s="12" t="n">
        <x:v>5.11</x:v>
      </x:c>
      <x:c r="J262" s="16" t="n">
        <x:v>0.04967923631039353</x:v>
      </x:c>
      <x:c r="K262" s="12" t="n">
        <x:v>4.66</x:v>
      </x:c>
      <x:c r="L262" s="12" t="n">
        <x:f>I262-K262</x:f>
        <x:v>0.4500000000000002</x:v>
      </x:c>
      <x:c r="M262" s="16" t="n">
        <x:f>IFERROR(L262/I262,0)</x:f>
        <x:v>0.08806262230919767</x:v>
      </x:c>
    </x:row>
    <x:row r="263">
      <x:c r="A263" s="12" t="str">
        <x:v>SALE-00262</x:v>
      </x:c>
      <x:c r="B263" s="14" t="n">
        <x:v>46113</x:v>
      </x:c>
      <x:c r="C263" s="12" t="str">
        <x:v>DLR-009</x:v>
      </x:c>
      <x:c r="D263" s="12" t="str">
        <x:v>VinFast HTA Đông Anh</x:v>
      </x:c>
      <x:c r="E263" s="12" t="str">
        <x:v>VinFast</x:v>
      </x:c>
      <x:c r="F263" s="12" t="str">
        <x:v>VF 9</x:v>
      </x:c>
      <x:c r="G263" s="12" t="n">
        <x:v>8</x:v>
      </x:c>
      <x:c r="H263" s="12" t="n">
        <x:v>1524.7</x:v>
      </x:c>
      <x:c r="I263" s="12" t="n">
        <x:v>12.2</x:v>
      </x:c>
      <x:c r="J263" s="16" t="n">
        <x:v>0.01743301629978023</x:v>
      </x:c>
      <x:c r="K263" s="12" t="n">
        <x:v>11.08</x:v>
      </x:c>
      <x:c r="L263" s="12" t="n">
        <x:f>I263-K263</x:f>
        <x:v>1.1199999999999992</x:v>
      </x:c>
      <x:c r="M263" s="16" t="n">
        <x:f>IFERROR(L263/I263,0)</x:f>
        <x:v>0.09180327868852453</x:v>
      </x:c>
    </x:row>
    <x:row r="264">
      <x:c r="A264" s="12" t="str">
        <x:v>SALE-00263</x:v>
      </x:c>
      <x:c r="B264" s="14" t="n">
        <x:v>46143</x:v>
      </x:c>
      <x:c r="C264" s="12" t="str">
        <x:v>DLR-009</x:v>
      </x:c>
      <x:c r="D264" s="12" t="str">
        <x:v>VinFast HTA Đông Anh</x:v>
      </x:c>
      <x:c r="E264" s="12" t="str">
        <x:v>VinFast</x:v>
      </x:c>
      <x:c r="F264" s="12" t="str">
        <x:v>VF 3</x:v>
      </x:c>
      <x:c r="G264" s="12" t="n">
        <x:v>8</x:v>
      </x:c>
      <x:c r="H264" s="12" t="n">
        <x:v>313.4</x:v>
      </x:c>
      <x:c r="I264" s="12" t="n">
        <x:v>2.51</x:v>
      </x:c>
      <x:c r="J264" s="16" t="n">
        <x:v>0.03461075416576901</x:v>
      </x:c>
      <x:c r="K264" s="12" t="n">
        <x:v>2.34</x:v>
      </x:c>
      <x:c r="L264" s="12" t="n">
        <x:f>I264-K264</x:f>
        <x:v>0.16999999999999993</x:v>
      </x:c>
      <x:c r="M264" s="16" t="n">
        <x:f>IFERROR(L264/I264,0)</x:f>
        <x:v>0.06772908366533863</x:v>
      </x:c>
    </x:row>
    <x:row r="265">
      <x:c r="A265" s="12" t="str">
        <x:v>SALE-00264</x:v>
      </x:c>
      <x:c r="B265" s="14" t="n">
        <x:v>46143</x:v>
      </x:c>
      <x:c r="C265" s="12" t="str">
        <x:v>DLR-009</x:v>
      </x:c>
      <x:c r="D265" s="12" t="str">
        <x:v>VinFast HTA Đông Anh</x:v>
      </x:c>
      <x:c r="E265" s="12" t="str">
        <x:v>VinFast</x:v>
      </x:c>
      <x:c r="F265" s="12" t="str">
        <x:v>VF 5</x:v>
      </x:c>
      <x:c r="G265" s="12" t="n">
        <x:v>6</x:v>
      </x:c>
      <x:c r="H265" s="12" t="n">
        <x:v>500.7</x:v>
      </x:c>
      <x:c r="I265" s="12" t="n">
        <x:v>3</x:v>
      </x:c>
      <x:c r="J265" s="16" t="n">
        <x:v>0.0393318969453376</x:v>
      </x:c>
      <x:c r="K265" s="12" t="n">
        <x:v>2.66</x:v>
      </x:c>
      <x:c r="L265" s="12" t="n">
        <x:f>I265-K265</x:f>
        <x:v>0.33999999999999986</x:v>
      </x:c>
      <x:c r="M265" s="16" t="n">
        <x:f>IFERROR(L265/I265,0)</x:f>
        <x:v>0.11333333333333329</x:v>
      </x:c>
    </x:row>
    <x:row r="266">
      <x:c r="A266" s="12" t="str">
        <x:v>SALE-00265</x:v>
      </x:c>
      <x:c r="B266" s="14" t="n">
        <x:v>46143</x:v>
      </x:c>
      <x:c r="C266" s="12" t="str">
        <x:v>DLR-009</x:v>
      </x:c>
      <x:c r="D266" s="12" t="str">
        <x:v>VinFast HTA Đông Anh</x:v>
      </x:c>
      <x:c r="E266" s="12" t="str">
        <x:v>VinFast</x:v>
      </x:c>
      <x:c r="F266" s="12" t="str">
        <x:v>VF 6</x:v>
      </x:c>
      <x:c r="G266" s="12" t="n">
        <x:v>7</x:v>
      </x:c>
      <x:c r="H266" s="12" t="n">
        <x:v>682.6</x:v>
      </x:c>
      <x:c r="I266" s="12" t="n">
        <x:v>4.78</x:v>
      </x:c>
      <x:c r="J266" s="16" t="n">
        <x:v>0.036934257361934425</x:v>
      </x:c>
      <x:c r="K266" s="12" t="n">
        <x:v>4.3</x:v>
      </x:c>
      <x:c r="L266" s="12" t="n">
        <x:f>I266-K266</x:f>
        <x:v>0.4800000000000004</x:v>
      </x:c>
      <x:c r="M266" s="16" t="n">
        <x:f>IFERROR(L266/I266,0)</x:f>
        <x:v>0.10041841004184109</x:v>
      </x:c>
    </x:row>
    <x:row r="267">
      <x:c r="A267" s="12" t="str">
        <x:v>SALE-00266</x:v>
      </x:c>
      <x:c r="B267" s="14" t="n">
        <x:v>46143</x:v>
      </x:c>
      <x:c r="C267" s="12" t="str">
        <x:v>DLR-009</x:v>
      </x:c>
      <x:c r="D267" s="12" t="str">
        <x:v>VinFast HTA Đông Anh</x:v>
      </x:c>
      <x:c r="E267" s="12" t="str">
        <x:v>VinFast</x:v>
      </x:c>
      <x:c r="F267" s="12" t="str">
        <x:v>VF 7</x:v>
      </x:c>
      <x:c r="G267" s="12" t="n">
        <x:v>12</x:v>
      </x:c>
      <x:c r="H267" s="12" t="n">
        <x:v>835.1</x:v>
      </x:c>
      <x:c r="I267" s="12" t="n">
        <x:v>10.02</x:v>
      </x:c>
      <x:c r="J267" s="16" t="n">
        <x:v>0.033148616703018864</x:v>
      </x:c>
      <x:c r="K267" s="12" t="n">
        <x:v>9.18</x:v>
      </x:c>
      <x:c r="L267" s="12" t="n">
        <x:f>I267-K267</x:f>
        <x:v>0.8399999999999999</x:v>
      </x:c>
      <x:c r="M267" s="16" t="n">
        <x:f>IFERROR(L267/I267,0)</x:f>
        <x:v>0.08383233532934131</x:v>
      </x:c>
    </x:row>
    <x:row r="268">
      <x:c r="A268" s="12" t="str">
        <x:v>SALE-00267</x:v>
      </x:c>
      <x:c r="B268" s="14" t="n">
        <x:v>46143</x:v>
      </x:c>
      <x:c r="C268" s="12" t="str">
        <x:v>DLR-009</x:v>
      </x:c>
      <x:c r="D268" s="12" t="str">
        <x:v>VinFast HTA Đông Anh</x:v>
      </x:c>
      <x:c r="E268" s="12" t="str">
        <x:v>VinFast</x:v>
      </x:c>
      <x:c r="F268" s="12" t="str">
        <x:v>VF 8</x:v>
      </x:c>
      <x:c r="G268" s="12" t="n">
        <x:v>6</x:v>
      </x:c>
      <x:c r="H268" s="12" t="n">
        <x:v>1015.1</x:v>
      </x:c>
      <x:c r="I268" s="12" t="n">
        <x:v>6.09</x:v>
      </x:c>
      <x:c r="J268" s="16" t="n">
        <x:v>0.049111709491823</x:v>
      </x:c>
      <x:c r="K268" s="12" t="n">
        <x:v>5.6</x:v>
      </x:c>
      <x:c r="L268" s="12" t="n">
        <x:f>I268-K268</x:f>
        <x:v>0.4900000000000002</x:v>
      </x:c>
      <x:c r="M268" s="16" t="n">
        <x:f>IFERROR(L268/I268,0)</x:f>
        <x:v>0.08045977011494257</x:v>
      </x:c>
    </x:row>
    <x:row r="269">
      <x:c r="A269" s="12" t="str">
        <x:v>SALE-00268</x:v>
      </x:c>
      <x:c r="B269" s="14" t="n">
        <x:v>46143</x:v>
      </x:c>
      <x:c r="C269" s="12" t="str">
        <x:v>DLR-009</x:v>
      </x:c>
      <x:c r="D269" s="12" t="str">
        <x:v>VinFast HTA Đông Anh</x:v>
      </x:c>
      <x:c r="E269" s="12" t="str">
        <x:v>VinFast</x:v>
      </x:c>
      <x:c r="F269" s="12" t="str">
        <x:v>VF 9</x:v>
      </x:c>
      <x:c r="G269" s="12" t="n">
        <x:v>10</x:v>
      </x:c>
      <x:c r="H269" s="12" t="n">
        <x:v>1495.5</x:v>
      </x:c>
      <x:c r="I269" s="12" t="n">
        <x:v>14.96</x:v>
      </x:c>
      <x:c r="J269" s="16" t="n">
        <x:v>0.023600922653099876</x:v>
      </x:c>
      <x:c r="K269" s="12" t="n">
        <x:v>13.57</x:v>
      </x:c>
      <x:c r="L269" s="12" t="n">
        <x:f>I269-K269</x:f>
        <x:v>1.3900000000000006</x:v>
      </x:c>
      <x:c r="M269" s="16" t="n">
        <x:f>IFERROR(L269/I269,0)</x:f>
        <x:v>0.09291443850267384</x:v>
      </x:c>
    </x:row>
    <x:row r="270">
      <x:c r="A270" s="12" t="str">
        <x:v>SALE-00269</x:v>
      </x:c>
      <x:c r="B270" s="14" t="n">
        <x:v>46174</x:v>
      </x:c>
      <x:c r="C270" s="12" t="str">
        <x:v>DLR-009</x:v>
      </x:c>
      <x:c r="D270" s="12" t="str">
        <x:v>VinFast HTA Đông Anh</x:v>
      </x:c>
      <x:c r="E270" s="12" t="str">
        <x:v>VinFast</x:v>
      </x:c>
      <x:c r="F270" s="12" t="str">
        <x:v>VF 3</x:v>
      </x:c>
      <x:c r="G270" s="12" t="n">
        <x:v>7</x:v>
      </x:c>
      <x:c r="H270" s="12" t="n">
        <x:v>304.6</x:v>
      </x:c>
      <x:c r="I270" s="12" t="n">
        <x:v>2.13</x:v>
      </x:c>
      <x:c r="J270" s="16" t="n">
        <x:v>0.03313995611629789</x:v>
      </x:c>
      <x:c r="K270" s="12" t="n">
        <x:v>1.93</x:v>
      </x:c>
      <x:c r="L270" s="12" t="n">
        <x:f>I270-K270</x:f>
        <x:v>0.19999999999999996</x:v>
      </x:c>
      <x:c r="M270" s="16" t="n">
        <x:f>IFERROR(L270/I270,0)</x:f>
        <x:v>0.09389671361502346</x:v>
      </x:c>
    </x:row>
    <x:row r="271">
      <x:c r="A271" s="12" t="str">
        <x:v>SALE-00270</x:v>
      </x:c>
      <x:c r="B271" s="14" t="n">
        <x:v>46174</x:v>
      </x:c>
      <x:c r="C271" s="12" t="str">
        <x:v>DLR-009</x:v>
      </x:c>
      <x:c r="D271" s="12" t="str">
        <x:v>VinFast HTA Đông Anh</x:v>
      </x:c>
      <x:c r="E271" s="12" t="str">
        <x:v>VinFast</x:v>
      </x:c>
      <x:c r="F271" s="12" t="str">
        <x:v>VF 5</x:v>
      </x:c>
      <x:c r="G271" s="12" t="n">
        <x:v>6</x:v>
      </x:c>
      <x:c r="H271" s="12" t="n">
        <x:v>515.3</x:v>
      </x:c>
      <x:c r="I271" s="12" t="n">
        <x:v>3.09</x:v>
      </x:c>
      <x:c r="J271" s="16" t="n">
        <x:v>0.04160431452241235</x:v>
      </x:c>
      <x:c r="K271" s="12" t="n">
        <x:v>2.79</x:v>
      </x:c>
      <x:c r="L271" s="12" t="n">
        <x:f>I271-K271</x:f>
        <x:v>0.2999999999999998</x:v>
      </x:c>
      <x:c r="M271" s="16" t="n">
        <x:f>IFERROR(L271/I271,0)</x:f>
        <x:v>0.09708737864077664</x:v>
      </x:c>
    </x:row>
    <x:row r="272">
      <x:c r="A272" s="12" t="str">
        <x:v>SALE-00271</x:v>
      </x:c>
      <x:c r="B272" s="14" t="n">
        <x:v>46174</x:v>
      </x:c>
      <x:c r="C272" s="12" t="str">
        <x:v>DLR-009</x:v>
      </x:c>
      <x:c r="D272" s="12" t="str">
        <x:v>VinFast HTA Đông Anh</x:v>
      </x:c>
      <x:c r="E272" s="12" t="str">
        <x:v>VinFast</x:v>
      </x:c>
      <x:c r="F272" s="12" t="str">
        <x:v>VF 6</x:v>
      </x:c>
      <x:c r="G272" s="12" t="n">
        <x:v>6</x:v>
      </x:c>
      <x:c r="H272" s="12" t="n">
        <x:v>698.5</x:v>
      </x:c>
      <x:c r="I272" s="12" t="n">
        <x:v>4.19</x:v>
      </x:c>
      <x:c r="J272" s="16" t="n">
        <x:v>0.01768533232546591</x:v>
      </x:c>
      <x:c r="K272" s="12" t="n">
        <x:v>3.9</x:v>
      </x:c>
      <x:c r="L272" s="12" t="n">
        <x:f>I272-K272</x:f>
        <x:v>0.2900000000000005</x:v>
      </x:c>
      <x:c r="M272" s="16" t="n">
        <x:f>IFERROR(L272/I272,0)</x:f>
        <x:v>0.06921241050119342</x:v>
      </x:c>
    </x:row>
    <x:row r="273">
      <x:c r="A273" s="12" t="str">
        <x:v>SALE-00272</x:v>
      </x:c>
      <x:c r="B273" s="14" t="n">
        <x:v>46174</x:v>
      </x:c>
      <x:c r="C273" s="12" t="str">
        <x:v>DLR-009</x:v>
      </x:c>
      <x:c r="D273" s="12" t="str">
        <x:v>VinFast HTA Đông Anh</x:v>
      </x:c>
      <x:c r="E273" s="12" t="str">
        <x:v>VinFast</x:v>
      </x:c>
      <x:c r="F273" s="12" t="str">
        <x:v>VF 7</x:v>
      </x:c>
      <x:c r="G273" s="12" t="n">
        <x:v>6</x:v>
      </x:c>
      <x:c r="H273" s="12" t="n">
        <x:v>805.6</x:v>
      </x:c>
      <x:c r="I273" s="12" t="n">
        <x:v>4.83</x:v>
      </x:c>
      <x:c r="J273" s="16" t="n">
        <x:v>0.04455183993954863</x:v>
      </x:c>
      <x:c r="K273" s="12" t="n">
        <x:v>4.49</x:v>
      </x:c>
      <x:c r="L273" s="12" t="n">
        <x:f>I273-K273</x:f>
        <x:v>0.33999999999999986</x:v>
      </x:c>
      <x:c r="M273" s="16" t="n">
        <x:f>IFERROR(L273/I273,0)</x:f>
        <x:v>0.0703933747412008</x:v>
      </x:c>
    </x:row>
    <x:row r="274">
      <x:c r="A274" s="12" t="str">
        <x:v>SALE-00273</x:v>
      </x:c>
      <x:c r="B274" s="14" t="n">
        <x:v>46174</x:v>
      </x:c>
      <x:c r="C274" s="12" t="str">
        <x:v>DLR-009</x:v>
      </x:c>
      <x:c r="D274" s="12" t="str">
        <x:v>VinFast HTA Đông Anh</x:v>
      </x:c>
      <x:c r="E274" s="12" t="str">
        <x:v>VinFast</x:v>
      </x:c>
      <x:c r="F274" s="12" t="str">
        <x:v>VF 8</x:v>
      </x:c>
      <x:c r="G274" s="12" t="n">
        <x:v>9</x:v>
      </x:c>
      <x:c r="H274" s="12" t="n">
        <x:v>1005.7</x:v>
      </x:c>
      <x:c r="I274" s="12" t="n">
        <x:v>9.05</x:v>
      </x:c>
      <x:c r="J274" s="16" t="n">
        <x:v>0.037463456559682896</x:v>
      </x:c>
      <x:c r="K274" s="12" t="n">
        <x:v>8.14</x:v>
      </x:c>
      <x:c r="L274" s="12" t="n">
        <x:f>I274-K274</x:f>
        <x:v>0.9100000000000001</x:v>
      </x:c>
      <x:c r="M274" s="16" t="n">
        <x:f>IFERROR(L274/I274,0)</x:f>
        <x:v>0.1005524861878453</x:v>
      </x:c>
    </x:row>
    <x:row r="275">
      <x:c r="A275" s="12" t="str">
        <x:v>SALE-00274</x:v>
      </x:c>
      <x:c r="B275" s="14" t="n">
        <x:v>46174</x:v>
      </x:c>
      <x:c r="C275" s="12" t="str">
        <x:v>DLR-009</x:v>
      </x:c>
      <x:c r="D275" s="12" t="str">
        <x:v>VinFast HTA Đông Anh</x:v>
      </x:c>
      <x:c r="E275" s="12" t="str">
        <x:v>VinFast</x:v>
      </x:c>
      <x:c r="F275" s="12" t="str">
        <x:v>VF 9</x:v>
      </x:c>
      <x:c r="G275" s="12" t="n">
        <x:v>6</x:v>
      </x:c>
      <x:c r="H275" s="12" t="n">
        <x:v>1451.5</x:v>
      </x:c>
      <x:c r="I275" s="12" t="n">
        <x:v>8.71</x:v>
      </x:c>
      <x:c r="J275" s="16" t="n">
        <x:v>0.041613620800116616</x:v>
      </x:c>
      <x:c r="K275" s="12" t="n">
        <x:v>8.06</x:v>
      </x:c>
      <x:c r="L275" s="12" t="n">
        <x:f>I275-K275</x:f>
        <x:v>0.6500000000000004</x:v>
      </x:c>
      <x:c r="M275" s="16" t="n">
        <x:f>IFERROR(L275/I275,0)</x:f>
        <x:v>0.07462686567164183</x:v>
      </x:c>
    </x:row>
    <x:row r="276">
      <x:c r="A276" s="12" t="str">
        <x:v>SALE-00275</x:v>
      </x:c>
      <x:c r="B276" s="14" t="n">
        <x:v>46204</x:v>
      </x:c>
      <x:c r="C276" s="12" t="str">
        <x:v>DLR-009</x:v>
      </x:c>
      <x:c r="D276" s="12" t="str">
        <x:v>VinFast HTA Đông Anh</x:v>
      </x:c>
      <x:c r="E276" s="12" t="str">
        <x:v>VinFast</x:v>
      </x:c>
      <x:c r="F276" s="12" t="str">
        <x:v>VF 3</x:v>
      </x:c>
      <x:c r="G276" s="12" t="n">
        <x:v>12</x:v>
      </x:c>
      <x:c r="H276" s="12" t="n">
        <x:v>314.3</x:v>
      </x:c>
      <x:c r="I276" s="12" t="n">
        <x:v>3.77</x:v>
      </x:c>
      <x:c r="J276" s="16" t="n">
        <x:v>0.05373594501245898</x:v>
      </x:c>
      <x:c r="K276" s="12" t="n">
        <x:v>3.45</x:v>
      </x:c>
      <x:c r="L276" s="12" t="n">
        <x:f>I276-K276</x:f>
        <x:v>0.31999999999999984</x:v>
      </x:c>
      <x:c r="M276" s="16" t="n">
        <x:f>IFERROR(L276/I276,0)</x:f>
        <x:v>0.08488063660477449</x:v>
      </x:c>
    </x:row>
    <x:row r="277">
      <x:c r="A277" s="12" t="str">
        <x:v>SALE-00276</x:v>
      </x:c>
      <x:c r="B277" s="14" t="n">
        <x:v>46204</x:v>
      </x:c>
      <x:c r="C277" s="12" t="str">
        <x:v>DLR-009</x:v>
      </x:c>
      <x:c r="D277" s="12" t="str">
        <x:v>VinFast HTA Đông Anh</x:v>
      </x:c>
      <x:c r="E277" s="12" t="str">
        <x:v>VinFast</x:v>
      </x:c>
      <x:c r="F277" s="12" t="str">
        <x:v>VF 5</x:v>
      </x:c>
      <x:c r="G277" s="12" t="n">
        <x:v>8</x:v>
      </x:c>
      <x:c r="H277" s="12" t="n">
        <x:v>521.7</x:v>
      </x:c>
      <x:c r="I277" s="12" t="n">
        <x:v>4.17</x:v>
      </x:c>
      <x:c r="J277" s="16" t="n">
        <x:v>0.023509552226880243</x:v>
      </x:c>
      <x:c r="K277" s="12" t="n">
        <x:v>3.84</x:v>
      </x:c>
      <x:c r="L277" s="12" t="n">
        <x:f>I277-K277</x:f>
        <x:v>0.33000000000000007</x:v>
      </x:c>
      <x:c r="M277" s="16" t="n">
        <x:f>IFERROR(L277/I277,0)</x:f>
        <x:v>0.07913669064748204</x:v>
      </x:c>
    </x:row>
    <x:row r="278">
      <x:c r="A278" s="12" t="str">
        <x:v>SALE-00277</x:v>
      </x:c>
      <x:c r="B278" s="14" t="n">
        <x:v>46204</x:v>
      </x:c>
      <x:c r="C278" s="12" t="str">
        <x:v>DLR-009</x:v>
      </x:c>
      <x:c r="D278" s="12" t="str">
        <x:v>VinFast HTA Đông Anh</x:v>
      </x:c>
      <x:c r="E278" s="12" t="str">
        <x:v>VinFast</x:v>
      </x:c>
      <x:c r="F278" s="12" t="str">
        <x:v>VF 6</x:v>
      </x:c>
      <x:c r="G278" s="12" t="n">
        <x:v>7</x:v>
      </x:c>
      <x:c r="H278" s="12" t="n">
        <x:v>653.6</x:v>
      </x:c>
      <x:c r="I278" s="12" t="n">
        <x:v>4.58</x:v>
      </x:c>
      <x:c r="J278" s="16" t="n">
        <x:v>0.0488149367440538</x:v>
      </x:c>
      <x:c r="K278" s="12" t="n">
        <x:v>4.13</x:v>
      </x:c>
      <x:c r="L278" s="12" t="n">
        <x:f>I278-K278</x:f>
        <x:v>0.4500000000000002</x:v>
      </x:c>
      <x:c r="M278" s="16" t="n">
        <x:f>IFERROR(L278/I278,0)</x:f>
        <x:v>0.09825327510917034</x:v>
      </x:c>
    </x:row>
    <x:row r="279">
      <x:c r="A279" s="12" t="str">
        <x:v>SALE-00278</x:v>
      </x:c>
      <x:c r="B279" s="14" t="n">
        <x:v>46204</x:v>
      </x:c>
      <x:c r="C279" s="12" t="str">
        <x:v>DLR-009</x:v>
      </x:c>
      <x:c r="D279" s="12" t="str">
        <x:v>VinFast HTA Đông Anh</x:v>
      </x:c>
      <x:c r="E279" s="12" t="str">
        <x:v>VinFast</x:v>
      </x:c>
      <x:c r="F279" s="12" t="str">
        <x:v>VF 7</x:v>
      </x:c>
      <x:c r="G279" s="12" t="n">
        <x:v>11</x:v>
      </x:c>
      <x:c r="H279" s="12" t="n">
        <x:v>838</x:v>
      </x:c>
      <x:c r="I279" s="12" t="n">
        <x:v>9.22</x:v>
      </x:c>
      <x:c r="J279" s="16" t="n">
        <x:v>0.04728885484609378</x:v>
      </x:c>
      <x:c r="K279" s="12" t="n">
        <x:v>8.58</x:v>
      </x:c>
      <x:c r="L279" s="12" t="n">
        <x:f>I279-K279</x:f>
        <x:v>0.6400000000000006</x:v>
      </x:c>
      <x:c r="M279" s="16" t="n">
        <x:f>IFERROR(L279/I279,0)</x:f>
        <x:v>0.06941431670282001</x:v>
      </x:c>
    </x:row>
    <x:row r="280">
      <x:c r="A280" s="12" t="str">
        <x:v>SALE-00279</x:v>
      </x:c>
      <x:c r="B280" s="14" t="n">
        <x:v>46204</x:v>
      </x:c>
      <x:c r="C280" s="12" t="str">
        <x:v>DLR-009</x:v>
      </x:c>
      <x:c r="D280" s="12" t="str">
        <x:v>VinFast HTA Đông Anh</x:v>
      </x:c>
      <x:c r="E280" s="12" t="str">
        <x:v>VinFast</x:v>
      </x:c>
      <x:c r="F280" s="12" t="str">
        <x:v>VF 8</x:v>
      </x:c>
      <x:c r="G280" s="12" t="n">
        <x:v>13</x:v>
      </x:c>
      <x:c r="H280" s="12" t="n">
        <x:v>1024.6</x:v>
      </x:c>
      <x:c r="I280" s="12" t="n">
        <x:v>13.32</x:v>
      </x:c>
      <x:c r="J280" s="16" t="n">
        <x:v>0.039542931221418595</x:v>
      </x:c>
      <x:c r="K280" s="12" t="n">
        <x:v>12.23</x:v>
      </x:c>
      <x:c r="L280" s="12" t="n">
        <x:f>I280-K280</x:f>
        <x:v>1.0899999999999999</x:v>
      </x:c>
      <x:c r="M280" s="16" t="n">
        <x:f>IFERROR(L280/I280,0)</x:f>
        <x:v>0.08183183183183182</x:v>
      </x:c>
    </x:row>
    <x:row r="281">
      <x:c r="A281" s="12" t="str">
        <x:v>SALE-00280</x:v>
      </x:c>
      <x:c r="B281" s="14" t="n">
        <x:v>46204</x:v>
      </x:c>
      <x:c r="C281" s="12" t="str">
        <x:v>DLR-009</x:v>
      </x:c>
      <x:c r="D281" s="12" t="str">
        <x:v>VinFast HTA Đông Anh</x:v>
      </x:c>
      <x:c r="E281" s="12" t="str">
        <x:v>VinFast</x:v>
      </x:c>
      <x:c r="F281" s="12" t="str">
        <x:v>VF 9</x:v>
      </x:c>
      <x:c r="G281" s="12" t="n">
        <x:v>6</x:v>
      </x:c>
      <x:c r="H281" s="12" t="n">
        <x:v>1520.5</x:v>
      </x:c>
      <x:c r="I281" s="12" t="n">
        <x:v>9.12</x:v>
      </x:c>
      <x:c r="J281" s="16" t="n">
        <x:v>0.04817843159838652</x:v>
      </x:c>
      <x:c r="K281" s="12" t="n">
        <x:v>8.17</x:v>
      </x:c>
      <x:c r="L281" s="12" t="n">
        <x:f>I281-K281</x:f>
        <x:v>0.9499999999999993</x:v>
      </x:c>
      <x:c r="M281" s="16" t="n">
        <x:f>IFERROR(L281/I281,0)</x:f>
        <x:v>0.1041666666666666</x:v>
      </x:c>
    </x:row>
    <x:row r="282">
      <x:c r="A282" s="12" t="str">
        <x:v>SALE-00281</x:v>
      </x:c>
      <x:c r="B282" s="14" t="n">
        <x:v>46023</x:v>
      </x:c>
      <x:c r="C282" s="12" t="str">
        <x:v>DLR-010</x:v>
      </x:c>
      <x:c r="D282" s="12" t="str">
        <x:v>VinFast HTA Đàm Quang Trung</x:v>
      </x:c>
      <x:c r="E282" s="12" t="str">
        <x:v>VinFast</x:v>
      </x:c>
      <x:c r="F282" s="12" t="str">
        <x:v>VF 3</x:v>
      </x:c>
      <x:c r="G282" s="12" t="n">
        <x:v>6</x:v>
      </x:c>
      <x:c r="H282" s="12" t="n">
        <x:v>303.9</x:v>
      </x:c>
      <x:c r="I282" s="12" t="n">
        <x:v>1.82</x:v>
      </x:c>
      <x:c r="J282" s="16" t="n">
        <x:v>0.028592986271090335</x:v>
      </x:c>
      <x:c r="K282" s="12" t="n">
        <x:v>1.61</x:v>
      </x:c>
      <x:c r="L282" s="12" t="n">
        <x:f>I282-K282</x:f>
        <x:v>0.20999999999999996</x:v>
      </x:c>
      <x:c r="M282" s="16" t="n">
        <x:f>IFERROR(L282/I282,0)</x:f>
        <x:v>0.11538461538461536</x:v>
      </x:c>
    </x:row>
    <x:row r="283">
      <x:c r="A283" s="12" t="str">
        <x:v>SALE-00282</x:v>
      </x:c>
      <x:c r="B283" s="14" t="n">
        <x:v>46023</x:v>
      </x:c>
      <x:c r="C283" s="12" t="str">
        <x:v>DLR-010</x:v>
      </x:c>
      <x:c r="D283" s="12" t="str">
        <x:v>VinFast HTA Đàm Quang Trung</x:v>
      </x:c>
      <x:c r="E283" s="12" t="str">
        <x:v>VinFast</x:v>
      </x:c>
      <x:c r="F283" s="12" t="str">
        <x:v>VF 5</x:v>
      </x:c>
      <x:c r="G283" s="12" t="n">
        <x:v>7</x:v>
      </x:c>
      <x:c r="H283" s="12" t="n">
        <x:v>521.2</x:v>
      </x:c>
      <x:c r="I283" s="12" t="n">
        <x:v>3.65</x:v>
      </x:c>
      <x:c r="J283" s="16" t="n">
        <x:v>0.03103137375998062</x:v>
      </x:c>
      <x:c r="K283" s="12" t="n">
        <x:v>3.24</x:v>
      </x:c>
      <x:c r="L283" s="12" t="n">
        <x:f>I283-K283</x:f>
        <x:v>0.4099999999999997</x:v>
      </x:c>
      <x:c r="M283" s="16" t="n">
        <x:f>IFERROR(L283/I283,0)</x:f>
        <x:v>0.11232876712328758</x:v>
      </x:c>
    </x:row>
    <x:row r="284">
      <x:c r="A284" s="12" t="str">
        <x:v>SALE-00283</x:v>
      </x:c>
      <x:c r="B284" s="14" t="n">
        <x:v>46023</x:v>
      </x:c>
      <x:c r="C284" s="12" t="str">
        <x:v>DLR-010</x:v>
      </x:c>
      <x:c r="D284" s="12" t="str">
        <x:v>VinFast HTA Đàm Quang Trung</x:v>
      </x:c>
      <x:c r="E284" s="12" t="str">
        <x:v>VinFast</x:v>
      </x:c>
      <x:c r="F284" s="12" t="str">
        <x:v>VF 6</x:v>
      </x:c>
      <x:c r="G284" s="12" t="n">
        <x:v>6</x:v>
      </x:c>
      <x:c r="H284" s="12" t="n">
        <x:v>649.3</x:v>
      </x:c>
      <x:c r="I284" s="12" t="n">
        <x:v>3.9</x:v>
      </x:c>
      <x:c r="J284" s="16" t="n">
        <x:v>0.04484447048022827</x:v>
      </x:c>
      <x:c r="K284" s="12" t="n">
        <x:v>3.48</x:v>
      </x:c>
      <x:c r="L284" s="12" t="n">
        <x:f>I284-K284</x:f>
        <x:v>0.41999999999999993</x:v>
      </x:c>
      <x:c r="M284" s="16" t="n">
        <x:f>IFERROR(L284/I284,0)</x:f>
        <x:v>0.10769230769230767</x:v>
      </x:c>
    </x:row>
    <x:row r="285">
      <x:c r="A285" s="12" t="str">
        <x:v>SALE-00284</x:v>
      </x:c>
      <x:c r="B285" s="14" t="n">
        <x:v>46023</x:v>
      </x:c>
      <x:c r="C285" s="12" t="str">
        <x:v>DLR-010</x:v>
      </x:c>
      <x:c r="D285" s="12" t="str">
        <x:v>VinFast HTA Đàm Quang Trung</x:v>
      </x:c>
      <x:c r="E285" s="12" t="str">
        <x:v>VinFast</x:v>
      </x:c>
      <x:c r="F285" s="12" t="str">
        <x:v>VF 7</x:v>
      </x:c>
      <x:c r="G285" s="12" t="n">
        <x:v>5</x:v>
      </x:c>
      <x:c r="H285" s="12" t="n">
        <x:v>822.2</x:v>
      </x:c>
      <x:c r="I285" s="12" t="n">
        <x:v>4.11</x:v>
      </x:c>
      <x:c r="J285" s="16" t="n">
        <x:v>0.029802123699080155</x:v>
      </x:c>
      <x:c r="K285" s="12" t="n">
        <x:v>3.8</x:v>
      </x:c>
      <x:c r="L285" s="12" t="n">
        <x:f>I285-K285</x:f>
        <x:v>0.3100000000000005</x:v>
      </x:c>
      <x:c r="M285" s="16" t="n">
        <x:f>IFERROR(L285/I285,0)</x:f>
        <x:v>0.07542579075425802</x:v>
      </x:c>
    </x:row>
    <x:row r="286">
      <x:c r="A286" s="12" t="str">
        <x:v>SALE-00285</x:v>
      </x:c>
      <x:c r="B286" s="14" t="n">
        <x:v>46023</x:v>
      </x:c>
      <x:c r="C286" s="12" t="str">
        <x:v>DLR-010</x:v>
      </x:c>
      <x:c r="D286" s="12" t="str">
        <x:v>VinFast HTA Đàm Quang Trung</x:v>
      </x:c>
      <x:c r="E286" s="12" t="str">
        <x:v>VinFast</x:v>
      </x:c>
      <x:c r="F286" s="12" t="str">
        <x:v>VF 8</x:v>
      </x:c>
      <x:c r="G286" s="12" t="n">
        <x:v>6</x:v>
      </x:c>
      <x:c r="H286" s="12" t="n">
        <x:v>1004.1</x:v>
      </x:c>
      <x:c r="I286" s="12" t="n">
        <x:v>6.02</x:v>
      </x:c>
      <x:c r="J286" s="16" t="n">
        <x:v>0.01839828159908717</x:v>
      </x:c>
      <x:c r="K286" s="12" t="n">
        <x:v>5.32</x:v>
      </x:c>
      <x:c r="L286" s="12" t="n">
        <x:f>I286-K286</x:f>
        <x:v>0.6999999999999993</x:v>
      </x:c>
      <x:c r="M286" s="16" t="n">
        <x:f>IFERROR(L286/I286,0)</x:f>
        <x:v>0.11627906976744175</x:v>
      </x:c>
    </x:row>
    <x:row r="287">
      <x:c r="A287" s="12" t="str">
        <x:v>SALE-00286</x:v>
      </x:c>
      <x:c r="B287" s="14" t="n">
        <x:v>46023</x:v>
      </x:c>
      <x:c r="C287" s="12" t="str">
        <x:v>DLR-010</x:v>
      </x:c>
      <x:c r="D287" s="12" t="str">
        <x:v>VinFast HTA Đàm Quang Trung</x:v>
      </x:c>
      <x:c r="E287" s="12" t="str">
        <x:v>VinFast</x:v>
      </x:c>
      <x:c r="F287" s="12" t="str">
        <x:v>VF 9</x:v>
      </x:c>
      <x:c r="G287" s="12" t="n">
        <x:v>4</x:v>
      </x:c>
      <x:c r="H287" s="12" t="n">
        <x:v>1483.2</x:v>
      </x:c>
      <x:c r="I287" s="12" t="n">
        <x:v>5.93</x:v>
      </x:c>
      <x:c r="J287" s="16" t="n">
        <x:v>0.04195874842452452</x:v>
      </x:c>
      <x:c r="K287" s="12" t="n">
        <x:v>5.32</x:v>
      </x:c>
      <x:c r="L287" s="12" t="n">
        <x:f>I287-K287</x:f>
        <x:v>0.6099999999999994</x:v>
      </x:c>
      <x:c r="M287" s="16" t="n">
        <x:f>IFERROR(L287/I287,0)</x:f>
        <x:v>0.10286677908937596</x:v>
      </x:c>
    </x:row>
    <x:row r="288">
      <x:c r="A288" s="12" t="str">
        <x:v>SALE-00287</x:v>
      </x:c>
      <x:c r="B288" s="14" t="n">
        <x:v>46054</x:v>
      </x:c>
      <x:c r="C288" s="12" t="str">
        <x:v>DLR-010</x:v>
      </x:c>
      <x:c r="D288" s="12" t="str">
        <x:v>VinFast HTA Đàm Quang Trung</x:v>
      </x:c>
      <x:c r="E288" s="12" t="str">
        <x:v>VinFast</x:v>
      </x:c>
      <x:c r="F288" s="12" t="str">
        <x:v>VF 3</x:v>
      </x:c>
      <x:c r="G288" s="12" t="n">
        <x:v>6</x:v>
      </x:c>
      <x:c r="H288" s="12" t="n">
        <x:v>308.3</x:v>
      </x:c>
      <x:c r="I288" s="12" t="n">
        <x:v>1.85</x:v>
      </x:c>
      <x:c r="J288" s="16" t="n">
        <x:v>0.03268176746791117</x:v>
      </x:c>
      <x:c r="K288" s="12" t="n">
        <x:v>1.66</x:v>
      </x:c>
      <x:c r="L288" s="12" t="n">
        <x:f>I288-K288</x:f>
        <x:v>0.19000000000000017</x:v>
      </x:c>
      <x:c r="M288" s="16" t="n">
        <x:f>IFERROR(L288/I288,0)</x:f>
        <x:v>0.10270270270270279</x:v>
      </x:c>
    </x:row>
    <x:row r="289">
      <x:c r="A289" s="12" t="str">
        <x:v>SALE-00288</x:v>
      </x:c>
      <x:c r="B289" s="14" t="n">
        <x:v>46054</x:v>
      </x:c>
      <x:c r="C289" s="12" t="str">
        <x:v>DLR-010</x:v>
      </x:c>
      <x:c r="D289" s="12" t="str">
        <x:v>VinFast HTA Đàm Quang Trung</x:v>
      </x:c>
      <x:c r="E289" s="12" t="str">
        <x:v>VinFast</x:v>
      </x:c>
      <x:c r="F289" s="12" t="str">
        <x:v>VF 5</x:v>
      </x:c>
      <x:c r="G289" s="12" t="n">
        <x:v>6</x:v>
      </x:c>
      <x:c r="H289" s="12" t="n">
        <x:v>502.1</x:v>
      </x:c>
      <x:c r="I289" s="12" t="n">
        <x:v>3.01</x:v>
      </x:c>
      <x:c r="J289" s="16" t="n">
        <x:v>0.032196545335915615</x:v>
      </x:c>
      <x:c r="K289" s="12" t="n">
        <x:v>2.7</x:v>
      </x:c>
      <x:c r="L289" s="12" t="n">
        <x:f>I289-K289</x:f>
        <x:v>0.3099999999999996</x:v>
      </x:c>
      <x:c r="M289" s="16" t="n">
        <x:f>IFERROR(L289/I289,0)</x:f>
        <x:v>0.10299003322259125</x:v>
      </x:c>
    </x:row>
    <x:row r="290">
      <x:c r="A290" s="12" t="str">
        <x:v>SALE-00289</x:v>
      </x:c>
      <x:c r="B290" s="14" t="n">
        <x:v>46054</x:v>
      </x:c>
      <x:c r="C290" s="12" t="str">
        <x:v>DLR-010</x:v>
      </x:c>
      <x:c r="D290" s="12" t="str">
        <x:v>VinFast HTA Đàm Quang Trung</x:v>
      </x:c>
      <x:c r="E290" s="12" t="str">
        <x:v>VinFast</x:v>
      </x:c>
      <x:c r="F290" s="12" t="str">
        <x:v>VF 6</x:v>
      </x:c>
      <x:c r="G290" s="12" t="n">
        <x:v>6</x:v>
      </x:c>
      <x:c r="H290" s="12" t="n">
        <x:v>674.5</x:v>
      </x:c>
      <x:c r="I290" s="12" t="n">
        <x:v>4.05</x:v>
      </x:c>
      <x:c r="J290" s="16" t="n">
        <x:v>0.04168530234945399</x:v>
      </x:c>
      <x:c r="K290" s="12" t="n">
        <x:v>3.57</x:v>
      </x:c>
      <x:c r="L290" s="12" t="n">
        <x:f>I290-K290</x:f>
        <x:v>0.48</x:v>
      </x:c>
      <x:c r="M290" s="16" t="n">
        <x:f>IFERROR(L290/I290,0)</x:f>
        <x:v>0.11851851851851852</x:v>
      </x:c>
    </x:row>
    <x:row r="291">
      <x:c r="A291" s="12" t="str">
        <x:v>SALE-00290</x:v>
      </x:c>
      <x:c r="B291" s="14" t="n">
        <x:v>46054</x:v>
      </x:c>
      <x:c r="C291" s="12" t="str">
        <x:v>DLR-010</x:v>
      </x:c>
      <x:c r="D291" s="12" t="str">
        <x:v>VinFast HTA Đàm Quang Trung</x:v>
      </x:c>
      <x:c r="E291" s="12" t="str">
        <x:v>VinFast</x:v>
      </x:c>
      <x:c r="F291" s="12" t="str">
        <x:v>VF 7</x:v>
      </x:c>
      <x:c r="G291" s="12" t="n">
        <x:v>5</x:v>
      </x:c>
      <x:c r="H291" s="12" t="n">
        <x:v>839.8</x:v>
      </x:c>
      <x:c r="I291" s="12" t="n">
        <x:v>4.2</x:v>
      </x:c>
      <x:c r="J291" s="16" t="n">
        <x:v>0.015307483435995315</x:v>
      </x:c>
      <x:c r="K291" s="12" t="n">
        <x:v>3.77</x:v>
      </x:c>
      <x:c r="L291" s="12" t="n">
        <x:f>I291-K291</x:f>
        <x:v>0.43000000000000016</x:v>
      </x:c>
      <x:c r="M291" s="16" t="n">
        <x:f>IFERROR(L291/I291,0)</x:f>
        <x:v>0.10238095238095242</x:v>
      </x:c>
    </x:row>
    <x:row r="292">
      <x:c r="A292" s="12" t="str">
        <x:v>SALE-00291</x:v>
      </x:c>
      <x:c r="B292" s="14" t="n">
        <x:v>46054</x:v>
      </x:c>
      <x:c r="C292" s="12" t="str">
        <x:v>DLR-010</x:v>
      </x:c>
      <x:c r="D292" s="12" t="str">
        <x:v>VinFast HTA Đàm Quang Trung</x:v>
      </x:c>
      <x:c r="E292" s="12" t="str">
        <x:v>VinFast</x:v>
      </x:c>
      <x:c r="F292" s="12" t="str">
        <x:v>VF 8</x:v>
      </x:c>
      <x:c r="G292" s="12" t="n">
        <x:v>4</x:v>
      </x:c>
      <x:c r="H292" s="12" t="n">
        <x:v>969</x:v>
      </x:c>
      <x:c r="I292" s="12" t="n">
        <x:v>3.88</x:v>
      </x:c>
      <x:c r="J292" s="16" t="n">
        <x:v>0.025220780160858373</x:v>
      </x:c>
      <x:c r="K292" s="12" t="n">
        <x:v>3.49</x:v>
      </x:c>
      <x:c r="L292" s="12" t="n">
        <x:f>I292-K292</x:f>
        <x:v>0.3899999999999997</x:v>
      </x:c>
      <x:c r="M292" s="16" t="n">
        <x:f>IFERROR(L292/I292,0)</x:f>
        <x:v>0.1005154639175257</x:v>
      </x:c>
    </x:row>
    <x:row r="293">
      <x:c r="A293" s="12" t="str">
        <x:v>SALE-00292</x:v>
      </x:c>
      <x:c r="B293" s="14" t="n">
        <x:v>46054</x:v>
      </x:c>
      <x:c r="C293" s="12" t="str">
        <x:v>DLR-010</x:v>
      </x:c>
      <x:c r="D293" s="12" t="str">
        <x:v>VinFast HTA Đàm Quang Trung</x:v>
      </x:c>
      <x:c r="E293" s="12" t="str">
        <x:v>VinFast</x:v>
      </x:c>
      <x:c r="F293" s="12" t="str">
        <x:v>VF 9</x:v>
      </x:c>
      <x:c r="G293" s="12" t="n">
        <x:v>3</x:v>
      </x:c>
      <x:c r="H293" s="12" t="n">
        <x:v>1498.6</x:v>
      </x:c>
      <x:c r="I293" s="12" t="n">
        <x:v>4.5</x:v>
      </x:c>
      <x:c r="J293" s="16" t="n">
        <x:v>0.022027792075033692</x:v>
      </x:c>
      <x:c r="K293" s="12" t="n">
        <x:v>4.06</x:v>
      </x:c>
      <x:c r="L293" s="12" t="n">
        <x:f>I293-K293</x:f>
        <x:v>0.4400000000000004</x:v>
      </x:c>
      <x:c r="M293" s="16" t="n">
        <x:f>IFERROR(L293/I293,0)</x:f>
        <x:v>0.09777777777777787</x:v>
      </x:c>
    </x:row>
    <x:row r="294">
      <x:c r="A294" s="12" t="str">
        <x:v>SALE-00293</x:v>
      </x:c>
      <x:c r="B294" s="14" t="n">
        <x:v>46082</x:v>
      </x:c>
      <x:c r="C294" s="12" t="str">
        <x:v>DLR-010</x:v>
      </x:c>
      <x:c r="D294" s="12" t="str">
        <x:v>VinFast HTA Đàm Quang Trung</x:v>
      </x:c>
      <x:c r="E294" s="12" t="str">
        <x:v>VinFast</x:v>
      </x:c>
      <x:c r="F294" s="12" t="str">
        <x:v>VF 3</x:v>
      </x:c>
      <x:c r="G294" s="12" t="n">
        <x:v>6</x:v>
      </x:c>
      <x:c r="H294" s="12" t="n">
        <x:v>308.7</x:v>
      </x:c>
      <x:c r="I294" s="12" t="n">
        <x:v>1.85</x:v>
      </x:c>
      <x:c r="J294" s="16" t="n">
        <x:v>0.04833416809679513</x:v>
      </x:c>
      <x:c r="K294" s="12" t="n">
        <x:v>1.72</x:v>
      </x:c>
      <x:c r="L294" s="12" t="n">
        <x:f>I294-K294</x:f>
        <x:v>0.13000000000000012</x:v>
      </x:c>
      <x:c r="M294" s="16" t="n">
        <x:f>IFERROR(L294/I294,0)</x:f>
        <x:v>0.07027027027027033</x:v>
      </x:c>
    </x:row>
    <x:row r="295">
      <x:c r="A295" s="12" t="str">
        <x:v>SALE-00294</x:v>
      </x:c>
      <x:c r="B295" s="14" t="n">
        <x:v>46082</x:v>
      </x:c>
      <x:c r="C295" s="12" t="str">
        <x:v>DLR-010</x:v>
      </x:c>
      <x:c r="D295" s="12" t="str">
        <x:v>VinFast HTA Đàm Quang Trung</x:v>
      </x:c>
      <x:c r="E295" s="12" t="str">
        <x:v>VinFast</x:v>
      </x:c>
      <x:c r="F295" s="12" t="str">
        <x:v>VF 5</x:v>
      </x:c>
      <x:c r="G295" s="12" t="n">
        <x:v>4</x:v>
      </x:c>
      <x:c r="H295" s="12" t="n">
        <x:v>533.7</x:v>
      </x:c>
      <x:c r="I295" s="12" t="n">
        <x:v>2.13</x:v>
      </x:c>
      <x:c r="J295" s="16" t="n">
        <x:v>0.016692090462511654</x:v>
      </x:c>
      <x:c r="K295" s="12" t="n">
        <x:v>1.88</x:v>
      </x:c>
      <x:c r="L295" s="12" t="n">
        <x:f>I295-K295</x:f>
        <x:v>0.25</x:v>
      </x:c>
      <x:c r="M295" s="16" t="n">
        <x:f>IFERROR(L295/I295,0)</x:f>
        <x:v>0.11737089201877934</x:v>
      </x:c>
    </x:row>
    <x:row r="296">
      <x:c r="A296" s="12" t="str">
        <x:v>SALE-00295</x:v>
      </x:c>
      <x:c r="B296" s="14" t="n">
        <x:v>46082</x:v>
      </x:c>
      <x:c r="C296" s="12" t="str">
        <x:v>DLR-010</x:v>
      </x:c>
      <x:c r="D296" s="12" t="str">
        <x:v>VinFast HTA Đàm Quang Trung</x:v>
      </x:c>
      <x:c r="E296" s="12" t="str">
        <x:v>VinFast</x:v>
      </x:c>
      <x:c r="F296" s="12" t="str">
        <x:v>VF 6</x:v>
      </x:c>
      <x:c r="G296" s="12" t="n">
        <x:v>7</x:v>
      </x:c>
      <x:c r="H296" s="12" t="n">
        <x:v>695.2</x:v>
      </x:c>
      <x:c r="I296" s="12" t="n">
        <x:v>4.87</x:v>
      </x:c>
      <x:c r="J296" s="16" t="n">
        <x:v>0.038030366429473245</x:v>
      </x:c>
      <x:c r="K296" s="12" t="n">
        <x:v>4.45</x:v>
      </x:c>
      <x:c r="L296" s="12" t="n">
        <x:f>I296-K296</x:f>
        <x:v>0.41999999999999993</x:v>
      </x:c>
      <x:c r="M296" s="16" t="n">
        <x:f>IFERROR(L296/I296,0)</x:f>
        <x:v>0.08624229979466118</x:v>
      </x:c>
    </x:row>
    <x:row r="297">
      <x:c r="A297" s="12" t="str">
        <x:v>SALE-00296</x:v>
      </x:c>
      <x:c r="B297" s="14" t="n">
        <x:v>46082</x:v>
      </x:c>
      <x:c r="C297" s="12" t="str">
        <x:v>DLR-010</x:v>
      </x:c>
      <x:c r="D297" s="12" t="str">
        <x:v>VinFast HTA Đàm Quang Trung</x:v>
      </x:c>
      <x:c r="E297" s="12" t="str">
        <x:v>VinFast</x:v>
      </x:c>
      <x:c r="F297" s="12" t="str">
        <x:v>VF 7</x:v>
      </x:c>
      <x:c r="G297" s="12" t="n">
        <x:v>6</x:v>
      </x:c>
      <x:c r="H297" s="12" t="n">
        <x:v>827.4</x:v>
      </x:c>
      <x:c r="I297" s="12" t="n">
        <x:v>4.96</x:v>
      </x:c>
      <x:c r="J297" s="16" t="n">
        <x:v>0.01960693490655193</x:v>
      </x:c>
      <x:c r="K297" s="12" t="n">
        <x:v>4.37</x:v>
      </x:c>
      <x:c r="L297" s="12" t="n">
        <x:f>I297-K297</x:f>
        <x:v>0.5899999999999999</x:v>
      </x:c>
      <x:c r="M297" s="16" t="n">
        <x:f>IFERROR(L297/I297,0)</x:f>
        <x:v>0.11895161290322578</x:v>
      </x:c>
    </x:row>
    <x:row r="298">
      <x:c r="A298" s="12" t="str">
        <x:v>SALE-00297</x:v>
      </x:c>
      <x:c r="B298" s="14" t="n">
        <x:v>46082</x:v>
      </x:c>
      <x:c r="C298" s="12" t="str">
        <x:v>DLR-010</x:v>
      </x:c>
      <x:c r="D298" s="12" t="str">
        <x:v>VinFast HTA Đàm Quang Trung</x:v>
      </x:c>
      <x:c r="E298" s="12" t="str">
        <x:v>VinFast</x:v>
      </x:c>
      <x:c r="F298" s="12" t="str">
        <x:v>VF 8</x:v>
      </x:c>
      <x:c r="G298" s="12" t="n">
        <x:v>5</x:v>
      </x:c>
      <x:c r="H298" s="12" t="n">
        <x:v>1023.2</x:v>
      </x:c>
      <x:c r="I298" s="12" t="n">
        <x:v>5.12</x:v>
      </x:c>
      <x:c r="J298" s="16" t="n">
        <x:v>0.039725010532169605</x:v>
      </x:c>
      <x:c r="K298" s="12" t="n">
        <x:v>4.76</x:v>
      </x:c>
      <x:c r="L298" s="12" t="n">
        <x:f>I298-K298</x:f>
        <x:v>0.3600000000000003</x:v>
      </x:c>
      <x:c r="M298" s="16" t="n">
        <x:f>IFERROR(L298/I298,0)</x:f>
        <x:v>0.07031250000000006</x:v>
      </x:c>
    </x:row>
    <x:row r="299">
      <x:c r="A299" s="12" t="str">
        <x:v>SALE-00298</x:v>
      </x:c>
      <x:c r="B299" s="14" t="n">
        <x:v>46082</x:v>
      </x:c>
      <x:c r="C299" s="12" t="str">
        <x:v>DLR-010</x:v>
      </x:c>
      <x:c r="D299" s="12" t="str">
        <x:v>VinFast HTA Đàm Quang Trung</x:v>
      </x:c>
      <x:c r="E299" s="12" t="str">
        <x:v>VinFast</x:v>
      </x:c>
      <x:c r="F299" s="12" t="str">
        <x:v>VF 9</x:v>
      </x:c>
      <x:c r="G299" s="12" t="n">
        <x:v>7</x:v>
      </x:c>
      <x:c r="H299" s="12" t="n">
        <x:v>1419.6</x:v>
      </x:c>
      <x:c r="I299" s="12" t="n">
        <x:v>9.94</x:v>
      </x:c>
      <x:c r="J299" s="16" t="n">
        <x:v>0.04877937439258788</x:v>
      </x:c>
      <x:c r="K299" s="12" t="n">
        <x:v>8.89</x:v>
      </x:c>
      <x:c r="L299" s="12" t="n">
        <x:f>I299-K299</x:f>
        <x:v>1.049999999999999</x:v>
      </x:c>
      <x:c r="M299" s="16" t="n">
        <x:f>IFERROR(L299/I299,0)</x:f>
        <x:v>0.10563380281690131</x:v>
      </x:c>
    </x:row>
    <x:row r="300">
      <x:c r="A300" s="12" t="str">
        <x:v>SALE-00299</x:v>
      </x:c>
      <x:c r="B300" s="14" t="n">
        <x:v>46113</x:v>
      </x:c>
      <x:c r="C300" s="12" t="str">
        <x:v>DLR-010</x:v>
      </x:c>
      <x:c r="D300" s="12" t="str">
        <x:v>VinFast HTA Đàm Quang Trung</x:v>
      </x:c>
      <x:c r="E300" s="12" t="str">
        <x:v>VinFast</x:v>
      </x:c>
      <x:c r="F300" s="12" t="str">
        <x:v>VF 3</x:v>
      </x:c>
      <x:c r="G300" s="12" t="n">
        <x:v>6</x:v>
      </x:c>
      <x:c r="H300" s="12" t="n">
        <x:v>309.3</x:v>
      </x:c>
      <x:c r="I300" s="12" t="n">
        <x:v>1.86</x:v>
      </x:c>
      <x:c r="J300" s="16" t="n">
        <x:v>0.03083066787437332</x:v>
      </x:c>
      <x:c r="K300" s="12" t="n">
        <x:v>1.67</x:v>
      </x:c>
      <x:c r="L300" s="12" t="n">
        <x:f>I300-K300</x:f>
        <x:v>0.19000000000000017</x:v>
      </x:c>
      <x:c r="M300" s="16" t="n">
        <x:f>IFERROR(L300/I300,0)</x:f>
        <x:v>0.10215053763440869</x:v>
      </x:c>
    </x:row>
    <x:row r="301">
      <x:c r="A301" s="12" t="str">
        <x:v>SALE-00300</x:v>
      </x:c>
      <x:c r="B301" s="14" t="n">
        <x:v>46113</x:v>
      </x:c>
      <x:c r="C301" s="12" t="str">
        <x:v>DLR-010</x:v>
      </x:c>
      <x:c r="D301" s="12" t="str">
        <x:v>VinFast HTA Đàm Quang Trung</x:v>
      </x:c>
      <x:c r="E301" s="12" t="str">
        <x:v>VinFast</x:v>
      </x:c>
      <x:c r="F301" s="12" t="str">
        <x:v>VF 5</x:v>
      </x:c>
      <x:c r="G301" s="12" t="n">
        <x:v>5</x:v>
      </x:c>
      <x:c r="H301" s="12" t="n">
        <x:v>511.4</x:v>
      </x:c>
      <x:c r="I301" s="12" t="n">
        <x:v>2.56</x:v>
      </x:c>
      <x:c r="J301" s="16" t="n">
        <x:v>0.021725308321827463</x:v>
      </x:c>
      <x:c r="K301" s="12" t="n">
        <x:v>2.33</x:v>
      </x:c>
      <x:c r="L301" s="12" t="n">
        <x:f>I301-K301</x:f>
        <x:v>0.22999999999999998</x:v>
      </x:c>
      <x:c r="M301" s="16" t="n">
        <x:f>IFERROR(L301/I301,0)</x:f>
        <x:v>0.08984374999999999</x:v>
      </x:c>
    </x:row>
    <x:row r="302">
      <x:c r="A302" s="12" t="str">
        <x:v>SALE-00301</x:v>
      </x:c>
      <x:c r="B302" s="14" t="n">
        <x:v>46113</x:v>
      </x:c>
      <x:c r="C302" s="12" t="str">
        <x:v>DLR-010</x:v>
      </x:c>
      <x:c r="D302" s="12" t="str">
        <x:v>VinFast HTA Đàm Quang Trung</x:v>
      </x:c>
      <x:c r="E302" s="12" t="str">
        <x:v>VinFast</x:v>
      </x:c>
      <x:c r="F302" s="12" t="str">
        <x:v>VF 6</x:v>
      </x:c>
      <x:c r="G302" s="12" t="n">
        <x:v>4</x:v>
      </x:c>
      <x:c r="H302" s="12" t="n">
        <x:v>675.8</x:v>
      </x:c>
      <x:c r="I302" s="12" t="n">
        <x:v>2.7</x:v>
      </x:c>
      <x:c r="J302" s="16" t="n">
        <x:v>0.05123690926320202</x:v>
      </x:c>
      <x:c r="K302" s="12" t="n">
        <x:v>2.44</x:v>
      </x:c>
      <x:c r="L302" s="12" t="n">
        <x:f>I302-K302</x:f>
        <x:v>0.26000000000000023</x:v>
      </x:c>
      <x:c r="M302" s="16" t="n">
        <x:f>IFERROR(L302/I302,0)</x:f>
        <x:v>0.09629629629629638</x:v>
      </x:c>
    </x:row>
    <x:row r="303">
      <x:c r="A303" s="12" t="str">
        <x:v>SALE-00302</x:v>
      </x:c>
      <x:c r="B303" s="14" t="n">
        <x:v>46113</x:v>
      </x:c>
      <x:c r="C303" s="12" t="str">
        <x:v>DLR-010</x:v>
      </x:c>
      <x:c r="D303" s="12" t="str">
        <x:v>VinFast HTA Đàm Quang Trung</x:v>
      </x:c>
      <x:c r="E303" s="12" t="str">
        <x:v>VinFast</x:v>
      </x:c>
      <x:c r="F303" s="12" t="str">
        <x:v>VF 7</x:v>
      </x:c>
      <x:c r="G303" s="12" t="n">
        <x:v>7</x:v>
      </x:c>
      <x:c r="H303" s="12" t="n">
        <x:v>854.7</x:v>
      </x:c>
      <x:c r="I303" s="12" t="n">
        <x:v>5.98</x:v>
      </x:c>
      <x:c r="J303" s="16" t="n">
        <x:v>0.04760148023000057</x:v>
      </x:c>
      <x:c r="K303" s="12" t="n">
        <x:v>5.35</x:v>
      </x:c>
      <x:c r="L303" s="12" t="n">
        <x:f>I303-K303</x:f>
        <x:v>0.6300000000000008</x:v>
      </x:c>
      <x:c r="M303" s="16" t="n">
        <x:f>IFERROR(L303/I303,0)</x:f>
        <x:v>0.105351170568562</x:v>
      </x:c>
    </x:row>
    <x:row r="304">
      <x:c r="A304" s="12" t="str">
        <x:v>SALE-00303</x:v>
      </x:c>
      <x:c r="B304" s="14" t="n">
        <x:v>46113</x:v>
      </x:c>
      <x:c r="C304" s="12" t="str">
        <x:v>DLR-010</x:v>
      </x:c>
      <x:c r="D304" s="12" t="str">
        <x:v>VinFast HTA Đàm Quang Trung</x:v>
      </x:c>
      <x:c r="E304" s="12" t="str">
        <x:v>VinFast</x:v>
      </x:c>
      <x:c r="F304" s="12" t="str">
        <x:v>VF 8</x:v>
      </x:c>
      <x:c r="G304" s="12" t="n">
        <x:v>4</x:v>
      </x:c>
      <x:c r="H304" s="12" t="n">
        <x:v>973.9</x:v>
      </x:c>
      <x:c r="I304" s="12" t="n">
        <x:v>3.9</x:v>
      </x:c>
      <x:c r="J304" s="16" t="n">
        <x:v>0.03909595941092663</x:v>
      </x:c>
      <x:c r="K304" s="12" t="n">
        <x:v>3.61</x:v>
      </x:c>
      <x:c r="L304" s="12" t="n">
        <x:f>I304-K304</x:f>
        <x:v>0.29000000000000004</x:v>
      </x:c>
      <x:c r="M304" s="16" t="n">
        <x:f>IFERROR(L304/I304,0)</x:f>
        <x:v>0.07435897435897437</x:v>
      </x:c>
    </x:row>
    <x:row r="305">
      <x:c r="A305" s="12" t="str">
        <x:v>SALE-00304</x:v>
      </x:c>
      <x:c r="B305" s="14" t="n">
        <x:v>46113</x:v>
      </x:c>
      <x:c r="C305" s="12" t="str">
        <x:v>DLR-010</x:v>
      </x:c>
      <x:c r="D305" s="12" t="str">
        <x:v>VinFast HTA Đàm Quang Trung</x:v>
      </x:c>
      <x:c r="E305" s="12" t="str">
        <x:v>VinFast</x:v>
      </x:c>
      <x:c r="F305" s="12" t="str">
        <x:v>VF 9</x:v>
      </x:c>
      <x:c r="G305" s="12" t="n">
        <x:v>6</x:v>
      </x:c>
      <x:c r="H305" s="12" t="n">
        <x:v>1430.3</x:v>
      </x:c>
      <x:c r="I305" s="12" t="n">
        <x:v>8.58</x:v>
      </x:c>
      <x:c r="J305" s="16" t="n">
        <x:v>0.04591392356990241</x:v>
      </x:c>
      <x:c r="K305" s="12" t="n">
        <x:v>7.81</x:v>
      </x:c>
      <x:c r="L305" s="12" t="n">
        <x:f>I305-K305</x:f>
        <x:v>0.7700000000000005</x:v>
      </x:c>
      <x:c r="M305" s="16" t="n">
        <x:f>IFERROR(L305/I305,0)</x:f>
        <x:v>0.0897435897435898</x:v>
      </x:c>
    </x:row>
    <x:row r="306">
      <x:c r="A306" s="12" t="str">
        <x:v>SALE-00305</x:v>
      </x:c>
      <x:c r="B306" s="14" t="n">
        <x:v>46143</x:v>
      </x:c>
      <x:c r="C306" s="12" t="str">
        <x:v>DLR-010</x:v>
      </x:c>
      <x:c r="D306" s="12" t="str">
        <x:v>VinFast HTA Đàm Quang Trung</x:v>
      </x:c>
      <x:c r="E306" s="12" t="str">
        <x:v>VinFast</x:v>
      </x:c>
      <x:c r="F306" s="12" t="str">
        <x:v>VF 3</x:v>
      </x:c>
      <x:c r="G306" s="12" t="n">
        <x:v>7</x:v>
      </x:c>
      <x:c r="H306" s="12" t="n">
        <x:v>315.2</x:v>
      </x:c>
      <x:c r="I306" s="12" t="n">
        <x:v>2.21</x:v>
      </x:c>
      <x:c r="J306" s="16" t="n">
        <x:v>0.03295621027980252</x:v>
      </x:c>
      <x:c r="K306" s="12" t="n">
        <x:v>2.06</x:v>
      </x:c>
      <x:c r="L306" s="12" t="n">
        <x:f>I306-K306</x:f>
        <x:v>0.1499999999999999</x:v>
      </x:c>
      <x:c r="M306" s="16" t="n">
        <x:f>IFERROR(L306/I306,0)</x:f>
        <x:v>0.06787330316742078</x:v>
      </x:c>
    </x:row>
    <x:row r="307">
      <x:c r="A307" s="12" t="str">
        <x:v>SALE-00306</x:v>
      </x:c>
      <x:c r="B307" s="14" t="n">
        <x:v>46143</x:v>
      </x:c>
      <x:c r="C307" s="12" t="str">
        <x:v>DLR-010</x:v>
      </x:c>
      <x:c r="D307" s="12" t="str">
        <x:v>VinFast HTA Đàm Quang Trung</x:v>
      </x:c>
      <x:c r="E307" s="12" t="str">
        <x:v>VinFast</x:v>
      </x:c>
      <x:c r="F307" s="12" t="str">
        <x:v>VF 5</x:v>
      </x:c>
      <x:c r="G307" s="12" t="n">
        <x:v>6</x:v>
      </x:c>
      <x:c r="H307" s="12" t="n">
        <x:v>524.1</x:v>
      </x:c>
      <x:c r="I307" s="12" t="n">
        <x:v>3.14</x:v>
      </x:c>
      <x:c r="J307" s="16" t="n">
        <x:v>0.03998087117767579</x:v>
      </x:c>
      <x:c r="K307" s="12" t="n">
        <x:v>2.93</x:v>
      </x:c>
      <x:c r="L307" s="12" t="n">
        <x:f>I307-K307</x:f>
        <x:v>0.20999999999999996</x:v>
      </x:c>
      <x:c r="M307" s="16" t="n">
        <x:f>IFERROR(L307/I307,0)</x:f>
        <x:v>0.06687898089171973</x:v>
      </x:c>
    </x:row>
    <x:row r="308">
      <x:c r="A308" s="12" t="str">
        <x:v>SALE-00307</x:v>
      </x:c>
      <x:c r="B308" s="14" t="n">
        <x:v>46143</x:v>
      </x:c>
      <x:c r="C308" s="12" t="str">
        <x:v>DLR-010</x:v>
      </x:c>
      <x:c r="D308" s="12" t="str">
        <x:v>VinFast HTA Đàm Quang Trung</x:v>
      </x:c>
      <x:c r="E308" s="12" t="str">
        <x:v>VinFast</x:v>
      </x:c>
      <x:c r="F308" s="12" t="str">
        <x:v>VF 6</x:v>
      </x:c>
      <x:c r="G308" s="12" t="n">
        <x:v>7</x:v>
      </x:c>
      <x:c r="H308" s="12" t="n">
        <x:v>656</x:v>
      </x:c>
      <x:c r="I308" s="12" t="n">
        <x:v>4.59</x:v>
      </x:c>
      <x:c r="J308" s="16" t="n">
        <x:v>0.017731450339830243</x:v>
      </x:c>
      <x:c r="K308" s="12" t="n">
        <x:v>4.16</x:v>
      </x:c>
      <x:c r="L308" s="12" t="n">
        <x:f>I308-K308</x:f>
        <x:v>0.4299999999999997</x:v>
      </x:c>
      <x:c r="M308" s="16" t="n">
        <x:f>IFERROR(L308/I308,0)</x:f>
        <x:v>0.09368191721132892</x:v>
      </x:c>
    </x:row>
    <x:row r="309">
      <x:c r="A309" s="12" t="str">
        <x:v>SALE-00308</x:v>
      </x:c>
      <x:c r="B309" s="14" t="n">
        <x:v>46143</x:v>
      </x:c>
      <x:c r="C309" s="12" t="str">
        <x:v>DLR-010</x:v>
      </x:c>
      <x:c r="D309" s="12" t="str">
        <x:v>VinFast HTA Đàm Quang Trung</x:v>
      </x:c>
      <x:c r="E309" s="12" t="str">
        <x:v>VinFast</x:v>
      </x:c>
      <x:c r="F309" s="12" t="str">
        <x:v>VF 7</x:v>
      </x:c>
      <x:c r="G309" s="12" t="n">
        <x:v>5</x:v>
      </x:c>
      <x:c r="H309" s="12" t="n">
        <x:v>817.7</x:v>
      </x:c>
      <x:c r="I309" s="12" t="n">
        <x:v>4.09</x:v>
      </x:c>
      <x:c r="J309" s="16" t="n">
        <x:v>0.01724688480852312</x:v>
      </x:c>
      <x:c r="K309" s="12" t="n">
        <x:v>3.72</x:v>
      </x:c>
      <x:c r="L309" s="12" t="n">
        <x:f>I309-K309</x:f>
        <x:v>0.36999999999999966</x:v>
      </x:c>
      <x:c r="M309" s="16" t="n">
        <x:f>IFERROR(L309/I309,0)</x:f>
        <x:v>0.09046454767726153</x:v>
      </x:c>
    </x:row>
    <x:row r="310">
      <x:c r="A310" s="12" t="str">
        <x:v>SALE-00309</x:v>
      </x:c>
      <x:c r="B310" s="14" t="n">
        <x:v>46143</x:v>
      </x:c>
      <x:c r="C310" s="12" t="str">
        <x:v>DLR-010</x:v>
      </x:c>
      <x:c r="D310" s="12" t="str">
        <x:v>VinFast HTA Đàm Quang Trung</x:v>
      </x:c>
      <x:c r="E310" s="12" t="str">
        <x:v>VinFast</x:v>
      </x:c>
      <x:c r="F310" s="12" t="str">
        <x:v>VF 8</x:v>
      </x:c>
      <x:c r="G310" s="12" t="n">
        <x:v>5</x:v>
      </x:c>
      <x:c r="H310" s="12" t="n">
        <x:v>994.7</x:v>
      </x:c>
      <x:c r="I310" s="12" t="n">
        <x:v>4.97</x:v>
      </x:c>
      <x:c r="J310" s="16" t="n">
        <x:v>0.017275602033358095</x:v>
      </x:c>
      <x:c r="K310" s="12" t="n">
        <x:v>4.62</x:v>
      </x:c>
      <x:c r="L310" s="12" t="n">
        <x:f>I310-K310</x:f>
        <x:v>0.34999999999999964</x:v>
      </x:c>
      <x:c r="M310" s="16" t="n">
        <x:f>IFERROR(L310/I310,0)</x:f>
        <x:v>0.07042253521126754</x:v>
      </x:c>
    </x:row>
    <x:row r="311">
      <x:c r="A311" s="12" t="str">
        <x:v>SALE-00310</x:v>
      </x:c>
      <x:c r="B311" s="14" t="n">
        <x:v>46143</x:v>
      </x:c>
      <x:c r="C311" s="12" t="str">
        <x:v>DLR-010</x:v>
      </x:c>
      <x:c r="D311" s="12" t="str">
        <x:v>VinFast HTA Đàm Quang Trung</x:v>
      </x:c>
      <x:c r="E311" s="12" t="str">
        <x:v>VinFast</x:v>
      </x:c>
      <x:c r="F311" s="12" t="str">
        <x:v>VF 9</x:v>
      </x:c>
      <x:c r="G311" s="12" t="n">
        <x:v>4</x:v>
      </x:c>
      <x:c r="H311" s="12" t="n">
        <x:v>1512.7</x:v>
      </x:c>
      <x:c r="I311" s="12" t="n">
        <x:v>6.05</x:v>
      </x:c>
      <x:c r="J311" s="16" t="n">
        <x:v>0.049211734858243615</x:v>
      </x:c>
      <x:c r="K311" s="12" t="n">
        <x:v>5.55</x:v>
      </x:c>
      <x:c r="L311" s="12" t="n">
        <x:f>I311-K311</x:f>
        <x:v>0.5</x:v>
      </x:c>
      <x:c r="M311" s="16" t="n">
        <x:f>IFERROR(L311/I311,0)</x:f>
        <x:v>0.08264462809917356</x:v>
      </x:c>
    </x:row>
    <x:row r="312">
      <x:c r="A312" s="12" t="str">
        <x:v>SALE-00311</x:v>
      </x:c>
      <x:c r="B312" s="14" t="n">
        <x:v>46174</x:v>
      </x:c>
      <x:c r="C312" s="12" t="str">
        <x:v>DLR-010</x:v>
      </x:c>
      <x:c r="D312" s="12" t="str">
        <x:v>VinFast HTA Đàm Quang Trung</x:v>
      </x:c>
      <x:c r="E312" s="12" t="str">
        <x:v>VinFast</x:v>
      </x:c>
      <x:c r="F312" s="12" t="str">
        <x:v>VF 3</x:v>
      </x:c>
      <x:c r="G312" s="12" t="n">
        <x:v>6</x:v>
      </x:c>
      <x:c r="H312" s="12" t="n">
        <x:v>307.8</x:v>
      </x:c>
      <x:c r="I312" s="12" t="n">
        <x:v>1.85</x:v>
      </x:c>
      <x:c r="J312" s="16" t="n">
        <x:v>0.03717265485353216</x:v>
      </x:c>
      <x:c r="K312" s="12" t="n">
        <x:v>1.71</x:v>
      </x:c>
      <x:c r="L312" s="12" t="n">
        <x:f>I312-K312</x:f>
        <x:v>0.14000000000000012</x:v>
      </x:c>
      <x:c r="M312" s="16" t="n">
        <x:f>IFERROR(L312/I312,0)</x:f>
        <x:v>0.07567567567567574</x:v>
      </x:c>
    </x:row>
    <x:row r="313">
      <x:c r="A313" s="12" t="str">
        <x:v>SALE-00312</x:v>
      </x:c>
      <x:c r="B313" s="14" t="n">
        <x:v>46174</x:v>
      </x:c>
      <x:c r="C313" s="12" t="str">
        <x:v>DLR-010</x:v>
      </x:c>
      <x:c r="D313" s="12" t="str">
        <x:v>VinFast HTA Đàm Quang Trung</x:v>
      </x:c>
      <x:c r="E313" s="12" t="str">
        <x:v>VinFast</x:v>
      </x:c>
      <x:c r="F313" s="12" t="str">
        <x:v>VF 5</x:v>
      </x:c>
      <x:c r="G313" s="12" t="n">
        <x:v>8</x:v>
      </x:c>
      <x:c r="H313" s="12" t="n">
        <x:v>516.3</x:v>
      </x:c>
      <x:c r="I313" s="12" t="n">
        <x:v>4.13</x:v>
      </x:c>
      <x:c r="J313" s="16" t="n">
        <x:v>0.047392636707918843</x:v>
      </x:c>
      <x:c r="K313" s="12" t="n">
        <x:v>3.8</x:v>
      </x:c>
      <x:c r="L313" s="12" t="n">
        <x:f>I313-K313</x:f>
        <x:v>0.33000000000000007</x:v>
      </x:c>
      <x:c r="M313" s="16" t="n">
        <x:f>IFERROR(L313/I313,0)</x:f>
        <x:v>0.07990314769975788</x:v>
      </x:c>
    </x:row>
    <x:row r="314">
      <x:c r="A314" s="12" t="str">
        <x:v>SALE-00313</x:v>
      </x:c>
      <x:c r="B314" s="14" t="n">
        <x:v>46174</x:v>
      </x:c>
      <x:c r="C314" s="12" t="str">
        <x:v>DLR-010</x:v>
      </x:c>
      <x:c r="D314" s="12" t="str">
        <x:v>VinFast HTA Đàm Quang Trung</x:v>
      </x:c>
      <x:c r="E314" s="12" t="str">
        <x:v>VinFast</x:v>
      </x:c>
      <x:c r="F314" s="12" t="str">
        <x:v>VF 6</x:v>
      </x:c>
      <x:c r="G314" s="12" t="n">
        <x:v>5</x:v>
      </x:c>
      <x:c r="H314" s="12" t="n">
        <x:v>673.9</x:v>
      </x:c>
      <x:c r="I314" s="12" t="n">
        <x:v>3.37</x:v>
      </x:c>
      <x:c r="J314" s="16" t="n">
        <x:v>0.02103444306782554</x:v>
      </x:c>
      <x:c r="K314" s="12" t="n">
        <x:v>2.98</x:v>
      </x:c>
      <x:c r="L314" s="12" t="n">
        <x:f>I314-K314</x:f>
        <x:v>0.3900000000000001</x:v>
      </x:c>
      <x:c r="M314" s="16" t="n">
        <x:f>IFERROR(L314/I314,0)</x:f>
        <x:v>0.11572700296735908</x:v>
      </x:c>
    </x:row>
    <x:row r="315">
      <x:c r="A315" s="12" t="str">
        <x:v>SALE-00314</x:v>
      </x:c>
      <x:c r="B315" s="14" t="n">
        <x:v>46174</x:v>
      </x:c>
      <x:c r="C315" s="12" t="str">
        <x:v>DLR-010</x:v>
      </x:c>
      <x:c r="D315" s="12" t="str">
        <x:v>VinFast HTA Đàm Quang Trung</x:v>
      </x:c>
      <x:c r="E315" s="12" t="str">
        <x:v>VinFast</x:v>
      </x:c>
      <x:c r="F315" s="12" t="str">
        <x:v>VF 7</x:v>
      </x:c>
      <x:c r="G315" s="12" t="n">
        <x:v>4</x:v>
      </x:c>
      <x:c r="H315" s="12" t="n">
        <x:v>860.1</x:v>
      </x:c>
      <x:c r="I315" s="12" t="n">
        <x:v>3.44</x:v>
      </x:c>
      <x:c r="J315" s="16" t="n">
        <x:v>0.028737511033530706</x:v>
      </x:c>
      <x:c r="K315" s="12" t="n">
        <x:v>3.18</x:v>
      </x:c>
      <x:c r="L315" s="12" t="n">
        <x:f>I315-K315</x:f>
        <x:v>0.2599999999999998</x:v>
      </x:c>
      <x:c r="M315" s="16" t="n">
        <x:f>IFERROR(L315/I315,0)</x:f>
        <x:v>0.07558139534883715</x:v>
      </x:c>
    </x:row>
    <x:row r="316">
      <x:c r="A316" s="12" t="str">
        <x:v>SALE-00315</x:v>
      </x:c>
      <x:c r="B316" s="14" t="n">
        <x:v>46174</x:v>
      </x:c>
      <x:c r="C316" s="12" t="str">
        <x:v>DLR-010</x:v>
      </x:c>
      <x:c r="D316" s="12" t="str">
        <x:v>VinFast HTA Đàm Quang Trung</x:v>
      </x:c>
      <x:c r="E316" s="12" t="str">
        <x:v>VinFast</x:v>
      </x:c>
      <x:c r="F316" s="12" t="str">
        <x:v>VF 8</x:v>
      </x:c>
      <x:c r="G316" s="12" t="n">
        <x:v>6</x:v>
      </x:c>
      <x:c r="H316" s="12" t="n">
        <x:v>971.9</x:v>
      </x:c>
      <x:c r="I316" s="12" t="n">
        <x:v>5.83</x:v>
      </x:c>
      <x:c r="J316" s="16" t="n">
        <x:v>0.02490974894393137</x:v>
      </x:c>
      <x:c r="K316" s="12" t="n">
        <x:v>5.28</x:v>
      </x:c>
      <x:c r="L316" s="12" t="n">
        <x:f>I316-K316</x:f>
        <x:v>0.5499999999999998</x:v>
      </x:c>
      <x:c r="M316" s="16" t="n">
        <x:f>IFERROR(L316/I316,0)</x:f>
        <x:v>0.0943396226415094</x:v>
      </x:c>
    </x:row>
    <x:row r="317">
      <x:c r="A317" s="12" t="str">
        <x:v>SALE-00316</x:v>
      </x:c>
      <x:c r="B317" s="14" t="n">
        <x:v>46174</x:v>
      </x:c>
      <x:c r="C317" s="12" t="str">
        <x:v>DLR-010</x:v>
      </x:c>
      <x:c r="D317" s="12" t="str">
        <x:v>VinFast HTA Đàm Quang Trung</x:v>
      </x:c>
      <x:c r="E317" s="12" t="str">
        <x:v>VinFast</x:v>
      </x:c>
      <x:c r="F317" s="12" t="str">
        <x:v>VF 9</x:v>
      </x:c>
      <x:c r="G317" s="12" t="n">
        <x:v>6</x:v>
      </x:c>
      <x:c r="H317" s="12" t="n">
        <x:v>1471.7</x:v>
      </x:c>
      <x:c r="I317" s="12" t="n">
        <x:v>8.83</x:v>
      </x:c>
      <x:c r="J317" s="16" t="n">
        <x:v>0.021349848319261656</x:v>
      </x:c>
      <x:c r="K317" s="12" t="n">
        <x:v>7.97</x:v>
      </x:c>
      <x:c r="L317" s="12" t="n">
        <x:f>I317-K317</x:f>
        <x:v>0.8600000000000003</x:v>
      </x:c>
      <x:c r="M317" s="16" t="n">
        <x:f>IFERROR(L317/I317,0)</x:f>
        <x:v>0.09739524348810875</x:v>
      </x:c>
    </x:row>
    <x:row r="318">
      <x:c r="A318" s="12" t="str">
        <x:v>SALE-00317</x:v>
      </x:c>
      <x:c r="B318" s="14" t="n">
        <x:v>46204</x:v>
      </x:c>
      <x:c r="C318" s="12" t="str">
        <x:v>DLR-010</x:v>
      </x:c>
      <x:c r="D318" s="12" t="str">
        <x:v>VinFast HTA Đàm Quang Trung</x:v>
      </x:c>
      <x:c r="E318" s="12" t="str">
        <x:v>VinFast</x:v>
      </x:c>
      <x:c r="F318" s="12" t="str">
        <x:v>VF 3</x:v>
      </x:c>
      <x:c r="G318" s="12" t="n">
        <x:v>5</x:v>
      </x:c>
      <x:c r="H318" s="12" t="n">
        <x:v>306.4</x:v>
      </x:c>
      <x:c r="I318" s="12" t="n">
        <x:v>1.53</x:v>
      </x:c>
      <x:c r="J318" s="16" t="n">
        <x:v>0.028534685873656783</x:v>
      </x:c>
      <x:c r="K318" s="12" t="n">
        <x:v>1.4</x:v>
      </x:c>
      <x:c r="L318" s="12" t="n">
        <x:f>I318-K318</x:f>
        <x:v>0.13000000000000012</x:v>
      </x:c>
      <x:c r="M318" s="16" t="n">
        <x:f>IFERROR(L318/I318,0)</x:f>
        <x:v>0.08496732026143798</x:v>
      </x:c>
    </x:row>
    <x:row r="319">
      <x:c r="A319" s="12" t="str">
        <x:v>SALE-00318</x:v>
      </x:c>
      <x:c r="B319" s="14" t="n">
        <x:v>46204</x:v>
      </x:c>
      <x:c r="C319" s="12" t="str">
        <x:v>DLR-010</x:v>
      </x:c>
      <x:c r="D319" s="12" t="str">
        <x:v>VinFast HTA Đàm Quang Trung</x:v>
      </x:c>
      <x:c r="E319" s="12" t="str">
        <x:v>VinFast</x:v>
      </x:c>
      <x:c r="F319" s="12" t="str">
        <x:v>VF 5</x:v>
      </x:c>
      <x:c r="G319" s="12" t="n">
        <x:v>8</x:v>
      </x:c>
      <x:c r="H319" s="12" t="n">
        <x:v>524.7</x:v>
      </x:c>
      <x:c r="I319" s="12" t="n">
        <x:v>4.2</x:v>
      </x:c>
      <x:c r="J319" s="16" t="n">
        <x:v>0.017636474171188698</x:v>
      </x:c>
      <x:c r="K319" s="12" t="n">
        <x:v>3.72</x:v>
      </x:c>
      <x:c r="L319" s="12" t="n">
        <x:f>I319-K319</x:f>
        <x:v>0.48</x:v>
      </x:c>
      <x:c r="M319" s="16" t="n">
        <x:f>IFERROR(L319/I319,0)</x:f>
        <x:v>0.11428571428571428</x:v>
      </x:c>
    </x:row>
    <x:row r="320">
      <x:c r="A320" s="12" t="str">
        <x:v>SALE-00319</x:v>
      </x:c>
      <x:c r="B320" s="14" t="n">
        <x:v>46204</x:v>
      </x:c>
      <x:c r="C320" s="12" t="str">
        <x:v>DLR-010</x:v>
      </x:c>
      <x:c r="D320" s="12" t="str">
        <x:v>VinFast HTA Đàm Quang Trung</x:v>
      </x:c>
      <x:c r="E320" s="12" t="str">
        <x:v>VinFast</x:v>
      </x:c>
      <x:c r="F320" s="12" t="str">
        <x:v>VF 6</x:v>
      </x:c>
      <x:c r="G320" s="12" t="n">
        <x:v>7</x:v>
      </x:c>
      <x:c r="H320" s="12" t="n">
        <x:v>663.3</x:v>
      </x:c>
      <x:c r="I320" s="12" t="n">
        <x:v>4.64</x:v>
      </x:c>
      <x:c r="J320" s="16" t="n">
        <x:v>0.04394934620009847</x:v>
      </x:c>
      <x:c r="K320" s="12" t="n">
        <x:v>4.27</x:v>
      </x:c>
      <x:c r="L320" s="12" t="n">
        <x:f>I320-K320</x:f>
        <x:v>0.3700000000000001</x:v>
      </x:c>
      <x:c r="M320" s="16" t="n">
        <x:f>IFERROR(L320/I320,0)</x:f>
        <x:v>0.07974137931034486</x:v>
      </x:c>
    </x:row>
    <x:row r="321">
      <x:c r="A321" s="12" t="str">
        <x:v>SALE-00320</x:v>
      </x:c>
      <x:c r="B321" s="14" t="n">
        <x:v>46204</x:v>
      </x:c>
      <x:c r="C321" s="12" t="str">
        <x:v>DLR-010</x:v>
      </x:c>
      <x:c r="D321" s="12" t="str">
        <x:v>VinFast HTA Đàm Quang Trung</x:v>
      </x:c>
      <x:c r="E321" s="12" t="str">
        <x:v>VinFast</x:v>
      </x:c>
      <x:c r="F321" s="12" t="str">
        <x:v>VF 7</x:v>
      </x:c>
      <x:c r="G321" s="12" t="n">
        <x:v>8</x:v>
      </x:c>
      <x:c r="H321" s="12" t="n">
        <x:v>858.4</x:v>
      </x:c>
      <x:c r="I321" s="12" t="n">
        <x:v>6.87</x:v>
      </x:c>
      <x:c r="J321" s="16" t="n">
        <x:v>0.028334481442422264</x:v>
      </x:c>
      <x:c r="K321" s="12" t="n">
        <x:v>6.28</x:v>
      </x:c>
      <x:c r="L321" s="12" t="n">
        <x:f>I321-K321</x:f>
        <x:v>0.5899999999999999</x:v>
      </x:c>
      <x:c r="M321" s="16" t="n">
        <x:f>IFERROR(L321/I321,0)</x:f>
        <x:v>0.08588064046579329</x:v>
      </x:c>
    </x:row>
    <x:row r="322">
      <x:c r="A322" s="12" t="str">
        <x:v>SALE-00321</x:v>
      </x:c>
      <x:c r="B322" s="14" t="n">
        <x:v>46204</x:v>
      </x:c>
      <x:c r="C322" s="12" t="str">
        <x:v>DLR-010</x:v>
      </x:c>
      <x:c r="D322" s="12" t="str">
        <x:v>VinFast HTA Đàm Quang Trung</x:v>
      </x:c>
      <x:c r="E322" s="12" t="str">
        <x:v>VinFast</x:v>
      </x:c>
      <x:c r="F322" s="12" t="str">
        <x:v>VF 8</x:v>
      </x:c>
      <x:c r="G322" s="12" t="n">
        <x:v>5</x:v>
      </x:c>
      <x:c r="H322" s="12" t="n">
        <x:v>986.4</x:v>
      </x:c>
      <x:c r="I322" s="12" t="n">
        <x:v>4.93</x:v>
      </x:c>
      <x:c r="J322" s="16" t="n">
        <x:v>0.053707860307709784</x:v>
      </x:c>
      <x:c r="K322" s="12" t="n">
        <x:v>4.55</x:v>
      </x:c>
      <x:c r="L322" s="12" t="n">
        <x:f>I322-K322</x:f>
        <x:v>0.3799999999999999</x:v>
      </x:c>
      <x:c r="M322" s="16" t="n">
        <x:f>IFERROR(L322/I322,0)</x:f>
        <x:v>0.07707910750507098</x:v>
      </x:c>
    </x:row>
    <x:row r="323">
      <x:c r="A323" s="12" t="str">
        <x:v>SALE-00322</x:v>
      </x:c>
      <x:c r="B323" s="14" t="n">
        <x:v>46204</x:v>
      </x:c>
      <x:c r="C323" s="12" t="str">
        <x:v>DLR-010</x:v>
      </x:c>
      <x:c r="D323" s="12" t="str">
        <x:v>VinFast HTA Đàm Quang Trung</x:v>
      </x:c>
      <x:c r="E323" s="12" t="str">
        <x:v>VinFast</x:v>
      </x:c>
      <x:c r="F323" s="12" t="str">
        <x:v>VF 9</x:v>
      </x:c>
      <x:c r="G323" s="12" t="n">
        <x:v>6</x:v>
      </x:c>
      <x:c r="H323" s="12" t="n">
        <x:v>1480.4</x:v>
      </x:c>
      <x:c r="I323" s="12" t="n">
        <x:v>8.88</x:v>
      </x:c>
      <x:c r="J323" s="16" t="n">
        <x:v>0.052520087982630435</x:v>
      </x:c>
      <x:c r="K323" s="12" t="n">
        <x:v>7.98</x:v>
      </x:c>
      <x:c r="L323" s="12" t="n">
        <x:f>I323-K323</x:f>
        <x:v>0.9000000000000004</x:v>
      </x:c>
      <x:c r="M323" s="16" t="n">
        <x:f>IFERROR(L323/I323,0)</x:f>
        <x:v>0.10135135135135138</x:v>
      </x:c>
    </x:row>
    <x:row r="324">
      <x:c r="A324" s="12" t="str">
        <x:v>SALE-00323</x:v>
      </x:c>
      <x:c r="B324" s="14" t="n">
        <x:v>46023</x:v>
      </x:c>
      <x:c r="C324" s="12" t="str">
        <x:v>DLR-011</x:v>
      </x:c>
      <x:c r="D324" s="12" t="str">
        <x:v>VinFast HTA Phạm Văn Đồng</x:v>
      </x:c>
      <x:c r="E324" s="12" t="str">
        <x:v>VinFast</x:v>
      </x:c>
      <x:c r="F324" s="12" t="str">
        <x:v>VF 3</x:v>
      </x:c>
      <x:c r="G324" s="12" t="n">
        <x:v>7</x:v>
      </x:c>
      <x:c r="H324" s="12" t="n">
        <x:v>316.6</x:v>
      </x:c>
      <x:c r="I324" s="12" t="n">
        <x:v>2.22</x:v>
      </x:c>
      <x:c r="J324" s="16" t="n">
        <x:v>0.0418046559997889</x:v>
      </x:c>
      <x:c r="K324" s="12" t="n">
        <x:v>2.06</x:v>
      </x:c>
      <x:c r="L324" s="12" t="n">
        <x:f>I324-K324</x:f>
        <x:v>0.16000000000000014</x:v>
      </x:c>
      <x:c r="M324" s="16" t="n">
        <x:f>IFERROR(L324/I324,0)</x:f>
        <x:v>0.07207207207207213</x:v>
      </x:c>
    </x:row>
    <x:row r="325">
      <x:c r="A325" s="12" t="str">
        <x:v>SALE-00324</x:v>
      </x:c>
      <x:c r="B325" s="14" t="n">
        <x:v>46023</x:v>
      </x:c>
      <x:c r="C325" s="12" t="str">
        <x:v>DLR-011</x:v>
      </x:c>
      <x:c r="D325" s="12" t="str">
        <x:v>VinFast HTA Phạm Văn Đồng</x:v>
      </x:c>
      <x:c r="E325" s="12" t="str">
        <x:v>VinFast</x:v>
      </x:c>
      <x:c r="F325" s="12" t="str">
        <x:v>VF 5</x:v>
      </x:c>
      <x:c r="G325" s="12" t="n">
        <x:v>7</x:v>
      </x:c>
      <x:c r="H325" s="12" t="n">
        <x:v>526.3</x:v>
      </x:c>
      <x:c r="I325" s="12" t="n">
        <x:v>3.68</x:v>
      </x:c>
      <x:c r="J325" s="16" t="n">
        <x:v>0.036055733589366964</x:v>
      </x:c>
      <x:c r="K325" s="12" t="n">
        <x:v>3.38</x:v>
      </x:c>
      <x:c r="L325" s="12" t="n">
        <x:f>I325-K325</x:f>
        <x:v>0.30000000000000027</x:v>
      </x:c>
      <x:c r="M325" s="16" t="n">
        <x:f>IFERROR(L325/I325,0)</x:f>
        <x:v>0.08152173913043485</x:v>
      </x:c>
    </x:row>
    <x:row r="326">
      <x:c r="A326" s="12" t="str">
        <x:v>SALE-00325</x:v>
      </x:c>
      <x:c r="B326" s="14" t="n">
        <x:v>46023</x:v>
      </x:c>
      <x:c r="C326" s="12" t="str">
        <x:v>DLR-011</x:v>
      </x:c>
      <x:c r="D326" s="12" t="str">
        <x:v>VinFast HTA Phạm Văn Đồng</x:v>
      </x:c>
      <x:c r="E326" s="12" t="str">
        <x:v>VinFast</x:v>
      </x:c>
      <x:c r="F326" s="12" t="str">
        <x:v>VF 6</x:v>
      </x:c>
      <x:c r="G326" s="12" t="n">
        <x:v>6</x:v>
      </x:c>
      <x:c r="H326" s="12" t="n">
        <x:v>667.6</x:v>
      </x:c>
      <x:c r="I326" s="12" t="n">
        <x:v>4.01</x:v>
      </x:c>
      <x:c r="J326" s="16" t="n">
        <x:v>0.029503906759281773</x:v>
      </x:c>
      <x:c r="K326" s="12" t="n">
        <x:v>3.57</x:v>
      </x:c>
      <x:c r="L326" s="12" t="n">
        <x:f>I326-K326</x:f>
        <x:v>0.43999999999999995</x:v>
      </x:c>
      <x:c r="M326" s="16" t="n">
        <x:f>IFERROR(L326/I326,0)</x:f>
        <x:v>0.10972568578553615</x:v>
      </x:c>
    </x:row>
    <x:row r="327">
      <x:c r="A327" s="12" t="str">
        <x:v>SALE-00326</x:v>
      </x:c>
      <x:c r="B327" s="14" t="n">
        <x:v>46023</x:v>
      </x:c>
      <x:c r="C327" s="12" t="str">
        <x:v>DLR-011</x:v>
      </x:c>
      <x:c r="D327" s="12" t="str">
        <x:v>VinFast HTA Phạm Văn Đồng</x:v>
      </x:c>
      <x:c r="E327" s="12" t="str">
        <x:v>VinFast</x:v>
      </x:c>
      <x:c r="F327" s="12" t="str">
        <x:v>VF 7</x:v>
      </x:c>
      <x:c r="G327" s="12" t="n">
        <x:v>5</x:v>
      </x:c>
      <x:c r="H327" s="12" t="n">
        <x:v>863.4</x:v>
      </x:c>
      <x:c r="I327" s="12" t="n">
        <x:v>4.32</x:v>
      </x:c>
      <x:c r="J327" s="16" t="n">
        <x:v>0.03445083683490909</x:v>
      </x:c>
      <x:c r="K327" s="12" t="n">
        <x:v>3.86</x:v>
      </x:c>
      <x:c r="L327" s="12" t="n">
        <x:f>I327-K327</x:f>
        <x:v>0.4600000000000004</x:v>
      </x:c>
      <x:c r="M327" s="16" t="n">
        <x:f>IFERROR(L327/I327,0)</x:f>
        <x:v>0.10648148148148157</x:v>
      </x:c>
    </x:row>
    <x:row r="328">
      <x:c r="A328" s="12" t="str">
        <x:v>SALE-00327</x:v>
      </x:c>
      <x:c r="B328" s="14" t="n">
        <x:v>46023</x:v>
      </x:c>
      <x:c r="C328" s="12" t="str">
        <x:v>DLR-011</x:v>
      </x:c>
      <x:c r="D328" s="12" t="str">
        <x:v>VinFast HTA Phạm Văn Đồng</x:v>
      </x:c>
      <x:c r="E328" s="12" t="str">
        <x:v>VinFast</x:v>
      </x:c>
      <x:c r="F328" s="12" t="str">
        <x:v>VF 8</x:v>
      </x:c>
      <x:c r="G328" s="12" t="n">
        <x:v>4</x:v>
      </x:c>
      <x:c r="H328" s="12" t="n">
        <x:v>964.2</x:v>
      </x:c>
      <x:c r="I328" s="12" t="n">
        <x:v>3.86</x:v>
      </x:c>
      <x:c r="J328" s="16" t="n">
        <x:v>0.04877713554743533</x:v>
      </x:c>
      <x:c r="K328" s="12" t="n">
        <x:v>3.42</x:v>
      </x:c>
      <x:c r="L328" s="12" t="n">
        <x:f>I328-K328</x:f>
        <x:v>0.43999999999999995</x:v>
      </x:c>
      <x:c r="M328" s="16" t="n">
        <x:f>IFERROR(L328/I328,0)</x:f>
        <x:v>0.11398963730569947</x:v>
      </x:c>
    </x:row>
    <x:row r="329">
      <x:c r="A329" s="12" t="str">
        <x:v>SALE-00328</x:v>
      </x:c>
      <x:c r="B329" s="14" t="n">
        <x:v>46023</x:v>
      </x:c>
      <x:c r="C329" s="12" t="str">
        <x:v>DLR-011</x:v>
      </x:c>
      <x:c r="D329" s="12" t="str">
        <x:v>VinFast HTA Phạm Văn Đồng</x:v>
      </x:c>
      <x:c r="E329" s="12" t="str">
        <x:v>VinFast</x:v>
      </x:c>
      <x:c r="F329" s="12" t="str">
        <x:v>VF 9</x:v>
      </x:c>
      <x:c r="G329" s="12" t="n">
        <x:v>7</x:v>
      </x:c>
      <x:c r="H329" s="12" t="n">
        <x:v>1509.2</x:v>
      </x:c>
      <x:c r="I329" s="12" t="n">
        <x:v>10.56</x:v>
      </x:c>
      <x:c r="J329" s="16" t="n">
        <x:v>0.05034728661970247</x:v>
      </x:c>
      <x:c r="K329" s="12" t="n">
        <x:v>9.32</x:v>
      </x:c>
      <x:c r="L329" s="12" t="n">
        <x:f>I329-K329</x:f>
        <x:v>1.2400000000000002</x:v>
      </x:c>
      <x:c r="M329" s="16" t="n">
        <x:f>IFERROR(L329/I329,0)</x:f>
        <x:v>0.11742424242424244</x:v>
      </x:c>
    </x:row>
    <x:row r="330">
      <x:c r="A330" s="12" t="str">
        <x:v>SALE-00329</x:v>
      </x:c>
      <x:c r="B330" s="14" t="n">
        <x:v>46054</x:v>
      </x:c>
      <x:c r="C330" s="12" t="str">
        <x:v>DLR-011</x:v>
      </x:c>
      <x:c r="D330" s="12" t="str">
        <x:v>VinFast HTA Phạm Văn Đồng</x:v>
      </x:c>
      <x:c r="E330" s="12" t="str">
        <x:v>VinFast</x:v>
      </x:c>
      <x:c r="F330" s="12" t="str">
        <x:v>VF 3</x:v>
      </x:c>
      <x:c r="G330" s="12" t="n">
        <x:v>5</x:v>
      </x:c>
      <x:c r="H330" s="12" t="n">
        <x:v>315.4</x:v>
      </x:c>
      <x:c r="I330" s="12" t="n">
        <x:v>1.58</x:v>
      </x:c>
      <x:c r="J330" s="16" t="n">
        <x:v>0.02024196165718032</x:v>
      </x:c>
      <x:c r="K330" s="12" t="n">
        <x:v>1.42</x:v>
      </x:c>
      <x:c r="L330" s="12" t="n">
        <x:f>I330-K330</x:f>
        <x:v>0.16000000000000014</x:v>
      </x:c>
      <x:c r="M330" s="16" t="n">
        <x:f>IFERROR(L330/I330,0)</x:f>
        <x:v>0.10126582278481021</x:v>
      </x:c>
    </x:row>
    <x:row r="331">
      <x:c r="A331" s="12" t="str">
        <x:v>SALE-00330</x:v>
      </x:c>
      <x:c r="B331" s="14" t="n">
        <x:v>46054</x:v>
      </x:c>
      <x:c r="C331" s="12" t="str">
        <x:v>DLR-011</x:v>
      </x:c>
      <x:c r="D331" s="12" t="str">
        <x:v>VinFast HTA Phạm Văn Đồng</x:v>
      </x:c>
      <x:c r="E331" s="12" t="str">
        <x:v>VinFast</x:v>
      </x:c>
      <x:c r="F331" s="12" t="str">
        <x:v>VF 5</x:v>
      </x:c>
      <x:c r="G331" s="12" t="n">
        <x:v>5</x:v>
      </x:c>
      <x:c r="H331" s="12" t="n">
        <x:v>532.4</x:v>
      </x:c>
      <x:c r="I331" s="12" t="n">
        <x:v>2.66</x:v>
      </x:c>
      <x:c r="J331" s="16" t="n">
        <x:v>0.045843912549239536</x:v>
      </x:c>
      <x:c r="K331" s="12" t="n">
        <x:v>2.47</x:v>
      </x:c>
      <x:c r="L331" s="12" t="n">
        <x:f>I331-K331</x:f>
        <x:v>0.18999999999999995</x:v>
      </x:c>
      <x:c r="M331" s="16" t="n">
        <x:f>IFERROR(L331/I331,0)</x:f>
        <x:v>0.07142857142857141</x:v>
      </x:c>
    </x:row>
    <x:row r="332">
      <x:c r="A332" s="12" t="str">
        <x:v>SALE-00331</x:v>
      </x:c>
      <x:c r="B332" s="14" t="n">
        <x:v>46054</x:v>
      </x:c>
      <x:c r="C332" s="12" t="str">
        <x:v>DLR-011</x:v>
      </x:c>
      <x:c r="D332" s="12" t="str">
        <x:v>VinFast HTA Phạm Văn Đồng</x:v>
      </x:c>
      <x:c r="E332" s="12" t="str">
        <x:v>VinFast</x:v>
      </x:c>
      <x:c r="F332" s="12" t="str">
        <x:v>VF 6</x:v>
      </x:c>
      <x:c r="G332" s="12" t="n">
        <x:v>5</x:v>
      </x:c>
      <x:c r="H332" s="12" t="n">
        <x:v>671.8</x:v>
      </x:c>
      <x:c r="I332" s="12" t="n">
        <x:v>3.36</x:v>
      </x:c>
      <x:c r="J332" s="16" t="n">
        <x:v>0.03143434445986134</x:v>
      </x:c>
      <x:c r="K332" s="12" t="n">
        <x:v>3.09</x:v>
      </x:c>
      <x:c r="L332" s="12" t="n">
        <x:f>I332-K332</x:f>
        <x:v>0.27</x:v>
      </x:c>
      <x:c r="M332" s="16" t="n">
        <x:f>IFERROR(L332/I332,0)</x:f>
        <x:v>0.08035714285714286</x:v>
      </x:c>
    </x:row>
    <x:row r="333">
      <x:c r="A333" s="12" t="str">
        <x:v>SALE-00332</x:v>
      </x:c>
      <x:c r="B333" s="14" t="n">
        <x:v>46054</x:v>
      </x:c>
      <x:c r="C333" s="12" t="str">
        <x:v>DLR-011</x:v>
      </x:c>
      <x:c r="D333" s="12" t="str">
        <x:v>VinFast HTA Phạm Văn Đồng</x:v>
      </x:c>
      <x:c r="E333" s="12" t="str">
        <x:v>VinFast</x:v>
      </x:c>
      <x:c r="F333" s="12" t="str">
        <x:v>VF 7</x:v>
      </x:c>
      <x:c r="G333" s="12" t="n">
        <x:v>5</x:v>
      </x:c>
      <x:c r="H333" s="12" t="n">
        <x:v>829.2</x:v>
      </x:c>
      <x:c r="I333" s="12" t="n">
        <x:v>4.15</x:v>
      </x:c>
      <x:c r="J333" s="16" t="n">
        <x:v>0.02639711730253433</x:v>
      </x:c>
      <x:c r="K333" s="12" t="n">
        <x:v>3.83</x:v>
      </x:c>
      <x:c r="L333" s="12" t="n">
        <x:f>I333-K333</x:f>
        <x:v>0.3200000000000003</x:v>
      </x:c>
      <x:c r="M333" s="16" t="n">
        <x:f>IFERROR(L333/I333,0)</x:f>
        <x:v>0.07710843373493982</x:v>
      </x:c>
    </x:row>
    <x:row r="334">
      <x:c r="A334" s="12" t="str">
        <x:v>SALE-00333</x:v>
      </x:c>
      <x:c r="B334" s="14" t="n">
        <x:v>46054</x:v>
      </x:c>
      <x:c r="C334" s="12" t="str">
        <x:v>DLR-011</x:v>
      </x:c>
      <x:c r="D334" s="12" t="str">
        <x:v>VinFast HTA Phạm Văn Đồng</x:v>
      </x:c>
      <x:c r="E334" s="12" t="str">
        <x:v>VinFast</x:v>
      </x:c>
      <x:c r="F334" s="12" t="str">
        <x:v>VF 8</x:v>
      </x:c>
      <x:c r="G334" s="12" t="n">
        <x:v>6</x:v>
      </x:c>
      <x:c r="H334" s="12" t="n">
        <x:v>1001.4</x:v>
      </x:c>
      <x:c r="I334" s="12" t="n">
        <x:v>6.01</x:v>
      </x:c>
      <x:c r="J334" s="16" t="n">
        <x:v>0.027378715862511584</x:v>
      </x:c>
      <x:c r="K334" s="12" t="n">
        <x:v>5.58</x:v>
      </x:c>
      <x:c r="L334" s="12" t="n">
        <x:f>I334-K334</x:f>
        <x:v>0.4299999999999997</x:v>
      </x:c>
      <x:c r="M334" s="16" t="n">
        <x:f>IFERROR(L334/I334,0)</x:f>
        <x:v>0.07154742096505819</x:v>
      </x:c>
    </x:row>
    <x:row r="335">
      <x:c r="A335" s="12" t="str">
        <x:v>SALE-00334</x:v>
      </x:c>
      <x:c r="B335" s="14" t="n">
        <x:v>46054</x:v>
      </x:c>
      <x:c r="C335" s="12" t="str">
        <x:v>DLR-011</x:v>
      </x:c>
      <x:c r="D335" s="12" t="str">
        <x:v>VinFast HTA Phạm Văn Đồng</x:v>
      </x:c>
      <x:c r="E335" s="12" t="str">
        <x:v>VinFast</x:v>
      </x:c>
      <x:c r="F335" s="12" t="str">
        <x:v>VF 9</x:v>
      </x:c>
      <x:c r="G335" s="12" t="n">
        <x:v>6</x:v>
      </x:c>
      <x:c r="H335" s="12" t="n">
        <x:v>1509.2</x:v>
      </x:c>
      <x:c r="I335" s="12" t="n">
        <x:v>9.06</x:v>
      </x:c>
      <x:c r="J335" s="16" t="n">
        <x:v>0.029713638329001313</x:v>
      </x:c>
      <x:c r="K335" s="12" t="n">
        <x:v>8.48</x:v>
      </x:c>
      <x:c r="L335" s="12" t="n">
        <x:f>I335-K335</x:f>
        <x:v>0.5800000000000001</x:v>
      </x:c>
      <x:c r="M335" s="16" t="n">
        <x:f>IFERROR(L335/I335,0)</x:f>
        <x:v>0.06401766004415012</x:v>
      </x:c>
    </x:row>
    <x:row r="336">
      <x:c r="A336" s="12" t="str">
        <x:v>SALE-00335</x:v>
      </x:c>
      <x:c r="B336" s="14" t="n">
        <x:v>46082</x:v>
      </x:c>
      <x:c r="C336" s="12" t="str">
        <x:v>DLR-011</x:v>
      </x:c>
      <x:c r="D336" s="12" t="str">
        <x:v>VinFast HTA Phạm Văn Đồng</x:v>
      </x:c>
      <x:c r="E336" s="12" t="str">
        <x:v>VinFast</x:v>
      </x:c>
      <x:c r="F336" s="12" t="str">
        <x:v>VF 3</x:v>
      </x:c>
      <x:c r="G336" s="12" t="n">
        <x:v>9</x:v>
      </x:c>
      <x:c r="H336" s="12" t="n">
        <x:v>307.7</x:v>
      </x:c>
      <x:c r="I336" s="12" t="n">
        <x:v>2.77</x:v>
      </x:c>
      <x:c r="J336" s="16" t="n">
        <x:v>0.026270869308151017</x:v>
      </x:c>
      <x:c r="K336" s="12" t="n">
        <x:v>2.5</x:v>
      </x:c>
      <x:c r="L336" s="12" t="n">
        <x:f>I336-K336</x:f>
        <x:v>0.27</x:v>
      </x:c>
      <x:c r="M336" s="16" t="n">
        <x:f>IFERROR(L336/I336,0)</x:f>
        <x:v>0.09747292418772564</x:v>
      </x:c>
    </x:row>
    <x:row r="337">
      <x:c r="A337" s="12" t="str">
        <x:v>SALE-00336</x:v>
      </x:c>
      <x:c r="B337" s="14" t="n">
        <x:v>46082</x:v>
      </x:c>
      <x:c r="C337" s="12" t="str">
        <x:v>DLR-011</x:v>
      </x:c>
      <x:c r="D337" s="12" t="str">
        <x:v>VinFast HTA Phạm Văn Đồng</x:v>
      </x:c>
      <x:c r="E337" s="12" t="str">
        <x:v>VinFast</x:v>
      </x:c>
      <x:c r="F337" s="12" t="str">
        <x:v>VF 5</x:v>
      </x:c>
      <x:c r="G337" s="12" t="n">
        <x:v>7</x:v>
      </x:c>
      <x:c r="H337" s="12" t="n">
        <x:v>538.2</x:v>
      </x:c>
      <x:c r="I337" s="12" t="n">
        <x:v>3.77</x:v>
      </x:c>
      <x:c r="J337" s="16" t="n">
        <x:v>0.0476756495832496</x:v>
      </x:c>
      <x:c r="K337" s="12" t="n">
        <x:v>3.5</x:v>
      </x:c>
      <x:c r="L337" s="12" t="n">
        <x:f>I337-K337</x:f>
        <x:v>0.27</x:v>
      </x:c>
      <x:c r="M337" s="16" t="n">
        <x:f>IFERROR(L337/I337,0)</x:f>
        <x:v>0.07161803713527852</x:v>
      </x:c>
    </x:row>
    <x:row r="338">
      <x:c r="A338" s="12" t="str">
        <x:v>SALE-00337</x:v>
      </x:c>
      <x:c r="B338" s="14" t="n">
        <x:v>46082</x:v>
      </x:c>
      <x:c r="C338" s="12" t="str">
        <x:v>DLR-011</x:v>
      </x:c>
      <x:c r="D338" s="12" t="str">
        <x:v>VinFast HTA Phạm Văn Đồng</x:v>
      </x:c>
      <x:c r="E338" s="12" t="str">
        <x:v>VinFast</x:v>
      </x:c>
      <x:c r="F338" s="12" t="str">
        <x:v>VF 6</x:v>
      </x:c>
      <x:c r="G338" s="12" t="n">
        <x:v>5</x:v>
      </x:c>
      <x:c r="H338" s="12" t="n">
        <x:v>661.4</x:v>
      </x:c>
      <x:c r="I338" s="12" t="n">
        <x:v>3.31</x:v>
      </x:c>
      <x:c r="J338" s="16" t="n">
        <x:v>0.040647161448177885</x:v>
      </x:c>
      <x:c r="K338" s="12" t="n">
        <x:v>3.08</x:v>
      </x:c>
      <x:c r="L338" s="12" t="n">
        <x:f>I338-K338</x:f>
        <x:v>0.22999999999999998</x:v>
      </x:c>
      <x:c r="M338" s="16" t="n">
        <x:f>IFERROR(L338/I338,0)</x:f>
        <x:v>0.06948640483383685</x:v>
      </x:c>
    </x:row>
    <x:row r="339">
      <x:c r="A339" s="12" t="str">
        <x:v>SALE-00338</x:v>
      </x:c>
      <x:c r="B339" s="14" t="n">
        <x:v>46082</x:v>
      </x:c>
      <x:c r="C339" s="12" t="str">
        <x:v>DLR-011</x:v>
      </x:c>
      <x:c r="D339" s="12" t="str">
        <x:v>VinFast HTA Phạm Văn Đồng</x:v>
      </x:c>
      <x:c r="E339" s="12" t="str">
        <x:v>VinFast</x:v>
      </x:c>
      <x:c r="F339" s="12" t="str">
        <x:v>VF 7</x:v>
      </x:c>
      <x:c r="G339" s="12" t="n">
        <x:v>7</x:v>
      </x:c>
      <x:c r="H339" s="12" t="n">
        <x:v>806</x:v>
      </x:c>
      <x:c r="I339" s="12" t="n">
        <x:v>5.64</x:v>
      </x:c>
      <x:c r="J339" s="16" t="n">
        <x:v>0.048835691069337536</x:v>
      </x:c>
      <x:c r="K339" s="12" t="n">
        <x:v>5.25</x:v>
      </x:c>
      <x:c r="L339" s="12" t="n">
        <x:f>I339-K339</x:f>
        <x:v>0.3899999999999997</x:v>
      </x:c>
      <x:c r="M339" s="16" t="n">
        <x:f>IFERROR(L339/I339,0)</x:f>
        <x:v>0.06914893617021271</x:v>
      </x:c>
    </x:row>
    <x:row r="340">
      <x:c r="A340" s="12" t="str">
        <x:v>SALE-00339</x:v>
      </x:c>
      <x:c r="B340" s="14" t="n">
        <x:v>46082</x:v>
      </x:c>
      <x:c r="C340" s="12" t="str">
        <x:v>DLR-011</x:v>
      </x:c>
      <x:c r="D340" s="12" t="str">
        <x:v>VinFast HTA Phạm Văn Đồng</x:v>
      </x:c>
      <x:c r="E340" s="12" t="str">
        <x:v>VinFast</x:v>
      </x:c>
      <x:c r="F340" s="12" t="str">
        <x:v>VF 8</x:v>
      </x:c>
      <x:c r="G340" s="12" t="n">
        <x:v>5</x:v>
      </x:c>
      <x:c r="H340" s="12" t="n">
        <x:v>1020.1</x:v>
      </x:c>
      <x:c r="I340" s="12" t="n">
        <x:v>5.1</x:v>
      </x:c>
      <x:c r="J340" s="16" t="n">
        <x:v>0.025911651983654263</x:v>
      </x:c>
      <x:c r="K340" s="12" t="n">
        <x:v>4.77</x:v>
      </x:c>
      <x:c r="L340" s="12" t="n">
        <x:f>I340-K340</x:f>
        <x:v>0.33000000000000007</x:v>
      </x:c>
      <x:c r="M340" s="16" t="n">
        <x:f>IFERROR(L340/I340,0)</x:f>
        <x:v>0.0647058823529412</x:v>
      </x:c>
    </x:row>
    <x:row r="341">
      <x:c r="A341" s="12" t="str">
        <x:v>SALE-00340</x:v>
      </x:c>
      <x:c r="B341" s="14" t="n">
        <x:v>46082</x:v>
      </x:c>
      <x:c r="C341" s="12" t="str">
        <x:v>DLR-011</x:v>
      </x:c>
      <x:c r="D341" s="12" t="str">
        <x:v>VinFast HTA Phạm Văn Đồng</x:v>
      </x:c>
      <x:c r="E341" s="12" t="str">
        <x:v>VinFast</x:v>
      </x:c>
      <x:c r="F341" s="12" t="str">
        <x:v>VF 9</x:v>
      </x:c>
      <x:c r="G341" s="12" t="n">
        <x:v>5</x:v>
      </x:c>
      <x:c r="H341" s="12" t="n">
        <x:v>1461.5</x:v>
      </x:c>
      <x:c r="I341" s="12" t="n">
        <x:v>7.31</x:v>
      </x:c>
      <x:c r="J341" s="16" t="n">
        <x:v>0.05285653052047043</x:v>
      </x:c>
      <x:c r="K341" s="12" t="n">
        <x:v>6.53</x:v>
      </x:c>
      <x:c r="L341" s="12" t="n">
        <x:f>I341-K341</x:f>
        <x:v>0.7799999999999994</x:v>
      </x:c>
      <x:c r="M341" s="16" t="n">
        <x:f>IFERROR(L341/I341,0)</x:f>
        <x:v>0.10670314637482892</x:v>
      </x:c>
    </x:row>
    <x:row r="342">
      <x:c r="A342" s="12" t="str">
        <x:v>SALE-00341</x:v>
      </x:c>
      <x:c r="B342" s="14" t="n">
        <x:v>46113</x:v>
      </x:c>
      <x:c r="C342" s="12" t="str">
        <x:v>DLR-011</x:v>
      </x:c>
      <x:c r="D342" s="12" t="str">
        <x:v>VinFast HTA Phạm Văn Đồng</x:v>
      </x:c>
      <x:c r="E342" s="12" t="str">
        <x:v>VinFast</x:v>
      </x:c>
      <x:c r="F342" s="12" t="str">
        <x:v>VF 3</x:v>
      </x:c>
      <x:c r="G342" s="12" t="n">
        <x:v>7</x:v>
      </x:c>
      <x:c r="H342" s="12" t="n">
        <x:v>304.9</x:v>
      </x:c>
      <x:c r="I342" s="12" t="n">
        <x:v>2.13</x:v>
      </x:c>
      <x:c r="J342" s="16" t="n">
        <x:v>0.01606680763211754</x:v>
      </x:c>
      <x:c r="K342" s="12" t="n">
        <x:v>1.89</x:v>
      </x:c>
      <x:c r="L342" s="12" t="n">
        <x:f>I342-K342</x:f>
        <x:v>0.24</x:v>
      </x:c>
      <x:c r="M342" s="16" t="n">
        <x:f>IFERROR(L342/I342,0)</x:f>
        <x:v>0.11267605633802817</x:v>
      </x:c>
    </x:row>
    <x:row r="343">
      <x:c r="A343" s="12" t="str">
        <x:v>SALE-00342</x:v>
      </x:c>
      <x:c r="B343" s="14" t="n">
        <x:v>46113</x:v>
      </x:c>
      <x:c r="C343" s="12" t="str">
        <x:v>DLR-011</x:v>
      </x:c>
      <x:c r="D343" s="12" t="str">
        <x:v>VinFast HTA Phạm Văn Đồng</x:v>
      </x:c>
      <x:c r="E343" s="12" t="str">
        <x:v>VinFast</x:v>
      </x:c>
      <x:c r="F343" s="12" t="str">
        <x:v>VF 5</x:v>
      </x:c>
      <x:c r="G343" s="12" t="n">
        <x:v>7</x:v>
      </x:c>
      <x:c r="H343" s="12" t="n">
        <x:v>507.2</x:v>
      </x:c>
      <x:c r="I343" s="12" t="n">
        <x:v>3.55</x:v>
      </x:c>
      <x:c r="J343" s="16" t="n">
        <x:v>0.05478101404953165</x:v>
      </x:c>
      <x:c r="K343" s="12" t="n">
        <x:v>3.2</x:v>
      </x:c>
      <x:c r="L343" s="12" t="n">
        <x:f>I343-K343</x:f>
        <x:v>0.34999999999999964</x:v>
      </x:c>
      <x:c r="M343" s="16" t="n">
        <x:f>IFERROR(L343/I343,0)</x:f>
        <x:v>0.09859154929577456</x:v>
      </x:c>
    </x:row>
    <x:row r="344">
      <x:c r="A344" s="12" t="str">
        <x:v>SALE-00343</x:v>
      </x:c>
      <x:c r="B344" s="14" t="n">
        <x:v>46113</x:v>
      </x:c>
      <x:c r="C344" s="12" t="str">
        <x:v>DLR-011</x:v>
      </x:c>
      <x:c r="D344" s="12" t="str">
        <x:v>VinFast HTA Phạm Văn Đồng</x:v>
      </x:c>
      <x:c r="E344" s="12" t="str">
        <x:v>VinFast</x:v>
      </x:c>
      <x:c r="F344" s="12" t="str">
        <x:v>VF 6</x:v>
      </x:c>
      <x:c r="G344" s="12" t="n">
        <x:v>4</x:v>
      </x:c>
      <x:c r="H344" s="12" t="n">
        <x:v>699</x:v>
      </x:c>
      <x:c r="I344" s="12" t="n">
        <x:v>2.8</x:v>
      </x:c>
      <x:c r="J344" s="16" t="n">
        <x:v>0.04856705150446423</x:v>
      </x:c>
      <x:c r="K344" s="12" t="n">
        <x:v>2.57</x:v>
      </x:c>
      <x:c r="L344" s="12" t="n">
        <x:f>I344-K344</x:f>
        <x:v>0.22999999999999998</x:v>
      </x:c>
      <x:c r="M344" s="16" t="n">
        <x:f>IFERROR(L344/I344,0)</x:f>
        <x:v>0.08214285714285714</x:v>
      </x:c>
    </x:row>
    <x:row r="345">
      <x:c r="A345" s="12" t="str">
        <x:v>SALE-00344</x:v>
      </x:c>
      <x:c r="B345" s="14" t="n">
        <x:v>46113</x:v>
      </x:c>
      <x:c r="C345" s="12" t="str">
        <x:v>DLR-011</x:v>
      </x:c>
      <x:c r="D345" s="12" t="str">
        <x:v>VinFast HTA Phạm Văn Đồng</x:v>
      </x:c>
      <x:c r="E345" s="12" t="str">
        <x:v>VinFast</x:v>
      </x:c>
      <x:c r="F345" s="12" t="str">
        <x:v>VF 7</x:v>
      </x:c>
      <x:c r="G345" s="12" t="n">
        <x:v>8</x:v>
      </x:c>
      <x:c r="H345" s="12" t="n">
        <x:v>808.4</x:v>
      </x:c>
      <x:c r="I345" s="12" t="n">
        <x:v>6.47</x:v>
      </x:c>
      <x:c r="J345" s="16" t="n">
        <x:v>0.026475175892530727</x:v>
      </x:c>
      <x:c r="K345" s="12" t="n">
        <x:v>6.01</x:v>
      </x:c>
      <x:c r="L345" s="12" t="n">
        <x:f>I345-K345</x:f>
        <x:v>0.45999999999999996</x:v>
      </x:c>
      <x:c r="M345" s="16" t="n">
        <x:f>IFERROR(L345/I345,0)</x:f>
        <x:v>0.07109737248840803</x:v>
      </x:c>
    </x:row>
    <x:row r="346">
      <x:c r="A346" s="12" t="str">
        <x:v>SALE-00345</x:v>
      </x:c>
      <x:c r="B346" s="14" t="n">
        <x:v>46113</x:v>
      </x:c>
      <x:c r="C346" s="12" t="str">
        <x:v>DLR-011</x:v>
      </x:c>
      <x:c r="D346" s="12" t="str">
        <x:v>VinFast HTA Phạm Văn Đồng</x:v>
      </x:c>
      <x:c r="E346" s="12" t="str">
        <x:v>VinFast</x:v>
      </x:c>
      <x:c r="F346" s="12" t="str">
        <x:v>VF 8</x:v>
      </x:c>
      <x:c r="G346" s="12" t="n">
        <x:v>8</x:v>
      </x:c>
      <x:c r="H346" s="12" t="n">
        <x:v>969.2</x:v>
      </x:c>
      <x:c r="I346" s="12" t="n">
        <x:v>7.75</x:v>
      </x:c>
      <x:c r="J346" s="16" t="n">
        <x:v>0.04322144701156322</x:v>
      </x:c>
      <x:c r="K346" s="12" t="n">
        <x:v>7.03</x:v>
      </x:c>
      <x:c r="L346" s="12" t="n">
        <x:f>I346-K346</x:f>
        <x:v>0.7199999999999998</x:v>
      </x:c>
      <x:c r="M346" s="16" t="n">
        <x:f>IFERROR(L346/I346,0)</x:f>
        <x:v>0.09290322580645158</x:v>
      </x:c>
    </x:row>
    <x:row r="347">
      <x:c r="A347" s="12" t="str">
        <x:v>SALE-00346</x:v>
      </x:c>
      <x:c r="B347" s="14" t="n">
        <x:v>46113</x:v>
      </x:c>
      <x:c r="C347" s="12" t="str">
        <x:v>DLR-011</x:v>
      </x:c>
      <x:c r="D347" s="12" t="str">
        <x:v>VinFast HTA Phạm Văn Đồng</x:v>
      </x:c>
      <x:c r="E347" s="12" t="str">
        <x:v>VinFast</x:v>
      </x:c>
      <x:c r="F347" s="12" t="str">
        <x:v>VF 9</x:v>
      </x:c>
      <x:c r="G347" s="12" t="n">
        <x:v>4</x:v>
      </x:c>
      <x:c r="H347" s="12" t="n">
        <x:v>1418.6</x:v>
      </x:c>
      <x:c r="I347" s="12" t="n">
        <x:v>5.67</x:v>
      </x:c>
      <x:c r="J347" s="16" t="n">
        <x:v>0.025236957137481787</x:v>
      </x:c>
      <x:c r="K347" s="12" t="n">
        <x:v>5.28</x:v>
      </x:c>
      <x:c r="L347" s="12" t="n">
        <x:f>I347-K347</x:f>
        <x:v>0.3899999999999997</x:v>
      </x:c>
      <x:c r="M347" s="16" t="n">
        <x:f>IFERROR(L347/I347,0)</x:f>
        <x:v>0.06878306878306872</x:v>
      </x:c>
    </x:row>
    <x:row r="348">
      <x:c r="A348" s="12" t="str">
        <x:v>SALE-00347</x:v>
      </x:c>
      <x:c r="B348" s="14" t="n">
        <x:v>46143</x:v>
      </x:c>
      <x:c r="C348" s="12" t="str">
        <x:v>DLR-011</x:v>
      </x:c>
      <x:c r="D348" s="12" t="str">
        <x:v>VinFast HTA Phạm Văn Đồng</x:v>
      </x:c>
      <x:c r="E348" s="12" t="str">
        <x:v>VinFast</x:v>
      </x:c>
      <x:c r="F348" s="12" t="str">
        <x:v>VF 3</x:v>
      </x:c>
      <x:c r="G348" s="12" t="n">
        <x:v>7</x:v>
      </x:c>
      <x:c r="H348" s="12" t="n">
        <x:v>314.4</x:v>
      </x:c>
      <x:c r="I348" s="12" t="n">
        <x:v>2.2</x:v>
      </x:c>
      <x:c r="J348" s="16" t="n">
        <x:v>0.03611086023546897</x:v>
      </x:c>
      <x:c r="K348" s="12" t="n">
        <x:v>1.95</x:v>
      </x:c>
      <x:c r="L348" s="12" t="n">
        <x:f>I348-K348</x:f>
        <x:v>0.2500000000000002</x:v>
      </x:c>
      <x:c r="M348" s="16" t="n">
        <x:f>IFERROR(L348/I348,0)</x:f>
        <x:v>0.11363636363636373</x:v>
      </x:c>
    </x:row>
    <x:row r="349">
      <x:c r="A349" s="12" t="str">
        <x:v>SALE-00348</x:v>
      </x:c>
      <x:c r="B349" s="14" t="n">
        <x:v>46143</x:v>
      </x:c>
      <x:c r="C349" s="12" t="str">
        <x:v>DLR-011</x:v>
      </x:c>
      <x:c r="D349" s="12" t="str">
        <x:v>VinFast HTA Phạm Văn Đồng</x:v>
      </x:c>
      <x:c r="E349" s="12" t="str">
        <x:v>VinFast</x:v>
      </x:c>
      <x:c r="F349" s="12" t="str">
        <x:v>VF 5</x:v>
      </x:c>
      <x:c r="G349" s="12" t="n">
        <x:v>6</x:v>
      </x:c>
      <x:c r="H349" s="12" t="n">
        <x:v>510</x:v>
      </x:c>
      <x:c r="I349" s="12" t="n">
        <x:v>3.06</x:v>
      </x:c>
      <x:c r="J349" s="16" t="n">
        <x:v>0.01690997786475405</x:v>
      </x:c>
      <x:c r="K349" s="12" t="n">
        <x:v>2.77</x:v>
      </x:c>
      <x:c r="L349" s="12" t="n">
        <x:f>I349-K349</x:f>
        <x:v>0.29000000000000004</x:v>
      </x:c>
      <x:c r="M349" s="16" t="n">
        <x:f>IFERROR(L349/I349,0)</x:f>
        <x:v>0.09477124183006537</x:v>
      </x:c>
    </x:row>
    <x:row r="350">
      <x:c r="A350" s="12" t="str">
        <x:v>SALE-00349</x:v>
      </x:c>
      <x:c r="B350" s="14" t="n">
        <x:v>46143</x:v>
      </x:c>
      <x:c r="C350" s="12" t="str">
        <x:v>DLR-011</x:v>
      </x:c>
      <x:c r="D350" s="12" t="str">
        <x:v>VinFast HTA Phạm Văn Đồng</x:v>
      </x:c>
      <x:c r="E350" s="12" t="str">
        <x:v>VinFast</x:v>
      </x:c>
      <x:c r="F350" s="12" t="str">
        <x:v>VF 6</x:v>
      </x:c>
      <x:c r="G350" s="12" t="n">
        <x:v>9</x:v>
      </x:c>
      <x:c r="H350" s="12" t="n">
        <x:v>672.9</x:v>
      </x:c>
      <x:c r="I350" s="12" t="n">
        <x:v>6.06</x:v>
      </x:c>
      <x:c r="J350" s="16" t="n">
        <x:v>0.0194343158116006</x:v>
      </x:c>
      <x:c r="K350" s="12" t="n">
        <x:v>5.66</x:v>
      </x:c>
      <x:c r="L350" s="12" t="n">
        <x:f>I350-K350</x:f>
        <x:v>0.39999999999999947</x:v>
      </x:c>
      <x:c r="M350" s="16" t="n">
        <x:f>IFERROR(L350/I350,0)</x:f>
        <x:v>0.06600660066006592</x:v>
      </x:c>
    </x:row>
    <x:row r="351">
      <x:c r="A351" s="12" t="str">
        <x:v>SALE-00350</x:v>
      </x:c>
      <x:c r="B351" s="14" t="n">
        <x:v>46143</x:v>
      </x:c>
      <x:c r="C351" s="12" t="str">
        <x:v>DLR-011</x:v>
      </x:c>
      <x:c r="D351" s="12" t="str">
        <x:v>VinFast HTA Phạm Văn Đồng</x:v>
      </x:c>
      <x:c r="E351" s="12" t="str">
        <x:v>VinFast</x:v>
      </x:c>
      <x:c r="F351" s="12" t="str">
        <x:v>VF 7</x:v>
      </x:c>
      <x:c r="G351" s="12" t="n">
        <x:v>8</x:v>
      </x:c>
      <x:c r="H351" s="12" t="n">
        <x:v>800.1</x:v>
      </x:c>
      <x:c r="I351" s="12" t="n">
        <x:v>6.4</x:v>
      </x:c>
      <x:c r="J351" s="16" t="n">
        <x:v>0.03561502920837624</x:v>
      </x:c>
      <x:c r="K351" s="12" t="n">
        <x:v>5.73</x:v>
      </x:c>
      <x:c r="L351" s="12" t="n">
        <x:f>I351-K351</x:f>
        <x:v>0.6699999999999999</x:v>
      </x:c>
      <x:c r="M351" s="16" t="n">
        <x:f>IFERROR(L351/I351,0)</x:f>
        <x:v>0.10468749999999999</x:v>
      </x:c>
    </x:row>
    <x:row r="352">
      <x:c r="A352" s="12" t="str">
        <x:v>SALE-00351</x:v>
      </x:c>
      <x:c r="B352" s="14" t="n">
        <x:v>46143</x:v>
      </x:c>
      <x:c r="C352" s="12" t="str">
        <x:v>DLR-011</x:v>
      </x:c>
      <x:c r="D352" s="12" t="str">
        <x:v>VinFast HTA Phạm Văn Đồng</x:v>
      </x:c>
      <x:c r="E352" s="12" t="str">
        <x:v>VinFast</x:v>
      </x:c>
      <x:c r="F352" s="12" t="str">
        <x:v>VF 8</x:v>
      </x:c>
      <x:c r="G352" s="12" t="n">
        <x:v>5</x:v>
      </x:c>
      <x:c r="H352" s="12" t="n">
        <x:v>992.9</x:v>
      </x:c>
      <x:c r="I352" s="12" t="n">
        <x:v>4.96</x:v>
      </x:c>
      <x:c r="J352" s="16" t="n">
        <x:v>0.039592383311038024</x:v>
      </x:c>
      <x:c r="K352" s="12" t="n">
        <x:v>4.44</x:v>
      </x:c>
      <x:c r="L352" s="12" t="n">
        <x:f>I352-K352</x:f>
        <x:v>0.5199999999999996</x:v>
      </x:c>
      <x:c r="M352" s="16" t="n">
        <x:f>IFERROR(L352/I352,0)</x:f>
        <x:v>0.10483870967741928</x:v>
      </x:c>
    </x:row>
    <x:row r="353">
      <x:c r="A353" s="12" t="str">
        <x:v>SALE-00352</x:v>
      </x:c>
      <x:c r="B353" s="14" t="n">
        <x:v>46143</x:v>
      </x:c>
      <x:c r="C353" s="12" t="str">
        <x:v>DLR-011</x:v>
      </x:c>
      <x:c r="D353" s="12" t="str">
        <x:v>VinFast HTA Phạm Văn Đồng</x:v>
      </x:c>
      <x:c r="E353" s="12" t="str">
        <x:v>VinFast</x:v>
      </x:c>
      <x:c r="F353" s="12" t="str">
        <x:v>VF 9</x:v>
      </x:c>
      <x:c r="G353" s="12" t="n">
        <x:v>7</x:v>
      </x:c>
      <x:c r="H353" s="12" t="n">
        <x:v>1488.7</x:v>
      </x:c>
      <x:c r="I353" s="12" t="n">
        <x:v>10.42</x:v>
      </x:c>
      <x:c r="J353" s="16" t="n">
        <x:v>0.01842455819949047</x:v>
      </x:c>
      <x:c r="K353" s="12" t="n">
        <x:v>9.78</x:v>
      </x:c>
      <x:c r="L353" s="12" t="n">
        <x:f>I353-K353</x:f>
        <x:v>0.6400000000000006</x:v>
      </x:c>
      <x:c r="M353" s="16" t="n">
        <x:f>IFERROR(L353/I353,0)</x:f>
        <x:v>0.06142034548944343</x:v>
      </x:c>
    </x:row>
    <x:row r="354">
      <x:c r="A354" s="12" t="str">
        <x:v>SALE-00353</x:v>
      </x:c>
      <x:c r="B354" s="14" t="n">
        <x:v>46174</x:v>
      </x:c>
      <x:c r="C354" s="12" t="str">
        <x:v>DLR-011</x:v>
      </x:c>
      <x:c r="D354" s="12" t="str">
        <x:v>VinFast HTA Phạm Văn Đồng</x:v>
      </x:c>
      <x:c r="E354" s="12" t="str">
        <x:v>VinFast</x:v>
      </x:c>
      <x:c r="F354" s="12" t="str">
        <x:v>VF 3</x:v>
      </x:c>
      <x:c r="G354" s="12" t="n">
        <x:v>5</x:v>
      </x:c>
      <x:c r="H354" s="12" t="n">
        <x:v>309.4</x:v>
      </x:c>
      <x:c r="I354" s="12" t="n">
        <x:v>1.55</x:v>
      </x:c>
      <x:c r="J354" s="16" t="n">
        <x:v>0.03529310786319147</x:v>
      </x:c>
      <x:c r="K354" s="12" t="n">
        <x:v>1.45</x:v>
      </x:c>
      <x:c r="L354" s="12" t="n">
        <x:f>I354-K354</x:f>
        <x:v>0.10000000000000009</x:v>
      </x:c>
      <x:c r="M354" s="16" t="n">
        <x:f>IFERROR(L354/I354,0)</x:f>
        <x:v>0.06451612903225812</x:v>
      </x:c>
    </x:row>
    <x:row r="355">
      <x:c r="A355" s="12" t="str">
        <x:v>SALE-00354</x:v>
      </x:c>
      <x:c r="B355" s="14" t="n">
        <x:v>46174</x:v>
      </x:c>
      <x:c r="C355" s="12" t="str">
        <x:v>DLR-011</x:v>
      </x:c>
      <x:c r="D355" s="12" t="str">
        <x:v>VinFast HTA Phạm Văn Đồng</x:v>
      </x:c>
      <x:c r="E355" s="12" t="str">
        <x:v>VinFast</x:v>
      </x:c>
      <x:c r="F355" s="12" t="str">
        <x:v>VF 5</x:v>
      </x:c>
      <x:c r="G355" s="12" t="n">
        <x:v>8</x:v>
      </x:c>
      <x:c r="H355" s="12" t="n">
        <x:v>513.8</x:v>
      </x:c>
      <x:c r="I355" s="12" t="n">
        <x:v>4.11</x:v>
      </x:c>
      <x:c r="J355" s="16" t="n">
        <x:v>0.03380540312633944</x:v>
      </x:c>
      <x:c r="K355" s="12" t="n">
        <x:v>3.77</x:v>
      </x:c>
      <x:c r="L355" s="12" t="n">
        <x:f>I355-K355</x:f>
        <x:v>0.3400000000000003</x:v>
      </x:c>
      <x:c r="M355" s="16" t="n">
        <x:f>IFERROR(L355/I355,0)</x:f>
        <x:v>0.08272506082725067</x:v>
      </x:c>
    </x:row>
    <x:row r="356">
      <x:c r="A356" s="12" t="str">
        <x:v>SALE-00355</x:v>
      </x:c>
      <x:c r="B356" s="14" t="n">
        <x:v>46174</x:v>
      </x:c>
      <x:c r="C356" s="12" t="str">
        <x:v>DLR-011</x:v>
      </x:c>
      <x:c r="D356" s="12" t="str">
        <x:v>VinFast HTA Phạm Văn Đồng</x:v>
      </x:c>
      <x:c r="E356" s="12" t="str">
        <x:v>VinFast</x:v>
      </x:c>
      <x:c r="F356" s="12" t="str">
        <x:v>VF 6</x:v>
      </x:c>
      <x:c r="G356" s="12" t="n">
        <x:v>10</x:v>
      </x:c>
      <x:c r="H356" s="12" t="n">
        <x:v>661.6</x:v>
      </x:c>
      <x:c r="I356" s="12" t="n">
        <x:v>6.62</x:v>
      </x:c>
      <x:c r="J356" s="16" t="n">
        <x:v>0.015649689244357903</x:v>
      </x:c>
      <x:c r="K356" s="12" t="n">
        <x:v>6.14</x:v>
      </x:c>
      <x:c r="L356" s="12" t="n">
        <x:f>I356-K356</x:f>
        <x:v>0.4800000000000004</x:v>
      </x:c>
      <x:c r="M356" s="16" t="n">
        <x:f>IFERROR(L356/I356,0)</x:f>
        <x:v>0.0725075528700907</x:v>
      </x:c>
    </x:row>
    <x:row r="357">
      <x:c r="A357" s="12" t="str">
        <x:v>SALE-00356</x:v>
      </x:c>
      <x:c r="B357" s="14" t="n">
        <x:v>46174</x:v>
      </x:c>
      <x:c r="C357" s="12" t="str">
        <x:v>DLR-011</x:v>
      </x:c>
      <x:c r="D357" s="12" t="str">
        <x:v>VinFast HTA Phạm Văn Đồng</x:v>
      </x:c>
      <x:c r="E357" s="12" t="str">
        <x:v>VinFast</x:v>
      </x:c>
      <x:c r="F357" s="12" t="str">
        <x:v>VF 7</x:v>
      </x:c>
      <x:c r="G357" s="12" t="n">
        <x:v>6</x:v>
      </x:c>
      <x:c r="H357" s="12" t="n">
        <x:v>848.8</x:v>
      </x:c>
      <x:c r="I357" s="12" t="n">
        <x:v>5.09</x:v>
      </x:c>
      <x:c r="J357" s="16" t="n">
        <x:v>0.040130278499026256</x:v>
      </x:c>
      <x:c r="K357" s="12" t="n">
        <x:v>4.72</x:v>
      </x:c>
      <x:c r="L357" s="12" t="n">
        <x:f>I357-K357</x:f>
        <x:v>0.3700000000000001</x:v>
      </x:c>
      <x:c r="M357" s="16" t="n">
        <x:f>IFERROR(L357/I357,0)</x:f>
        <x:v>0.0726915520628684</x:v>
      </x:c>
    </x:row>
    <x:row r="358">
      <x:c r="A358" s="12" t="str">
        <x:v>SALE-00357</x:v>
      </x:c>
      <x:c r="B358" s="14" t="n">
        <x:v>46174</x:v>
      </x:c>
      <x:c r="C358" s="12" t="str">
        <x:v>DLR-011</x:v>
      </x:c>
      <x:c r="D358" s="12" t="str">
        <x:v>VinFast HTA Phạm Văn Đồng</x:v>
      </x:c>
      <x:c r="E358" s="12" t="str">
        <x:v>VinFast</x:v>
      </x:c>
      <x:c r="F358" s="12" t="str">
        <x:v>VF 8</x:v>
      </x:c>
      <x:c r="G358" s="12" t="n">
        <x:v>9</x:v>
      </x:c>
      <x:c r="H358" s="12" t="n">
        <x:v>985</x:v>
      </x:c>
      <x:c r="I358" s="12" t="n">
        <x:v>8.86</x:v>
      </x:c>
      <x:c r="J358" s="16" t="n">
        <x:v>0.016773427531808327</x:v>
      </x:c>
      <x:c r="K358" s="12" t="n">
        <x:v>8.09</x:v>
      </x:c>
      <x:c r="L358" s="12" t="n">
        <x:f>I358-K358</x:f>
        <x:v>0.7699999999999996</x:v>
      </x:c>
      <x:c r="M358" s="16" t="n">
        <x:f>IFERROR(L358/I358,0)</x:f>
        <x:v>0.08690744920993224</x:v>
      </x:c>
    </x:row>
    <x:row r="359">
      <x:c r="A359" s="12" t="str">
        <x:v>SALE-00358</x:v>
      </x:c>
      <x:c r="B359" s="14" t="n">
        <x:v>46174</x:v>
      </x:c>
      <x:c r="C359" s="12" t="str">
        <x:v>DLR-011</x:v>
      </x:c>
      <x:c r="D359" s="12" t="str">
        <x:v>VinFast HTA Phạm Văn Đồng</x:v>
      </x:c>
      <x:c r="E359" s="12" t="str">
        <x:v>VinFast</x:v>
      </x:c>
      <x:c r="F359" s="12" t="str">
        <x:v>VF 9</x:v>
      </x:c>
      <x:c r="G359" s="12" t="n">
        <x:v>9</x:v>
      </x:c>
      <x:c r="H359" s="12" t="n">
        <x:v>1430.1</x:v>
      </x:c>
      <x:c r="I359" s="12" t="n">
        <x:v>12.87</x:v>
      </x:c>
      <x:c r="J359" s="16" t="n">
        <x:v>0.04616570373913126</x:v>
      </x:c>
      <x:c r="K359" s="12" t="n">
        <x:v>11.68</x:v>
      </x:c>
      <x:c r="L359" s="12" t="n">
        <x:f>I359-K359</x:f>
        <x:v>1.1899999999999995</x:v>
      </x:c>
      <x:c r="M359" s="16" t="n">
        <x:f>IFERROR(L359/I359,0)</x:f>
        <x:v>0.09246309246309244</x:v>
      </x:c>
    </x:row>
    <x:row r="360">
      <x:c r="A360" s="12" t="str">
        <x:v>SALE-00359</x:v>
      </x:c>
      <x:c r="B360" s="14" t="n">
        <x:v>46204</x:v>
      </x:c>
      <x:c r="C360" s="12" t="str">
        <x:v>DLR-011</x:v>
      </x:c>
      <x:c r="D360" s="12" t="str">
        <x:v>VinFast HTA Phạm Văn Đồng</x:v>
      </x:c>
      <x:c r="E360" s="12" t="str">
        <x:v>VinFast</x:v>
      </x:c>
      <x:c r="F360" s="12" t="str">
        <x:v>VF 3</x:v>
      </x:c>
      <x:c r="G360" s="12" t="n">
        <x:v>9</x:v>
      </x:c>
      <x:c r="H360" s="12" t="n">
        <x:v>312</x:v>
      </x:c>
      <x:c r="I360" s="12" t="n">
        <x:v>2.81</x:v>
      </x:c>
      <x:c r="J360" s="16" t="n">
        <x:v>0.047459907273904256</x:v>
      </x:c>
      <x:c r="K360" s="12" t="n">
        <x:v>2.48</x:v>
      </x:c>
      <x:c r="L360" s="12" t="n">
        <x:f>I360-K360</x:f>
        <x:v>0.33000000000000007</x:v>
      </x:c>
      <x:c r="M360" s="16" t="n">
        <x:f>IFERROR(L360/I360,0)</x:f>
        <x:v>0.11743772241992885</x:v>
      </x:c>
    </x:row>
    <x:row r="361">
      <x:c r="A361" s="12" t="str">
        <x:v>SALE-00360</x:v>
      </x:c>
      <x:c r="B361" s="14" t="n">
        <x:v>46204</x:v>
      </x:c>
      <x:c r="C361" s="12" t="str">
        <x:v>DLR-011</x:v>
      </x:c>
      <x:c r="D361" s="12" t="str">
        <x:v>VinFast HTA Phạm Văn Đồng</x:v>
      </x:c>
      <x:c r="E361" s="12" t="str">
        <x:v>VinFast</x:v>
      </x:c>
      <x:c r="F361" s="12" t="str">
        <x:v>VF 5</x:v>
      </x:c>
      <x:c r="G361" s="12" t="n">
        <x:v>9</x:v>
      </x:c>
      <x:c r="H361" s="12" t="n">
        <x:v>516.6</x:v>
      </x:c>
      <x:c r="I361" s="12" t="n">
        <x:v>4.65</x:v>
      </x:c>
      <x:c r="J361" s="16" t="n">
        <x:v>0.02673770284700125</x:v>
      </x:c>
      <x:c r="K361" s="12" t="n">
        <x:v>4.1</x:v>
      </x:c>
      <x:c r="L361" s="12" t="n">
        <x:f>I361-K361</x:f>
        <x:v>0.5500000000000007</x:v>
      </x:c>
      <x:c r="M361" s="16" t="n">
        <x:f>IFERROR(L361/I361,0)</x:f>
        <x:v>0.11827956989247326</x:v>
      </x:c>
    </x:row>
    <x:row r="362">
      <x:c r="A362" s="12" t="str">
        <x:v>SALE-00361</x:v>
      </x:c>
      <x:c r="B362" s="14" t="n">
        <x:v>46204</x:v>
      </x:c>
      <x:c r="C362" s="12" t="str">
        <x:v>DLR-011</x:v>
      </x:c>
      <x:c r="D362" s="12" t="str">
        <x:v>VinFast HTA Phạm Văn Đồng</x:v>
      </x:c>
      <x:c r="E362" s="12" t="str">
        <x:v>VinFast</x:v>
      </x:c>
      <x:c r="F362" s="12" t="str">
        <x:v>VF 6</x:v>
      </x:c>
      <x:c r="G362" s="12" t="n">
        <x:v>6</x:v>
      </x:c>
      <x:c r="H362" s="12" t="n">
        <x:v>650</x:v>
      </x:c>
      <x:c r="I362" s="12" t="n">
        <x:v>3.9</x:v>
      </x:c>
      <x:c r="J362" s="16" t="n">
        <x:v>0.05233483919801589</x:v>
      </x:c>
      <x:c r="K362" s="12" t="n">
        <x:v>3.55</x:v>
      </x:c>
      <x:c r="L362" s="12" t="n">
        <x:f>I362-K362</x:f>
        <x:v>0.3500000000000001</x:v>
      </x:c>
      <x:c r="M362" s="16" t="n">
        <x:f>IFERROR(L362/I362,0)</x:f>
        <x:v>0.08974358974358977</x:v>
      </x:c>
    </x:row>
    <x:row r="363">
      <x:c r="A363" s="12" t="str">
        <x:v>SALE-00362</x:v>
      </x:c>
      <x:c r="B363" s="14" t="n">
        <x:v>46204</x:v>
      </x:c>
      <x:c r="C363" s="12" t="str">
        <x:v>DLR-011</x:v>
      </x:c>
      <x:c r="D363" s="12" t="str">
        <x:v>VinFast HTA Phạm Văn Đồng</x:v>
      </x:c>
      <x:c r="E363" s="12" t="str">
        <x:v>VinFast</x:v>
      </x:c>
      <x:c r="F363" s="12" t="str">
        <x:v>VF 7</x:v>
      </x:c>
      <x:c r="G363" s="12" t="n">
        <x:v>10</x:v>
      </x:c>
      <x:c r="H363" s="12" t="n">
        <x:v>835.9</x:v>
      </x:c>
      <x:c r="I363" s="12" t="n">
        <x:v>8.36</x:v>
      </x:c>
      <x:c r="J363" s="16" t="n">
        <x:v>0.025132550608104695</x:v>
      </x:c>
      <x:c r="K363" s="12" t="n">
        <x:v>7.73</x:v>
      </x:c>
      <x:c r="L363" s="12" t="n">
        <x:f>I363-K363</x:f>
        <x:v>0.629999999999999</x:v>
      </x:c>
      <x:c r="M363" s="16" t="n">
        <x:f>IFERROR(L363/I363,0)</x:f>
        <x:v>0.07535885167464103</x:v>
      </x:c>
    </x:row>
    <x:row r="364">
      <x:c r="A364" s="12" t="str">
        <x:v>SALE-00363</x:v>
      </x:c>
      <x:c r="B364" s="14" t="n">
        <x:v>46204</x:v>
      </x:c>
      <x:c r="C364" s="12" t="str">
        <x:v>DLR-011</x:v>
      </x:c>
      <x:c r="D364" s="12" t="str">
        <x:v>VinFast HTA Phạm Văn Đồng</x:v>
      </x:c>
      <x:c r="E364" s="12" t="str">
        <x:v>VinFast</x:v>
      </x:c>
      <x:c r="F364" s="12" t="str">
        <x:v>VF 8</x:v>
      </x:c>
      <x:c r="G364" s="12" t="n">
        <x:v>6</x:v>
      </x:c>
      <x:c r="H364" s="12" t="n">
        <x:v>987</x:v>
      </x:c>
      <x:c r="I364" s="12" t="n">
        <x:v>5.92</x:v>
      </x:c>
      <x:c r="J364" s="16" t="n">
        <x:v>0.046233662679137</x:v>
      </x:c>
      <x:c r="K364" s="12" t="n">
        <x:v>5.52</x:v>
      </x:c>
      <x:c r="L364" s="12" t="n">
        <x:f>I364-K364</x:f>
        <x:v>0.40000000000000036</x:v>
      </x:c>
      <x:c r="M364" s="16" t="n">
        <x:f>IFERROR(L364/I364,0)</x:f>
        <x:v>0.06756756756756763</x:v>
      </x:c>
    </x:row>
    <x:row r="365">
      <x:c r="A365" s="12" t="str">
        <x:v>SALE-00364</x:v>
      </x:c>
      <x:c r="B365" s="14" t="n">
        <x:v>46204</x:v>
      </x:c>
      <x:c r="C365" s="12" t="str">
        <x:v>DLR-011</x:v>
      </x:c>
      <x:c r="D365" s="12" t="str">
        <x:v>VinFast HTA Phạm Văn Đồng</x:v>
      </x:c>
      <x:c r="E365" s="12" t="str">
        <x:v>VinFast</x:v>
      </x:c>
      <x:c r="F365" s="12" t="str">
        <x:v>VF 9</x:v>
      </x:c>
      <x:c r="G365" s="12" t="n">
        <x:v>6</x:v>
      </x:c>
      <x:c r="H365" s="12" t="n">
        <x:v>1424</x:v>
      </x:c>
      <x:c r="I365" s="12" t="n">
        <x:v>8.54</x:v>
      </x:c>
      <x:c r="J365" s="16" t="n">
        <x:v>0.02972076697258692</x:v>
      </x:c>
      <x:c r="K365" s="12" t="n">
        <x:v>7.97</x:v>
      </x:c>
      <x:c r="L365" s="12" t="n">
        <x:f>I365-K365</x:f>
        <x:v>0.5699999999999994</x:v>
      </x:c>
      <x:c r="M365" s="16" t="n">
        <x:f>IFERROR(L365/I365,0)</x:f>
        <x:v>0.06674473067915684</x:v>
      </x:c>
    </x:row>
    <x:row r="366">
      <x:c r="A366" s="12" t="str">
        <x:v>SALE-00365</x:v>
      </x:c>
      <x:c r="B366" s="14" t="n">
        <x:v>46023</x:v>
      </x:c>
      <x:c r="C366" s="12" t="str">
        <x:v>DLR-012</x:v>
      </x:c>
      <x:c r="D366" s="12" t="str">
        <x:v>VinFast HTA Võ Chí Công</x:v>
      </x:c>
      <x:c r="E366" s="12" t="str">
        <x:v>VinFast</x:v>
      </x:c>
      <x:c r="F366" s="12" t="str">
        <x:v>VF 3</x:v>
      </x:c>
      <x:c r="G366" s="12" t="n">
        <x:v>10</x:v>
      </x:c>
      <x:c r="H366" s="12" t="n">
        <x:v>305.8</x:v>
      </x:c>
      <x:c r="I366" s="12" t="n">
        <x:v>3.06</x:v>
      </x:c>
      <x:c r="J366" s="16" t="n">
        <x:v>0.053948943372612364</x:v>
      </x:c>
      <x:c r="K366" s="12" t="n">
        <x:v>2.78</x:v>
      </x:c>
      <x:c r="L366" s="12" t="n">
        <x:f>I366-K366</x:f>
        <x:v>0.28000000000000025</x:v>
      </x:c>
      <x:c r="M366" s="16" t="n">
        <x:f>IFERROR(L366/I366,0)</x:f>
        <x:v>0.09150326797385629</x:v>
      </x:c>
    </x:row>
    <x:row r="367">
      <x:c r="A367" s="12" t="str">
        <x:v>SALE-00366</x:v>
      </x:c>
      <x:c r="B367" s="14" t="n">
        <x:v>46023</x:v>
      </x:c>
      <x:c r="C367" s="12" t="str">
        <x:v>DLR-012</x:v>
      </x:c>
      <x:c r="D367" s="12" t="str">
        <x:v>VinFast HTA Võ Chí Công</x:v>
      </x:c>
      <x:c r="E367" s="12" t="str">
        <x:v>VinFast</x:v>
      </x:c>
      <x:c r="F367" s="12" t="str">
        <x:v>VF 5</x:v>
      </x:c>
      <x:c r="G367" s="12" t="n">
        <x:v>8</x:v>
      </x:c>
      <x:c r="H367" s="12" t="n">
        <x:v>536.4</x:v>
      </x:c>
      <x:c r="I367" s="12" t="n">
        <x:v>4.29</x:v>
      </x:c>
      <x:c r="J367" s="16" t="n">
        <x:v>0.03577103414139768</x:v>
      </x:c>
      <x:c r="K367" s="12" t="n">
        <x:v>3.98</x:v>
      </x:c>
      <x:c r="L367" s="12" t="n">
        <x:f>I367-K367</x:f>
        <x:v>0.31000000000000005</x:v>
      </x:c>
      <x:c r="M367" s="16" t="n">
        <x:f>IFERROR(L367/I367,0)</x:f>
        <x:v>0.07226107226107227</x:v>
      </x:c>
    </x:row>
    <x:row r="368">
      <x:c r="A368" s="12" t="str">
        <x:v>SALE-00367</x:v>
      </x:c>
      <x:c r="B368" s="14" t="n">
        <x:v>46023</x:v>
      </x:c>
      <x:c r="C368" s="12" t="str">
        <x:v>DLR-012</x:v>
      </x:c>
      <x:c r="D368" s="12" t="str">
        <x:v>VinFast HTA Võ Chí Công</x:v>
      </x:c>
      <x:c r="E368" s="12" t="str">
        <x:v>VinFast</x:v>
      </x:c>
      <x:c r="F368" s="12" t="str">
        <x:v>VF 6</x:v>
      </x:c>
      <x:c r="G368" s="12" t="n">
        <x:v>9</x:v>
      </x:c>
      <x:c r="H368" s="12" t="n">
        <x:v>652</x:v>
      </x:c>
      <x:c r="I368" s="12" t="n">
        <x:v>5.87</x:v>
      </x:c>
      <x:c r="J368" s="16" t="n">
        <x:v>0.03909813195320909</x:v>
      </x:c>
      <x:c r="K368" s="12" t="n">
        <x:v>5.45</x:v>
      </x:c>
      <x:c r="L368" s="12" t="n">
        <x:f>I368-K368</x:f>
        <x:v>0.41999999999999993</x:v>
      </x:c>
      <x:c r="M368" s="16" t="n">
        <x:f>IFERROR(L368/I368,0)</x:f>
        <x:v>0.0715502555366269</x:v>
      </x:c>
    </x:row>
    <x:row r="369">
      <x:c r="A369" s="12" t="str">
        <x:v>SALE-00368</x:v>
      </x:c>
      <x:c r="B369" s="14" t="n">
        <x:v>46023</x:v>
      </x:c>
      <x:c r="C369" s="12" t="str">
        <x:v>DLR-012</x:v>
      </x:c>
      <x:c r="D369" s="12" t="str">
        <x:v>VinFast HTA Võ Chí Công</x:v>
      </x:c>
      <x:c r="E369" s="12" t="str">
        <x:v>VinFast</x:v>
      </x:c>
      <x:c r="F369" s="12" t="str">
        <x:v>VF 7</x:v>
      </x:c>
      <x:c r="G369" s="12" t="n">
        <x:v>8</x:v>
      </x:c>
      <x:c r="H369" s="12" t="n">
        <x:v>820.8</x:v>
      </x:c>
      <x:c r="I369" s="12" t="n">
        <x:v>6.57</x:v>
      </x:c>
      <x:c r="J369" s="16" t="n">
        <x:v>0.01820275644299981</x:v>
      </x:c>
      <x:c r="K369" s="12" t="n">
        <x:v>6.04</x:v>
      </x:c>
      <x:c r="L369" s="12" t="n">
        <x:f>I369-K369</x:f>
        <x:v>0.5300000000000002</x:v>
      </x:c>
      <x:c r="M369" s="16" t="n">
        <x:f>IFERROR(L369/I369,0)</x:f>
        <x:v>0.08066971080669715</x:v>
      </x:c>
    </x:row>
    <x:row r="370">
      <x:c r="A370" s="12" t="str">
        <x:v>SALE-00369</x:v>
      </x:c>
      <x:c r="B370" s="14" t="n">
        <x:v>46023</x:v>
      </x:c>
      <x:c r="C370" s="12" t="str">
        <x:v>DLR-012</x:v>
      </x:c>
      <x:c r="D370" s="12" t="str">
        <x:v>VinFast HTA Võ Chí Công</x:v>
      </x:c>
      <x:c r="E370" s="12" t="str">
        <x:v>VinFast</x:v>
      </x:c>
      <x:c r="F370" s="12" t="str">
        <x:v>VF 8</x:v>
      </x:c>
      <x:c r="G370" s="12" t="n">
        <x:v>7</x:v>
      </x:c>
      <x:c r="H370" s="12" t="n">
        <x:v>1007</x:v>
      </x:c>
      <x:c r="I370" s="12" t="n">
        <x:v>7.05</x:v>
      </x:c>
      <x:c r="J370" s="16" t="n">
        <x:v>0.032044642915321817</x:v>
      </x:c>
      <x:c r="K370" s="12" t="n">
        <x:v>6.49</x:v>
      </x:c>
      <x:c r="L370" s="12" t="n">
        <x:f>I370-K370</x:f>
        <x:v>0.5599999999999996</x:v>
      </x:c>
      <x:c r="M370" s="16" t="n">
        <x:f>IFERROR(L370/I370,0)</x:f>
        <x:v>0.07943262411347513</x:v>
      </x:c>
    </x:row>
    <x:row r="371">
      <x:c r="A371" s="12" t="str">
        <x:v>SALE-00370</x:v>
      </x:c>
      <x:c r="B371" s="14" t="n">
        <x:v>46023</x:v>
      </x:c>
      <x:c r="C371" s="12" t="str">
        <x:v>DLR-012</x:v>
      </x:c>
      <x:c r="D371" s="12" t="str">
        <x:v>VinFast HTA Võ Chí Công</x:v>
      </x:c>
      <x:c r="E371" s="12" t="str">
        <x:v>VinFast</x:v>
      </x:c>
      <x:c r="F371" s="12" t="str">
        <x:v>VF 9</x:v>
      </x:c>
      <x:c r="G371" s="12" t="n">
        <x:v>7</x:v>
      </x:c>
      <x:c r="H371" s="12" t="n">
        <x:v>1414.1</x:v>
      </x:c>
      <x:c r="I371" s="12" t="n">
        <x:v>9.9</x:v>
      </x:c>
      <x:c r="J371" s="16" t="n">
        <x:v>0.04980148700225569</x:v>
      </x:c>
      <x:c r="K371" s="12" t="n">
        <x:v>8.92</x:v>
      </x:c>
      <x:c r="L371" s="12" t="n">
        <x:f>I371-K371</x:f>
        <x:v>0.9800000000000004</x:v>
      </x:c>
      <x:c r="M371" s="16" t="n">
        <x:f>IFERROR(L371/I371,0)</x:f>
        <x:v>0.09898989898989903</x:v>
      </x:c>
    </x:row>
    <x:row r="372">
      <x:c r="A372" s="12" t="str">
        <x:v>SALE-00371</x:v>
      </x:c>
      <x:c r="B372" s="14" t="n">
        <x:v>46054</x:v>
      </x:c>
      <x:c r="C372" s="12" t="str">
        <x:v>DLR-012</x:v>
      </x:c>
      <x:c r="D372" s="12" t="str">
        <x:v>VinFast HTA Võ Chí Công</x:v>
      </x:c>
      <x:c r="E372" s="12" t="str">
        <x:v>VinFast</x:v>
      </x:c>
      <x:c r="F372" s="12" t="str">
        <x:v>VF 3</x:v>
      </x:c>
      <x:c r="G372" s="12" t="n">
        <x:v>11</x:v>
      </x:c>
      <x:c r="H372" s="12" t="n">
        <x:v>303</x:v>
      </x:c>
      <x:c r="I372" s="12" t="n">
        <x:v>3.33</x:v>
      </x:c>
      <x:c r="J372" s="16" t="n">
        <x:v>0.054201091167771165</x:v>
      </x:c>
      <x:c r="K372" s="12" t="n">
        <x:v>3.12</x:v>
      </x:c>
      <x:c r="L372" s="12" t="n">
        <x:f>I372-K372</x:f>
        <x:v>0.20999999999999996</x:v>
      </x:c>
      <x:c r="M372" s="16" t="n">
        <x:f>IFERROR(L372/I372,0)</x:f>
        <x:v>0.06306306306306306</x:v>
      </x:c>
    </x:row>
    <x:row r="373">
      <x:c r="A373" s="12" t="str">
        <x:v>SALE-00372</x:v>
      </x:c>
      <x:c r="B373" s="14" t="n">
        <x:v>46054</x:v>
      </x:c>
      <x:c r="C373" s="12" t="str">
        <x:v>DLR-012</x:v>
      </x:c>
      <x:c r="D373" s="12" t="str">
        <x:v>VinFast HTA Võ Chí Công</x:v>
      </x:c>
      <x:c r="E373" s="12" t="str">
        <x:v>VinFast</x:v>
      </x:c>
      <x:c r="F373" s="12" t="str">
        <x:v>VF 5</x:v>
      </x:c>
      <x:c r="G373" s="12" t="n">
        <x:v>5</x:v>
      </x:c>
      <x:c r="H373" s="12" t="n">
        <x:v>524.2</x:v>
      </x:c>
      <x:c r="I373" s="12" t="n">
        <x:v>2.62</x:v>
      </x:c>
      <x:c r="J373" s="16" t="n">
        <x:v>0.029532445226039292</x:v>
      </x:c>
      <x:c r="K373" s="12" t="n">
        <x:v>2.43</x:v>
      </x:c>
      <x:c r="L373" s="12" t="n">
        <x:f>I373-K373</x:f>
        <x:v>0.18999999999999995</x:v>
      </x:c>
      <x:c r="M373" s="16" t="n">
        <x:f>IFERROR(L373/I373,0)</x:f>
        <x:v>0.07251908396946563</x:v>
      </x:c>
    </x:row>
    <x:row r="374">
      <x:c r="A374" s="12" t="str">
        <x:v>SALE-00373</x:v>
      </x:c>
      <x:c r="B374" s="14" t="n">
        <x:v>46054</x:v>
      </x:c>
      <x:c r="C374" s="12" t="str">
        <x:v>DLR-012</x:v>
      </x:c>
      <x:c r="D374" s="12" t="str">
        <x:v>VinFast HTA Võ Chí Công</x:v>
      </x:c>
      <x:c r="E374" s="12" t="str">
        <x:v>VinFast</x:v>
      </x:c>
      <x:c r="F374" s="12" t="str">
        <x:v>VF 6</x:v>
      </x:c>
      <x:c r="G374" s="12" t="n">
        <x:v>9</x:v>
      </x:c>
      <x:c r="H374" s="12" t="n">
        <x:v>700.2</x:v>
      </x:c>
      <x:c r="I374" s="12" t="n">
        <x:v>6.3</x:v>
      </x:c>
      <x:c r="J374" s="16" t="n">
        <x:v>0.02071117873450199</x:v>
      </x:c>
      <x:c r="K374" s="12" t="n">
        <x:v>5.78</x:v>
      </x:c>
      <x:c r="L374" s="12" t="n">
        <x:f>I374-K374</x:f>
        <x:v>0.5199999999999996</x:v>
      </x:c>
      <x:c r="M374" s="16" t="n">
        <x:f>IFERROR(L374/I374,0)</x:f>
        <x:v>0.08253968253968247</x:v>
      </x:c>
    </x:row>
    <x:row r="375">
      <x:c r="A375" s="12" t="str">
        <x:v>SALE-00374</x:v>
      </x:c>
      <x:c r="B375" s="14" t="n">
        <x:v>46054</x:v>
      </x:c>
      <x:c r="C375" s="12" t="str">
        <x:v>DLR-012</x:v>
      </x:c>
      <x:c r="D375" s="12" t="str">
        <x:v>VinFast HTA Võ Chí Công</x:v>
      </x:c>
      <x:c r="E375" s="12" t="str">
        <x:v>VinFast</x:v>
      </x:c>
      <x:c r="F375" s="12" t="str">
        <x:v>VF 7</x:v>
      </x:c>
      <x:c r="G375" s="12" t="n">
        <x:v>10</x:v>
      </x:c>
      <x:c r="H375" s="12" t="n">
        <x:v>801.4</x:v>
      </x:c>
      <x:c r="I375" s="12" t="n">
        <x:v>8.01</x:v>
      </x:c>
      <x:c r="J375" s="16" t="n">
        <x:v>0.017689334522484352</x:v>
      </x:c>
      <x:c r="K375" s="12" t="n">
        <x:v>7.43</x:v>
      </x:c>
      <x:c r="L375" s="12" t="n">
        <x:f>I375-K375</x:f>
        <x:v>0.5800000000000001</x:v>
      </x:c>
      <x:c r="M375" s="16" t="n">
        <x:f>IFERROR(L375/I375,0)</x:f>
        <x:v>0.07240948813982523</x:v>
      </x:c>
    </x:row>
    <x:row r="376">
      <x:c r="A376" s="12" t="str">
        <x:v>SALE-00375</x:v>
      </x:c>
      <x:c r="B376" s="14" t="n">
        <x:v>46054</x:v>
      </x:c>
      <x:c r="C376" s="12" t="str">
        <x:v>DLR-012</x:v>
      </x:c>
      <x:c r="D376" s="12" t="str">
        <x:v>VinFast HTA Võ Chí Công</x:v>
      </x:c>
      <x:c r="E376" s="12" t="str">
        <x:v>VinFast</x:v>
      </x:c>
      <x:c r="F376" s="12" t="str">
        <x:v>VF 8</x:v>
      </x:c>
      <x:c r="G376" s="12" t="n">
        <x:v>7</x:v>
      </x:c>
      <x:c r="H376" s="12" t="n">
        <x:v>989.1</x:v>
      </x:c>
      <x:c r="I376" s="12" t="n">
        <x:v>6.92</x:v>
      </x:c>
      <x:c r="J376" s="16" t="n">
        <x:v>0.037689785668964776</x:v>
      </x:c>
      <x:c r="K376" s="12" t="n">
        <x:v>6.34</x:v>
      </x:c>
      <x:c r="L376" s="12" t="n">
        <x:f>I376-K376</x:f>
        <x:v>0.5800000000000001</x:v>
      </x:c>
      <x:c r="M376" s="16" t="n">
        <x:f>IFERROR(L376/I376,0)</x:f>
        <x:v>0.08381502890173412</x:v>
      </x:c>
    </x:row>
    <x:row r="377">
      <x:c r="A377" s="12" t="str">
        <x:v>SALE-00376</x:v>
      </x:c>
      <x:c r="B377" s="14" t="n">
        <x:v>46054</x:v>
      </x:c>
      <x:c r="C377" s="12" t="str">
        <x:v>DLR-012</x:v>
      </x:c>
      <x:c r="D377" s="12" t="str">
        <x:v>VinFast HTA Võ Chí Công</x:v>
      </x:c>
      <x:c r="E377" s="12" t="str">
        <x:v>VinFast</x:v>
      </x:c>
      <x:c r="F377" s="12" t="str">
        <x:v>VF 9</x:v>
      </x:c>
      <x:c r="G377" s="12" t="n">
        <x:v>9</x:v>
      </x:c>
      <x:c r="H377" s="12" t="n">
        <x:v>1522.8</x:v>
      </x:c>
      <x:c r="I377" s="12" t="n">
        <x:v>13.71</x:v>
      </x:c>
      <x:c r="J377" s="16" t="n">
        <x:v>0.02988053513882735</x:v>
      </x:c>
      <x:c r="K377" s="12" t="n">
        <x:v>12.69</x:v>
      </x:c>
      <x:c r="L377" s="12" t="n">
        <x:f>I377-K377</x:f>
        <x:v>1.0200000000000014</x:v>
      </x:c>
      <x:c r="M377" s="16" t="n">
        <x:f>IFERROR(L377/I377,0)</x:f>
        <x:v>0.07439824945295415</x:v>
      </x:c>
    </x:row>
    <x:row r="378">
      <x:c r="A378" s="12" t="str">
        <x:v>SALE-00377</x:v>
      </x:c>
      <x:c r="B378" s="14" t="n">
        <x:v>46082</x:v>
      </x:c>
      <x:c r="C378" s="12" t="str">
        <x:v>DLR-012</x:v>
      </x:c>
      <x:c r="D378" s="12" t="str">
        <x:v>VinFast HTA Võ Chí Công</x:v>
      </x:c>
      <x:c r="E378" s="12" t="str">
        <x:v>VinFast</x:v>
      </x:c>
      <x:c r="F378" s="12" t="str">
        <x:v>VF 3</x:v>
      </x:c>
      <x:c r="G378" s="12" t="n">
        <x:v>9</x:v>
      </x:c>
      <x:c r="H378" s="12" t="n">
        <x:v>309.4</x:v>
      </x:c>
      <x:c r="I378" s="12" t="n">
        <x:v>2.78</x:v>
      </x:c>
      <x:c r="J378" s="16" t="n">
        <x:v>0.030921361838098</x:v>
      </x:c>
      <x:c r="K378" s="12" t="n">
        <x:v>2.56</x:v>
      </x:c>
      <x:c r="L378" s="12" t="n">
        <x:f>I378-K378</x:f>
        <x:v>0.21999999999999975</x:v>
      </x:c>
      <x:c r="M378" s="16" t="n">
        <x:f>IFERROR(L378/I378,0)</x:f>
        <x:v>0.07913669064748192</x:v>
      </x:c>
    </x:row>
    <x:row r="379">
      <x:c r="A379" s="12" t="str">
        <x:v>SALE-00378</x:v>
      </x:c>
      <x:c r="B379" s="14" t="n">
        <x:v>46082</x:v>
      </x:c>
      <x:c r="C379" s="12" t="str">
        <x:v>DLR-012</x:v>
      </x:c>
      <x:c r="D379" s="12" t="str">
        <x:v>VinFast HTA Võ Chí Công</x:v>
      </x:c>
      <x:c r="E379" s="12" t="str">
        <x:v>VinFast</x:v>
      </x:c>
      <x:c r="F379" s="12" t="str">
        <x:v>VF 5</x:v>
      </x:c>
      <x:c r="G379" s="12" t="n">
        <x:v>7</x:v>
      </x:c>
      <x:c r="H379" s="12" t="n">
        <x:v>502.1</x:v>
      </x:c>
      <x:c r="I379" s="12" t="n">
        <x:v>3.51</x:v>
      </x:c>
      <x:c r="J379" s="16" t="n">
        <x:v>0.044426994379177104</x:v>
      </x:c>
      <x:c r="K379" s="12" t="n">
        <x:v>3.2</x:v>
      </x:c>
      <x:c r="L379" s="12" t="n">
        <x:f>I379-K379</x:f>
        <x:v>0.3099999999999996</x:v>
      </x:c>
      <x:c r="M379" s="16" t="n">
        <x:f>IFERROR(L379/I379,0)</x:f>
        <x:v>0.08831908831908822</x:v>
      </x:c>
    </x:row>
    <x:row r="380">
      <x:c r="A380" s="12" t="str">
        <x:v>SALE-00379</x:v>
      </x:c>
      <x:c r="B380" s="14" t="n">
        <x:v>46082</x:v>
      </x:c>
      <x:c r="C380" s="12" t="str">
        <x:v>DLR-012</x:v>
      </x:c>
      <x:c r="D380" s="12" t="str">
        <x:v>VinFast HTA Võ Chí Công</x:v>
      </x:c>
      <x:c r="E380" s="12" t="str">
        <x:v>VinFast</x:v>
      </x:c>
      <x:c r="F380" s="12" t="str">
        <x:v>VF 6</x:v>
      </x:c>
      <x:c r="G380" s="12" t="n">
        <x:v>8</x:v>
      </x:c>
      <x:c r="H380" s="12" t="n">
        <x:v>678.6</x:v>
      </x:c>
      <x:c r="I380" s="12" t="n">
        <x:v>5.43</x:v>
      </x:c>
      <x:c r="J380" s="16" t="n">
        <x:v>0.02547106706349983</x:v>
      </x:c>
      <x:c r="K380" s="12" t="n">
        <x:v>4.86</x:v>
      </x:c>
      <x:c r="L380" s="12" t="n">
        <x:f>I380-K380</x:f>
        <x:v>0.5699999999999994</x:v>
      </x:c>
      <x:c r="M380" s="16" t="n">
        <x:f>IFERROR(L380/I380,0)</x:f>
        <x:v>0.10497237569060763</x:v>
      </x:c>
    </x:row>
    <x:row r="381">
      <x:c r="A381" s="12" t="str">
        <x:v>SALE-00380</x:v>
      </x:c>
      <x:c r="B381" s="14" t="n">
        <x:v>46082</x:v>
      </x:c>
      <x:c r="C381" s="12" t="str">
        <x:v>DLR-012</x:v>
      </x:c>
      <x:c r="D381" s="12" t="str">
        <x:v>VinFast HTA Võ Chí Công</x:v>
      </x:c>
      <x:c r="E381" s="12" t="str">
        <x:v>VinFast</x:v>
      </x:c>
      <x:c r="F381" s="12" t="str">
        <x:v>VF 7</x:v>
      </x:c>
      <x:c r="G381" s="12" t="n">
        <x:v>8</x:v>
      </x:c>
      <x:c r="H381" s="12" t="n">
        <x:v>866.8</x:v>
      </x:c>
      <x:c r="I381" s="12" t="n">
        <x:v>6.93</x:v>
      </x:c>
      <x:c r="J381" s="16" t="n">
        <x:v>0.026423075107926318</x:v>
      </x:c>
      <x:c r="K381" s="12" t="n">
        <x:v>6.48</x:v>
      </x:c>
      <x:c r="L381" s="12" t="n">
        <x:f>I381-K381</x:f>
        <x:v>0.4499999999999993</x:v>
      </x:c>
      <x:c r="M381" s="16" t="n">
        <x:f>IFERROR(L381/I381,0)</x:f>
        <x:v>0.06493506493506483</x:v>
      </x:c>
    </x:row>
    <x:row r="382">
      <x:c r="A382" s="12" t="str">
        <x:v>SALE-00381</x:v>
      </x:c>
      <x:c r="B382" s="14" t="n">
        <x:v>46082</x:v>
      </x:c>
      <x:c r="C382" s="12" t="str">
        <x:v>DLR-012</x:v>
      </x:c>
      <x:c r="D382" s="12" t="str">
        <x:v>VinFast HTA Võ Chí Công</x:v>
      </x:c>
      <x:c r="E382" s="12" t="str">
        <x:v>VinFast</x:v>
      </x:c>
      <x:c r="F382" s="12" t="str">
        <x:v>VF 8</x:v>
      </x:c>
      <x:c r="G382" s="12" t="n">
        <x:v>8</x:v>
      </x:c>
      <x:c r="H382" s="12" t="n">
        <x:v>967.9</x:v>
      </x:c>
      <x:c r="I382" s="12" t="n">
        <x:v>7.74</x:v>
      </x:c>
      <x:c r="J382" s="16" t="n">
        <x:v>0.04911305161537291</x:v>
      </x:c>
      <x:c r="K382" s="12" t="n">
        <x:v>7.02</x:v>
      </x:c>
      <x:c r="L382" s="12" t="n">
        <x:f>I382-K382</x:f>
        <x:v>0.7200000000000006</x:v>
      </x:c>
      <x:c r="M382" s="16" t="n">
        <x:f>IFERROR(L382/I382,0)</x:f>
        <x:v>0.09302325581395357</x:v>
      </x:c>
    </x:row>
    <x:row r="383">
      <x:c r="A383" s="12" t="str">
        <x:v>SALE-00382</x:v>
      </x:c>
      <x:c r="B383" s="14" t="n">
        <x:v>46082</x:v>
      </x:c>
      <x:c r="C383" s="12" t="str">
        <x:v>DLR-012</x:v>
      </x:c>
      <x:c r="D383" s="12" t="str">
        <x:v>VinFast HTA Võ Chí Công</x:v>
      </x:c>
      <x:c r="E383" s="12" t="str">
        <x:v>VinFast</x:v>
      </x:c>
      <x:c r="F383" s="12" t="str">
        <x:v>VF 9</x:v>
      </x:c>
      <x:c r="G383" s="12" t="n">
        <x:v>11</x:v>
      </x:c>
      <x:c r="H383" s="12" t="n">
        <x:v>1462.4</x:v>
      </x:c>
      <x:c r="I383" s="12" t="n">
        <x:v>16.09</x:v>
      </x:c>
      <x:c r="J383" s="16" t="n">
        <x:v>0.018511629644189242</x:v>
      </x:c>
      <x:c r="K383" s="12" t="n">
        <x:v>14.81</x:v>
      </x:c>
      <x:c r="L383" s="12" t="n">
        <x:f>I383-K383</x:f>
        <x:v>1.2799999999999994</x:v>
      </x:c>
      <x:c r="M383" s="16" t="n">
        <x:f>IFERROR(L383/I383,0)</x:f>
        <x:v>0.07955251709136106</x:v>
      </x:c>
    </x:row>
    <x:row r="384">
      <x:c r="A384" s="12" t="str">
        <x:v>SALE-00383</x:v>
      </x:c>
      <x:c r="B384" s="14" t="n">
        <x:v>46113</x:v>
      </x:c>
      <x:c r="C384" s="12" t="str">
        <x:v>DLR-012</x:v>
      </x:c>
      <x:c r="D384" s="12" t="str">
        <x:v>VinFast HTA Võ Chí Công</x:v>
      </x:c>
      <x:c r="E384" s="12" t="str">
        <x:v>VinFast</x:v>
      </x:c>
      <x:c r="F384" s="12" t="str">
        <x:v>VF 3</x:v>
      </x:c>
      <x:c r="G384" s="12" t="n">
        <x:v>11</x:v>
      </x:c>
      <x:c r="H384" s="12" t="n">
        <x:v>304.2</x:v>
      </x:c>
      <x:c r="I384" s="12" t="n">
        <x:v>3.35</x:v>
      </x:c>
      <x:c r="J384" s="16" t="n">
        <x:v>0.02889701178954258</x:v>
      </x:c>
      <x:c r="K384" s="12" t="n">
        <x:v>2.96</x:v>
      </x:c>
      <x:c r="L384" s="12" t="n">
        <x:f>I384-K384</x:f>
        <x:v>0.3900000000000001</x:v>
      </x:c>
      <x:c r="M384" s="16" t="n">
        <x:f>IFERROR(L384/I384,0)</x:f>
        <x:v>0.11641791044776123</x:v>
      </x:c>
    </x:row>
    <x:row r="385">
      <x:c r="A385" s="12" t="str">
        <x:v>SALE-00384</x:v>
      </x:c>
      <x:c r="B385" s="14" t="n">
        <x:v>46113</x:v>
      </x:c>
      <x:c r="C385" s="12" t="str">
        <x:v>DLR-012</x:v>
      </x:c>
      <x:c r="D385" s="12" t="str">
        <x:v>VinFast HTA Võ Chí Công</x:v>
      </x:c>
      <x:c r="E385" s="12" t="str">
        <x:v>VinFast</x:v>
      </x:c>
      <x:c r="F385" s="12" t="str">
        <x:v>VF 5</x:v>
      </x:c>
      <x:c r="G385" s="12" t="n">
        <x:v>9</x:v>
      </x:c>
      <x:c r="H385" s="12" t="n">
        <x:v>535</x:v>
      </x:c>
      <x:c r="I385" s="12" t="n">
        <x:v>4.81</x:v>
      </x:c>
      <x:c r="J385" s="16" t="n">
        <x:v>0.04905448203012504</x:v>
      </x:c>
      <x:c r="K385" s="12" t="n">
        <x:v>4.44</x:v>
      </x:c>
      <x:c r="L385" s="12" t="n">
        <x:f>I385-K385</x:f>
        <x:v>0.3699999999999992</x:v>
      </x:c>
      <x:c r="M385" s="16" t="n">
        <x:f>IFERROR(L385/I385,0)</x:f>
        <x:v>0.07692307692307676</x:v>
      </x:c>
    </x:row>
    <x:row r="386">
      <x:c r="A386" s="12" t="str">
        <x:v>SALE-00385</x:v>
      </x:c>
      <x:c r="B386" s="14" t="n">
        <x:v>46113</x:v>
      </x:c>
      <x:c r="C386" s="12" t="str">
        <x:v>DLR-012</x:v>
      </x:c>
      <x:c r="D386" s="12" t="str">
        <x:v>VinFast HTA Võ Chí Công</x:v>
      </x:c>
      <x:c r="E386" s="12" t="str">
        <x:v>VinFast</x:v>
      </x:c>
      <x:c r="F386" s="12" t="str">
        <x:v>VF 6</x:v>
      </x:c>
      <x:c r="G386" s="12" t="n">
        <x:v>12</x:v>
      </x:c>
      <x:c r="H386" s="12" t="n">
        <x:v>682.8</x:v>
      </x:c>
      <x:c r="I386" s="12" t="n">
        <x:v>8.19</x:v>
      </x:c>
      <x:c r="J386" s="16" t="n">
        <x:v>0.04674785535380011</x:v>
      </x:c>
      <x:c r="K386" s="12" t="n">
        <x:v>7.46</x:v>
      </x:c>
      <x:c r="L386" s="12" t="n">
        <x:f>I386-K386</x:f>
        <x:v>0.7299999999999995</x:v>
      </x:c>
      <x:c r="M386" s="16" t="n">
        <x:f>IFERROR(L386/I386,0)</x:f>
        <x:v>0.08913308913308908</x:v>
      </x:c>
    </x:row>
    <x:row r="387">
      <x:c r="A387" s="12" t="str">
        <x:v>SALE-00386</x:v>
      </x:c>
      <x:c r="B387" s="14" t="n">
        <x:v>46113</x:v>
      </x:c>
      <x:c r="C387" s="12" t="str">
        <x:v>DLR-012</x:v>
      </x:c>
      <x:c r="D387" s="12" t="str">
        <x:v>VinFast HTA Võ Chí Công</x:v>
      </x:c>
      <x:c r="E387" s="12" t="str">
        <x:v>VinFast</x:v>
      </x:c>
      <x:c r="F387" s="12" t="str">
        <x:v>VF 7</x:v>
      </x:c>
      <x:c r="G387" s="12" t="n">
        <x:v>6</x:v>
      </x:c>
      <x:c r="H387" s="12" t="n">
        <x:v>812.7</x:v>
      </x:c>
      <x:c r="I387" s="12" t="n">
        <x:v>4.88</x:v>
      </x:c>
      <x:c r="J387" s="16" t="n">
        <x:v>0.02055507488153463</x:v>
      </x:c>
      <x:c r="K387" s="12" t="n">
        <x:v>4.52</x:v>
      </x:c>
      <x:c r="L387" s="12" t="n">
        <x:f>I387-K387</x:f>
        <x:v>0.3600000000000003</x:v>
      </x:c>
      <x:c r="M387" s="16" t="n">
        <x:f>IFERROR(L387/I387,0)</x:f>
        <x:v>0.07377049180327876</x:v>
      </x:c>
    </x:row>
    <x:row r="388">
      <x:c r="A388" s="12" t="str">
        <x:v>SALE-00387</x:v>
      </x:c>
      <x:c r="B388" s="14" t="n">
        <x:v>46113</x:v>
      </x:c>
      <x:c r="C388" s="12" t="str">
        <x:v>DLR-012</x:v>
      </x:c>
      <x:c r="D388" s="12" t="str">
        <x:v>VinFast HTA Võ Chí Công</x:v>
      </x:c>
      <x:c r="E388" s="12" t="str">
        <x:v>VinFast</x:v>
      </x:c>
      <x:c r="F388" s="12" t="str">
        <x:v>VF 8</x:v>
      </x:c>
      <x:c r="G388" s="12" t="n">
        <x:v>5</x:v>
      </x:c>
      <x:c r="H388" s="12" t="n">
        <x:v>1003</x:v>
      </x:c>
      <x:c r="I388" s="12" t="n">
        <x:v>5.02</x:v>
      </x:c>
      <x:c r="J388" s="16" t="n">
        <x:v>0.02975644662004883</x:v>
      </x:c>
      <x:c r="K388" s="12" t="n">
        <x:v>4.66</x:v>
      </x:c>
      <x:c r="L388" s="12" t="n">
        <x:f>I388-K388</x:f>
        <x:v>0.35999999999999943</x:v>
      </x:c>
      <x:c r="M388" s="16" t="n">
        <x:f>IFERROR(L388/I388,0)</x:f>
        <x:v>0.07171314741035846</x:v>
      </x:c>
    </x:row>
    <x:row r="389">
      <x:c r="A389" s="12" t="str">
        <x:v>SALE-00388</x:v>
      </x:c>
      <x:c r="B389" s="14" t="n">
        <x:v>46113</x:v>
      </x:c>
      <x:c r="C389" s="12" t="str">
        <x:v>DLR-012</x:v>
      </x:c>
      <x:c r="D389" s="12" t="str">
        <x:v>VinFast HTA Võ Chí Công</x:v>
      </x:c>
      <x:c r="E389" s="12" t="str">
        <x:v>VinFast</x:v>
      </x:c>
      <x:c r="F389" s="12" t="str">
        <x:v>VF 9</x:v>
      </x:c>
      <x:c r="G389" s="12" t="n">
        <x:v>9</x:v>
      </x:c>
      <x:c r="H389" s="12" t="n">
        <x:v>1482.4</x:v>
      </x:c>
      <x:c r="I389" s="12" t="n">
        <x:v>13.34</x:v>
      </x:c>
      <x:c r="J389" s="16" t="n">
        <x:v>0.01844861926607731</x:v>
      </x:c>
      <x:c r="K389" s="12" t="n">
        <x:v>11.99</x:v>
      </x:c>
      <x:c r="L389" s="12" t="n">
        <x:f>I389-K389</x:f>
        <x:v>1.3499999999999996</x:v>
      </x:c>
      <x:c r="M389" s="16" t="n">
        <x:f>IFERROR(L389/I389,0)</x:f>
        <x:v>0.10119940029985004</x:v>
      </x:c>
    </x:row>
    <x:row r="390">
      <x:c r="A390" s="12" t="str">
        <x:v>SALE-00389</x:v>
      </x:c>
      <x:c r="B390" s="14" t="n">
        <x:v>46143</x:v>
      </x:c>
      <x:c r="C390" s="12" t="str">
        <x:v>DLR-012</x:v>
      </x:c>
      <x:c r="D390" s="12" t="str">
        <x:v>VinFast HTA Võ Chí Công</x:v>
      </x:c>
      <x:c r="E390" s="12" t="str">
        <x:v>VinFast</x:v>
      </x:c>
      <x:c r="F390" s="12" t="str">
        <x:v>VF 3</x:v>
      </x:c>
      <x:c r="G390" s="12" t="n">
        <x:v>13</x:v>
      </x:c>
      <x:c r="H390" s="12" t="n">
        <x:v>314.2</x:v>
      </x:c>
      <x:c r="I390" s="12" t="n">
        <x:v>4.08</x:v>
      </x:c>
      <x:c r="J390" s="16" t="n">
        <x:v>0.036027826193212</x:v>
      </x:c>
      <x:c r="K390" s="12" t="n">
        <x:v>3.78</x:v>
      </x:c>
      <x:c r="L390" s="12" t="n">
        <x:f>I390-K390</x:f>
        <x:v>0.30000000000000027</x:v>
      </x:c>
      <x:c r="M390" s="16" t="n">
        <x:f>IFERROR(L390/I390,0)</x:f>
        <x:v>0.07352941176470594</x:v>
      </x:c>
    </x:row>
    <x:row r="391">
      <x:c r="A391" s="12" t="str">
        <x:v>SALE-00390</x:v>
      </x:c>
      <x:c r="B391" s="14" t="n">
        <x:v>46143</x:v>
      </x:c>
      <x:c r="C391" s="12" t="str">
        <x:v>DLR-012</x:v>
      </x:c>
      <x:c r="D391" s="12" t="str">
        <x:v>VinFast HTA Võ Chí Công</x:v>
      </x:c>
      <x:c r="E391" s="12" t="str">
        <x:v>VinFast</x:v>
      </x:c>
      <x:c r="F391" s="12" t="str">
        <x:v>VF 5</x:v>
      </x:c>
      <x:c r="G391" s="12" t="n">
        <x:v>11</x:v>
      </x:c>
      <x:c r="H391" s="12" t="n">
        <x:v>500.4</x:v>
      </x:c>
      <x:c r="I391" s="12" t="n">
        <x:v>5.5</x:v>
      </x:c>
      <x:c r="J391" s="16" t="n">
        <x:v>0.05389518926055063</x:v>
      </x:c>
      <x:c r="K391" s="12" t="n">
        <x:v>5.06</x:v>
      </x:c>
      <x:c r="L391" s="12" t="n">
        <x:f>I391-K391</x:f>
        <x:v>0.4400000000000004</x:v>
      </x:c>
      <x:c r="M391" s="16" t="n">
        <x:f>IFERROR(L391/I391,0)</x:f>
        <x:v>0.08000000000000007</x:v>
      </x:c>
    </x:row>
    <x:row r="392">
      <x:c r="A392" s="12" t="str">
        <x:v>SALE-00391</x:v>
      </x:c>
      <x:c r="B392" s="14" t="n">
        <x:v>46143</x:v>
      </x:c>
      <x:c r="C392" s="12" t="str">
        <x:v>DLR-012</x:v>
      </x:c>
      <x:c r="D392" s="12" t="str">
        <x:v>VinFast HTA Võ Chí Công</x:v>
      </x:c>
      <x:c r="E392" s="12" t="str">
        <x:v>VinFast</x:v>
      </x:c>
      <x:c r="F392" s="12" t="str">
        <x:v>VF 6</x:v>
      </x:c>
      <x:c r="G392" s="12" t="n">
        <x:v>9</x:v>
      </x:c>
      <x:c r="H392" s="12" t="n">
        <x:v>685.1</x:v>
      </x:c>
      <x:c r="I392" s="12" t="n">
        <x:v>6.17</x:v>
      </x:c>
      <x:c r="J392" s="16" t="n">
        <x:v>0.028780591228107985</x:v>
      </x:c>
      <x:c r="K392" s="12" t="n">
        <x:v>5.75</x:v>
      </x:c>
      <x:c r="L392" s="12" t="n">
        <x:f>I392-K392</x:f>
        <x:v>0.41999999999999993</x:v>
      </x:c>
      <x:c r="M392" s="16" t="n">
        <x:f>IFERROR(L392/I392,0)</x:f>
        <x:v>0.06807131280388978</x:v>
      </x:c>
    </x:row>
    <x:row r="393">
      <x:c r="A393" s="12" t="str">
        <x:v>SALE-00392</x:v>
      </x:c>
      <x:c r="B393" s="14" t="n">
        <x:v>46143</x:v>
      </x:c>
      <x:c r="C393" s="12" t="str">
        <x:v>DLR-012</x:v>
      </x:c>
      <x:c r="D393" s="12" t="str">
        <x:v>VinFast HTA Võ Chí Công</x:v>
      </x:c>
      <x:c r="E393" s="12" t="str">
        <x:v>VinFast</x:v>
      </x:c>
      <x:c r="F393" s="12" t="str">
        <x:v>VF 7</x:v>
      </x:c>
      <x:c r="G393" s="12" t="n">
        <x:v>11</x:v>
      </x:c>
      <x:c r="H393" s="12" t="n">
        <x:v>842.5</x:v>
      </x:c>
      <x:c r="I393" s="12" t="n">
        <x:v>9.27</x:v>
      </x:c>
      <x:c r="J393" s="16" t="n">
        <x:v>0.022278525462085495</x:v>
      </x:c>
      <x:c r="K393" s="12" t="n">
        <x:v>8.69</x:v>
      </x:c>
      <x:c r="L393" s="12" t="n">
        <x:f>I393-K393</x:f>
        <x:v>0.5800000000000001</x:v>
      </x:c>
      <x:c r="M393" s="16" t="n">
        <x:f>IFERROR(L393/I393,0)</x:f>
        <x:v>0.06256742179072278</x:v>
      </x:c>
    </x:row>
    <x:row r="394">
      <x:c r="A394" s="12" t="str">
        <x:v>SALE-00393</x:v>
      </x:c>
      <x:c r="B394" s="14" t="n">
        <x:v>46143</x:v>
      </x:c>
      <x:c r="C394" s="12" t="str">
        <x:v>DLR-012</x:v>
      </x:c>
      <x:c r="D394" s="12" t="str">
        <x:v>VinFast HTA Võ Chí Công</x:v>
      </x:c>
      <x:c r="E394" s="12" t="str">
        <x:v>VinFast</x:v>
      </x:c>
      <x:c r="F394" s="12" t="str">
        <x:v>VF 8</x:v>
      </x:c>
      <x:c r="G394" s="12" t="n">
        <x:v>9</x:v>
      </x:c>
      <x:c r="H394" s="12" t="n">
        <x:v>1032.1</x:v>
      </x:c>
      <x:c r="I394" s="12" t="n">
        <x:v>9.29</x:v>
      </x:c>
      <x:c r="J394" s="16" t="n">
        <x:v>0.017216514000711083</x:v>
      </x:c>
      <x:c r="K394" s="12" t="n">
        <x:v>8.24</x:v>
      </x:c>
      <x:c r="L394" s="12" t="n">
        <x:f>I394-K394</x:f>
        <x:v>1.049999999999999</x:v>
      </x:c>
      <x:c r="M394" s="16" t="n">
        <x:f>IFERROR(L394/I394,0)</x:f>
        <x:v>0.11302475780409031</x:v>
      </x:c>
    </x:row>
    <x:row r="395">
      <x:c r="A395" s="12" t="str">
        <x:v>SALE-00394</x:v>
      </x:c>
      <x:c r="B395" s="14" t="n">
        <x:v>46143</x:v>
      </x:c>
      <x:c r="C395" s="12" t="str">
        <x:v>DLR-012</x:v>
      </x:c>
      <x:c r="D395" s="12" t="str">
        <x:v>VinFast HTA Võ Chí Công</x:v>
      </x:c>
      <x:c r="E395" s="12" t="str">
        <x:v>VinFast</x:v>
      </x:c>
      <x:c r="F395" s="12" t="str">
        <x:v>VF 9</x:v>
      </x:c>
      <x:c r="G395" s="12" t="n">
        <x:v>6</x:v>
      </x:c>
      <x:c r="H395" s="12" t="n">
        <x:v>1428.8</x:v>
      </x:c>
      <x:c r="I395" s="12" t="n">
        <x:v>8.57</x:v>
      </x:c>
      <x:c r="J395" s="16" t="n">
        <x:v>0.027906430046182224</x:v>
      </x:c>
      <x:c r="K395" s="12" t="n">
        <x:v>7.91</x:v>
      </x:c>
      <x:c r="L395" s="12" t="n">
        <x:f>I395-K395</x:f>
        <x:v>0.6600000000000001</x:v>
      </x:c>
      <x:c r="M395" s="16" t="n">
        <x:f>IFERROR(L395/I395,0)</x:f>
        <x:v>0.07701283547257878</x:v>
      </x:c>
    </x:row>
    <x:row r="396">
      <x:c r="A396" s="12" t="str">
        <x:v>SALE-00395</x:v>
      </x:c>
      <x:c r="B396" s="14" t="n">
        <x:v>46174</x:v>
      </x:c>
      <x:c r="C396" s="12" t="str">
        <x:v>DLR-012</x:v>
      </x:c>
      <x:c r="D396" s="12" t="str">
        <x:v>VinFast HTA Võ Chí Công</x:v>
      </x:c>
      <x:c r="E396" s="12" t="str">
        <x:v>VinFast</x:v>
      </x:c>
      <x:c r="F396" s="12" t="str">
        <x:v>VF 3</x:v>
      </x:c>
      <x:c r="G396" s="12" t="n">
        <x:v>8</x:v>
      </x:c>
      <x:c r="H396" s="12" t="n">
        <x:v>319.8</x:v>
      </x:c>
      <x:c r="I396" s="12" t="n">
        <x:v>2.56</x:v>
      </x:c>
      <x:c r="J396" s="16" t="n">
        <x:v>0.05079703667284498</x:v>
      </x:c>
      <x:c r="K396" s="12" t="n">
        <x:v>2.38</x:v>
      </x:c>
      <x:c r="L396" s="12" t="n">
        <x:f>I396-K396</x:f>
        <x:v>0.18000000000000016</x:v>
      </x:c>
      <x:c r="M396" s="16" t="n">
        <x:f>IFERROR(L396/I396,0)</x:f>
        <x:v>0.07031250000000006</x:v>
      </x:c>
    </x:row>
    <x:row r="397">
      <x:c r="A397" s="12" t="str">
        <x:v>SALE-00396</x:v>
      </x:c>
      <x:c r="B397" s="14" t="n">
        <x:v>46174</x:v>
      </x:c>
      <x:c r="C397" s="12" t="str">
        <x:v>DLR-012</x:v>
      </x:c>
      <x:c r="D397" s="12" t="str">
        <x:v>VinFast HTA Võ Chí Công</x:v>
      </x:c>
      <x:c r="E397" s="12" t="str">
        <x:v>VinFast</x:v>
      </x:c>
      <x:c r="F397" s="12" t="str">
        <x:v>VF 5</x:v>
      </x:c>
      <x:c r="G397" s="12" t="n">
        <x:v>7</x:v>
      </x:c>
      <x:c r="H397" s="12" t="n">
        <x:v>524.1</x:v>
      </x:c>
      <x:c r="I397" s="12" t="n">
        <x:v>3.67</x:v>
      </x:c>
      <x:c r="J397" s="16" t="n">
        <x:v>0.03703365661932559</x:v>
      </x:c>
      <x:c r="K397" s="12" t="n">
        <x:v>3.26</x:v>
      </x:c>
      <x:c r="L397" s="12" t="n">
        <x:f>I397-K397</x:f>
        <x:v>0.41000000000000014</x:v>
      </x:c>
      <x:c r="M397" s="16" t="n">
        <x:f>IFERROR(L397/I397,0)</x:f>
        <x:v>0.11171662125340603</x:v>
      </x:c>
    </x:row>
    <x:row r="398">
      <x:c r="A398" s="12" t="str">
        <x:v>SALE-00397</x:v>
      </x:c>
      <x:c r="B398" s="14" t="n">
        <x:v>46174</x:v>
      </x:c>
      <x:c r="C398" s="12" t="str">
        <x:v>DLR-012</x:v>
      </x:c>
      <x:c r="D398" s="12" t="str">
        <x:v>VinFast HTA Võ Chí Công</x:v>
      </x:c>
      <x:c r="E398" s="12" t="str">
        <x:v>VinFast</x:v>
      </x:c>
      <x:c r="F398" s="12" t="str">
        <x:v>VF 6</x:v>
      </x:c>
      <x:c r="G398" s="12" t="n">
        <x:v>8</x:v>
      </x:c>
      <x:c r="H398" s="12" t="n">
        <x:v>677.1</x:v>
      </x:c>
      <x:c r="I398" s="12" t="n">
        <x:v>5.42</x:v>
      </x:c>
      <x:c r="J398" s="16" t="n">
        <x:v>0.035102925789650505</x:v>
      </x:c>
      <x:c r="K398" s="12" t="n">
        <x:v>4.82</x:v>
      </x:c>
      <x:c r="L398" s="12" t="n">
        <x:f>I398-K398</x:f>
        <x:v>0.5999999999999996</x:v>
      </x:c>
      <x:c r="M398" s="16" t="n">
        <x:f>IFERROR(L398/I398,0)</x:f>
        <x:v>0.11070110701107004</x:v>
      </x:c>
    </x:row>
    <x:row r="399">
      <x:c r="A399" s="12" t="str">
        <x:v>SALE-00398</x:v>
      </x:c>
      <x:c r="B399" s="14" t="n">
        <x:v>46174</x:v>
      </x:c>
      <x:c r="C399" s="12" t="str">
        <x:v>DLR-012</x:v>
      </x:c>
      <x:c r="D399" s="12" t="str">
        <x:v>VinFast HTA Võ Chí Công</x:v>
      </x:c>
      <x:c r="E399" s="12" t="str">
        <x:v>VinFast</x:v>
      </x:c>
      <x:c r="F399" s="12" t="str">
        <x:v>VF 7</x:v>
      </x:c>
      <x:c r="G399" s="12" t="n">
        <x:v>13</x:v>
      </x:c>
      <x:c r="H399" s="12" t="n">
        <x:v>809.5</x:v>
      </x:c>
      <x:c r="I399" s="12" t="n">
        <x:v>10.52</x:v>
      </x:c>
      <x:c r="J399" s="16" t="n">
        <x:v>0.04134931493535017</x:v>
      </x:c>
      <x:c r="K399" s="12" t="n">
        <x:v>9.72</x:v>
      </x:c>
      <x:c r="L399" s="12" t="n">
        <x:f>I399-K399</x:f>
        <x:v>0.7999999999999989</x:v>
      </x:c>
      <x:c r="M399" s="16" t="n">
        <x:f>IFERROR(L399/I399,0)</x:f>
        <x:v>0.07604562737642576</x:v>
      </x:c>
    </x:row>
    <x:row r="400">
      <x:c r="A400" s="12" t="str">
        <x:v>SALE-00399</x:v>
      </x:c>
      <x:c r="B400" s="14" t="n">
        <x:v>46174</x:v>
      </x:c>
      <x:c r="C400" s="12" t="str">
        <x:v>DLR-012</x:v>
      </x:c>
      <x:c r="D400" s="12" t="str">
        <x:v>VinFast HTA Võ Chí Công</x:v>
      </x:c>
      <x:c r="E400" s="12" t="str">
        <x:v>VinFast</x:v>
      </x:c>
      <x:c r="F400" s="12" t="str">
        <x:v>VF 8</x:v>
      </x:c>
      <x:c r="G400" s="12" t="n">
        <x:v>10</x:v>
      </x:c>
      <x:c r="H400" s="12" t="n">
        <x:v>1026.5</x:v>
      </x:c>
      <x:c r="I400" s="12" t="n">
        <x:v>10.27</x:v>
      </x:c>
      <x:c r="J400" s="16" t="n">
        <x:v>0.03754472137725183</x:v>
      </x:c>
      <x:c r="K400" s="12" t="n">
        <x:v>9.54</x:v>
      </x:c>
      <x:c r="L400" s="12" t="n">
        <x:f>I400-K400</x:f>
        <x:v>0.7300000000000004</x:v>
      </x:c>
      <x:c r="M400" s="16" t="n">
        <x:f>IFERROR(L400/I400,0)</x:f>
        <x:v>0.071080817916261</x:v>
      </x:c>
    </x:row>
    <x:row r="401">
      <x:c r="A401" s="12" t="str">
        <x:v>SALE-00400</x:v>
      </x:c>
      <x:c r="B401" s="14" t="n">
        <x:v>46174</x:v>
      </x:c>
      <x:c r="C401" s="12" t="str">
        <x:v>DLR-012</x:v>
      </x:c>
      <x:c r="D401" s="12" t="str">
        <x:v>VinFast HTA Võ Chí Công</x:v>
      </x:c>
      <x:c r="E401" s="12" t="str">
        <x:v>VinFast</x:v>
      </x:c>
      <x:c r="F401" s="12" t="str">
        <x:v>VF 9</x:v>
      </x:c>
      <x:c r="G401" s="12" t="n">
        <x:v>6</x:v>
      </x:c>
      <x:c r="H401" s="12" t="n">
        <x:v>1414.5</x:v>
      </x:c>
      <x:c r="I401" s="12" t="n">
        <x:v>8.49</x:v>
      </x:c>
      <x:c r="J401" s="16" t="n">
        <x:v>0.040658149352974404</x:v>
      </x:c>
      <x:c r="K401" s="12" t="n">
        <x:v>7.76</x:v>
      </x:c>
      <x:c r="L401" s="12" t="n">
        <x:f>I401-K401</x:f>
        <x:v>0.7300000000000004</x:v>
      </x:c>
      <x:c r="M401" s="16" t="n">
        <x:f>IFERROR(L401/I401,0)</x:f>
        <x:v>0.0859835100117786</x:v>
      </x:c>
    </x:row>
    <x:row r="402">
      <x:c r="A402" s="12" t="str">
        <x:v>SALE-00401</x:v>
      </x:c>
      <x:c r="B402" s="14" t="n">
        <x:v>46204</x:v>
      </x:c>
      <x:c r="C402" s="12" t="str">
        <x:v>DLR-012</x:v>
      </x:c>
      <x:c r="D402" s="12" t="str">
        <x:v>VinFast HTA Võ Chí Công</x:v>
      </x:c>
      <x:c r="E402" s="12" t="str">
        <x:v>VinFast</x:v>
      </x:c>
      <x:c r="F402" s="12" t="str">
        <x:v>VF 3</x:v>
      </x:c>
      <x:c r="G402" s="12" t="n">
        <x:v>11</x:v>
      </x:c>
      <x:c r="H402" s="12" t="n">
        <x:v>315.4</x:v>
      </x:c>
      <x:c r="I402" s="12" t="n">
        <x:v>3.47</x:v>
      </x:c>
      <x:c r="J402" s="16" t="n">
        <x:v>0.031663471346529845</x:v>
      </x:c>
      <x:c r="K402" s="12" t="n">
        <x:v>3.19</x:v>
      </x:c>
      <x:c r="L402" s="12" t="n">
        <x:f>I402-K402</x:f>
        <x:v>0.28000000000000025</x:v>
      </x:c>
      <x:c r="M402" s="16" t="n">
        <x:f>IFERROR(L402/I402,0)</x:f>
        <x:v>0.0806916426512969</x:v>
      </x:c>
    </x:row>
    <x:row r="403">
      <x:c r="A403" s="12" t="str">
        <x:v>SALE-00402</x:v>
      </x:c>
      <x:c r="B403" s="14" t="n">
        <x:v>46204</x:v>
      </x:c>
      <x:c r="C403" s="12" t="str">
        <x:v>DLR-012</x:v>
      </x:c>
      <x:c r="D403" s="12" t="str">
        <x:v>VinFast HTA Võ Chí Công</x:v>
      </x:c>
      <x:c r="E403" s="12" t="str">
        <x:v>VinFast</x:v>
      </x:c>
      <x:c r="F403" s="12" t="str">
        <x:v>VF 5</x:v>
      </x:c>
      <x:c r="G403" s="12" t="n">
        <x:v>10</x:v>
      </x:c>
      <x:c r="H403" s="12" t="n">
        <x:v>523.8</x:v>
      </x:c>
      <x:c r="I403" s="12" t="n">
        <x:v>5.24</x:v>
      </x:c>
      <x:c r="J403" s="16" t="n">
        <x:v>0.026586866272064233</x:v>
      </x:c>
      <x:c r="K403" s="12" t="n">
        <x:v>4.91</x:v>
      </x:c>
      <x:c r="L403" s="12" t="n">
        <x:f>I403-K403</x:f>
        <x:v>0.33000000000000007</x:v>
      </x:c>
      <x:c r="M403" s="16" t="n">
        <x:f>IFERROR(L403/I403,0)</x:f>
        <x:v>0.06297709923664123</x:v>
      </x:c>
    </x:row>
    <x:row r="404">
      <x:c r="A404" s="12" t="str">
        <x:v>SALE-00403</x:v>
      </x:c>
      <x:c r="B404" s="14" t="n">
        <x:v>46204</x:v>
      </x:c>
      <x:c r="C404" s="12" t="str">
        <x:v>DLR-012</x:v>
      </x:c>
      <x:c r="D404" s="12" t="str">
        <x:v>VinFast HTA Võ Chí Công</x:v>
      </x:c>
      <x:c r="E404" s="12" t="str">
        <x:v>VinFast</x:v>
      </x:c>
      <x:c r="F404" s="12" t="str">
        <x:v>VF 6</x:v>
      </x:c>
      <x:c r="G404" s="12" t="n">
        <x:v>9</x:v>
      </x:c>
      <x:c r="H404" s="12" t="n">
        <x:v>692</x:v>
      </x:c>
      <x:c r="I404" s="12" t="n">
        <x:v>6.23</x:v>
      </x:c>
      <x:c r="J404" s="16" t="n">
        <x:v>0.04239963364782706</x:v>
      </x:c>
      <x:c r="K404" s="12" t="n">
        <x:v>5.59</x:v>
      </x:c>
      <x:c r="L404" s="12" t="n">
        <x:f>I404-K404</x:f>
        <x:v>0.6400000000000006</x:v>
      </x:c>
      <x:c r="M404" s="16" t="n">
        <x:f>IFERROR(L404/I404,0)</x:f>
        <x:v>0.10272873194221517</x:v>
      </x:c>
    </x:row>
    <x:row r="405">
      <x:c r="A405" s="12" t="str">
        <x:v>SALE-00404</x:v>
      </x:c>
      <x:c r="B405" s="14" t="n">
        <x:v>46204</x:v>
      </x:c>
      <x:c r="C405" s="12" t="str">
        <x:v>DLR-012</x:v>
      </x:c>
      <x:c r="D405" s="12" t="str">
        <x:v>VinFast HTA Võ Chí Công</x:v>
      </x:c>
      <x:c r="E405" s="12" t="str">
        <x:v>VinFast</x:v>
      </x:c>
      <x:c r="F405" s="12" t="str">
        <x:v>VF 7</x:v>
      </x:c>
      <x:c r="G405" s="12" t="n">
        <x:v>6</x:v>
      </x:c>
      <x:c r="H405" s="12" t="n">
        <x:v>803.1</x:v>
      </x:c>
      <x:c r="I405" s="12" t="n">
        <x:v>4.82</x:v>
      </x:c>
      <x:c r="J405" s="16" t="n">
        <x:v>0.03258421999681644</x:v>
      </x:c>
      <x:c r="K405" s="12" t="n">
        <x:v>4.38</x:v>
      </x:c>
      <x:c r="L405" s="12" t="n">
        <x:f>I405-K405</x:f>
        <x:v>0.4400000000000004</x:v>
      </x:c>
      <x:c r="M405" s="16" t="n">
        <x:f>IFERROR(L405/I405,0)</x:f>
        <x:v>0.09128630705394199</x:v>
      </x:c>
    </x:row>
    <x:row r="406">
      <x:c r="A406" s="12" t="str">
        <x:v>SALE-00405</x:v>
      </x:c>
      <x:c r="B406" s="14" t="n">
        <x:v>46204</x:v>
      </x:c>
      <x:c r="C406" s="12" t="str">
        <x:v>DLR-012</x:v>
      </x:c>
      <x:c r="D406" s="12" t="str">
        <x:v>VinFast HTA Võ Chí Công</x:v>
      </x:c>
      <x:c r="E406" s="12" t="str">
        <x:v>VinFast</x:v>
      </x:c>
      <x:c r="F406" s="12" t="str">
        <x:v>VF 8</x:v>
      </x:c>
      <x:c r="G406" s="12" t="n">
        <x:v>7</x:v>
      </x:c>
      <x:c r="H406" s="12" t="n">
        <x:v>1007.3</x:v>
      </x:c>
      <x:c r="I406" s="12" t="n">
        <x:v>7.05</x:v>
      </x:c>
      <x:c r="J406" s="16" t="n">
        <x:v>0.02750329996987732</x:v>
      </x:c>
      <x:c r="K406" s="12" t="n">
        <x:v>6.51</x:v>
      </x:c>
      <x:c r="L406" s="12" t="n">
        <x:f>I406-K406</x:f>
        <x:v>0.54</x:v>
      </x:c>
      <x:c r="M406" s="16" t="n">
        <x:f>IFERROR(L406/I406,0)</x:f>
        <x:v>0.07659574468085108</x:v>
      </x:c>
    </x:row>
    <x:row r="407">
      <x:c r="A407" s="12" t="str">
        <x:v>SALE-00406</x:v>
      </x:c>
      <x:c r="B407" s="14" t="n">
        <x:v>46204</x:v>
      </x:c>
      <x:c r="C407" s="12" t="str">
        <x:v>DLR-012</x:v>
      </x:c>
      <x:c r="D407" s="12" t="str">
        <x:v>VinFast HTA Võ Chí Công</x:v>
      </x:c>
      <x:c r="E407" s="12" t="str">
        <x:v>VinFast</x:v>
      </x:c>
      <x:c r="F407" s="12" t="str">
        <x:v>VF 9</x:v>
      </x:c>
      <x:c r="G407" s="12" t="n">
        <x:v>11</x:v>
      </x:c>
      <x:c r="H407" s="12" t="n">
        <x:v>1512.3</x:v>
      </x:c>
      <x:c r="I407" s="12" t="n">
        <x:v>16.64</x:v>
      </x:c>
      <x:c r="J407" s="16" t="n">
        <x:v>0.05401496511659521</x:v>
      </x:c>
      <x:c r="K407" s="12" t="n">
        <x:v>14.77</x:v>
      </x:c>
      <x:c r="L407" s="12" t="n">
        <x:f>I407-K407</x:f>
        <x:v>1.870000000000001</x:v>
      </x:c>
      <x:c r="M407" s="16" t="n">
        <x:f>IFERROR(L407/I407,0)</x:f>
        <x:v>0.11237980769230775</x:v>
      </x:c>
    </x:row>
    <x:row r="408">
      <x:c r="A408" s="12" t="str">
        <x:v>SALE-00407</x:v>
      </x:c>
      <x:c r="B408" s="14" t="n">
        <x:v>46023</x:v>
      </x:c>
      <x:c r="C408" s="12" t="str">
        <x:v>DLR-013</x:v>
      </x:c>
      <x:c r="D408" s="12" t="str">
        <x:v>VinFast HTA Ninh Bình</x:v>
      </x:c>
      <x:c r="E408" s="12" t="str">
        <x:v>VinFast</x:v>
      </x:c>
      <x:c r="F408" s="12" t="str">
        <x:v>VF 3</x:v>
      </x:c>
      <x:c r="G408" s="12" t="n">
        <x:v>6</x:v>
      </x:c>
      <x:c r="H408" s="12" t="n">
        <x:v>304.1</x:v>
      </x:c>
      <x:c r="I408" s="12" t="n">
        <x:v>1.82</x:v>
      </x:c>
      <x:c r="J408" s="16" t="n">
        <x:v>0.033658902681625455</x:v>
      </x:c>
      <x:c r="K408" s="12" t="n">
        <x:v>1.64</x:v>
      </x:c>
      <x:c r="L408" s="12" t="n">
        <x:f>I408-K408</x:f>
        <x:v>0.18000000000000016</x:v>
      </x:c>
      <x:c r="M408" s="16" t="n">
        <x:f>IFERROR(L408/I408,0)</x:f>
        <x:v>0.09890109890109898</x:v>
      </x:c>
    </x:row>
    <x:row r="409">
      <x:c r="A409" s="12" t="str">
        <x:v>SALE-00408</x:v>
      </x:c>
      <x:c r="B409" s="14" t="n">
        <x:v>46023</x:v>
      </x:c>
      <x:c r="C409" s="12" t="str">
        <x:v>DLR-013</x:v>
      </x:c>
      <x:c r="D409" s="12" t="str">
        <x:v>VinFast HTA Ninh Bình</x:v>
      </x:c>
      <x:c r="E409" s="12" t="str">
        <x:v>VinFast</x:v>
      </x:c>
      <x:c r="F409" s="12" t="str">
        <x:v>VF 5</x:v>
      </x:c>
      <x:c r="G409" s="12" t="n">
        <x:v>5</x:v>
      </x:c>
      <x:c r="H409" s="12" t="n">
        <x:v>501.4</x:v>
      </x:c>
      <x:c r="I409" s="12" t="n">
        <x:v>2.51</x:v>
      </x:c>
      <x:c r="J409" s="16" t="n">
        <x:v>0.02660848019879606</x:v>
      </x:c>
      <x:c r="K409" s="12" t="n">
        <x:v>2.26</x:v>
      </x:c>
      <x:c r="L409" s="12" t="n">
        <x:f>I409-K409</x:f>
        <x:v>0.25</x:v>
      </x:c>
      <x:c r="M409" s="16" t="n">
        <x:f>IFERROR(L409/I409,0)</x:f>
        <x:v>0.09960159362549802</x:v>
      </x:c>
    </x:row>
    <x:row r="410">
      <x:c r="A410" s="12" t="str">
        <x:v>SALE-00409</x:v>
      </x:c>
      <x:c r="B410" s="14" t="n">
        <x:v>46023</x:v>
      </x:c>
      <x:c r="C410" s="12" t="str">
        <x:v>DLR-013</x:v>
      </x:c>
      <x:c r="D410" s="12" t="str">
        <x:v>VinFast HTA Ninh Bình</x:v>
      </x:c>
      <x:c r="E410" s="12" t="str">
        <x:v>VinFast</x:v>
      </x:c>
      <x:c r="F410" s="12" t="str">
        <x:v>VF 6</x:v>
      </x:c>
      <x:c r="G410" s="12" t="n">
        <x:v>7</x:v>
      </x:c>
      <x:c r="H410" s="12" t="n">
        <x:v>661.3</x:v>
      </x:c>
      <x:c r="I410" s="12" t="n">
        <x:v>4.63</x:v>
      </x:c>
      <x:c r="J410" s="16" t="n">
        <x:v>0.049612300068828705</x:v>
      </x:c>
      <x:c r="K410" s="12" t="n">
        <x:v>4.12</x:v>
      </x:c>
      <x:c r="L410" s="12" t="n">
        <x:f>I410-K410</x:f>
        <x:v>0.5099999999999998</x:v>
      </x:c>
      <x:c r="M410" s="16" t="n">
        <x:f>IFERROR(L410/I410,0)</x:f>
        <x:v>0.11015118790496756</x:v>
      </x:c>
    </x:row>
    <x:row r="411">
      <x:c r="A411" s="12" t="str">
        <x:v>SALE-00410</x:v>
      </x:c>
      <x:c r="B411" s="14" t="n">
        <x:v>46023</x:v>
      </x:c>
      <x:c r="C411" s="12" t="str">
        <x:v>DLR-013</x:v>
      </x:c>
      <x:c r="D411" s="12" t="str">
        <x:v>VinFast HTA Ninh Bình</x:v>
      </x:c>
      <x:c r="E411" s="12" t="str">
        <x:v>VinFast</x:v>
      </x:c>
      <x:c r="F411" s="12" t="str">
        <x:v>VF 7</x:v>
      </x:c>
      <x:c r="G411" s="12" t="n">
        <x:v>5</x:v>
      </x:c>
      <x:c r="H411" s="12" t="n">
        <x:v>838.3</x:v>
      </x:c>
      <x:c r="I411" s="12" t="n">
        <x:v>4.19</x:v>
      </x:c>
      <x:c r="J411" s="16" t="n">
        <x:v>0.02750859683449092</x:v>
      </x:c>
      <x:c r="K411" s="12" t="n">
        <x:v>3.88</x:v>
      </x:c>
      <x:c r="L411" s="12" t="n">
        <x:f>I411-K411</x:f>
        <x:v>0.3100000000000005</x:v>
      </x:c>
      <x:c r="M411" s="16" t="n">
        <x:f>IFERROR(L411/I411,0)</x:f>
        <x:v>0.0739856801909309</x:v>
      </x:c>
    </x:row>
    <x:row r="412">
      <x:c r="A412" s="12" t="str">
        <x:v>SALE-00411</x:v>
      </x:c>
      <x:c r="B412" s="14" t="n">
        <x:v>46023</x:v>
      </x:c>
      <x:c r="C412" s="12" t="str">
        <x:v>DLR-013</x:v>
      </x:c>
      <x:c r="D412" s="12" t="str">
        <x:v>VinFast HTA Ninh Bình</x:v>
      </x:c>
      <x:c r="E412" s="12" t="str">
        <x:v>VinFast</x:v>
      </x:c>
      <x:c r="F412" s="12" t="str">
        <x:v>VF 8</x:v>
      </x:c>
      <x:c r="G412" s="12" t="n">
        <x:v>6</x:v>
      </x:c>
      <x:c r="H412" s="12" t="n">
        <x:v>999.8</x:v>
      </x:c>
      <x:c r="I412" s="12" t="n">
        <x:v>6</x:v>
      </x:c>
      <x:c r="J412" s="16" t="n">
        <x:v>0.03495038833590616</x:v>
      </x:c>
      <x:c r="K412" s="12" t="n">
        <x:v>5.39</x:v>
      </x:c>
      <x:c r="L412" s="12" t="n">
        <x:f>I412-K412</x:f>
        <x:v>0.6100000000000003</x:v>
      </x:c>
      <x:c r="M412" s="16" t="n">
        <x:f>IFERROR(L412/I412,0)</x:f>
        <x:v>0.10166666666666672</x:v>
      </x:c>
    </x:row>
    <x:row r="413">
      <x:c r="A413" s="12" t="str">
        <x:v>SALE-00412</x:v>
      </x:c>
      <x:c r="B413" s="14" t="n">
        <x:v>46023</x:v>
      </x:c>
      <x:c r="C413" s="12" t="str">
        <x:v>DLR-013</x:v>
      </x:c>
      <x:c r="D413" s="12" t="str">
        <x:v>VinFast HTA Ninh Bình</x:v>
      </x:c>
      <x:c r="E413" s="12" t="str">
        <x:v>VinFast</x:v>
      </x:c>
      <x:c r="F413" s="12" t="str">
        <x:v>VF 9</x:v>
      </x:c>
      <x:c r="G413" s="12" t="n">
        <x:v>4</x:v>
      </x:c>
      <x:c r="H413" s="12" t="n">
        <x:v>1522.4</x:v>
      </x:c>
      <x:c r="I413" s="12" t="n">
        <x:v>6.09</x:v>
      </x:c>
      <x:c r="J413" s="16" t="n">
        <x:v>0.03521777852095086</x:v>
      </x:c>
      <x:c r="K413" s="12" t="n">
        <x:v>5.71</x:v>
      </x:c>
      <x:c r="L413" s="12" t="n">
        <x:f>I413-K413</x:f>
        <x:v>0.3799999999999999</x:v>
      </x:c>
      <x:c r="M413" s="16" t="n">
        <x:f>IFERROR(L413/I413,0)</x:f>
        <x:v>0.062397372742200315</x:v>
      </x:c>
    </x:row>
    <x:row r="414">
      <x:c r="A414" s="12" t="str">
        <x:v>SALE-00413</x:v>
      </x:c>
      <x:c r="B414" s="14" t="n">
        <x:v>46054</x:v>
      </x:c>
      <x:c r="C414" s="12" t="str">
        <x:v>DLR-013</x:v>
      </x:c>
      <x:c r="D414" s="12" t="str">
        <x:v>VinFast HTA Ninh Bình</x:v>
      </x:c>
      <x:c r="E414" s="12" t="str">
        <x:v>VinFast</x:v>
      </x:c>
      <x:c r="F414" s="12" t="str">
        <x:v>VF 3</x:v>
      </x:c>
      <x:c r="G414" s="12" t="n">
        <x:v>5</x:v>
      </x:c>
      <x:c r="H414" s="12" t="n">
        <x:v>305</x:v>
      </x:c>
      <x:c r="I414" s="12" t="n">
        <x:v>1.52</x:v>
      </x:c>
      <x:c r="J414" s="16" t="n">
        <x:v>0.017021616185115676</x:v>
      </x:c>
      <x:c r="K414" s="12" t="n">
        <x:v>1.39</x:v>
      </x:c>
      <x:c r="L414" s="12" t="n">
        <x:f>I414-K414</x:f>
        <x:v>0.13000000000000012</x:v>
      </x:c>
      <x:c r="M414" s="16" t="n">
        <x:f>IFERROR(L414/I414,0)</x:f>
        <x:v>0.08552631578947376</x:v>
      </x:c>
    </x:row>
    <x:row r="415">
      <x:c r="A415" s="12" t="str">
        <x:v>SALE-00414</x:v>
      </x:c>
      <x:c r="B415" s="14" t="n">
        <x:v>46054</x:v>
      </x:c>
      <x:c r="C415" s="12" t="str">
        <x:v>DLR-013</x:v>
      </x:c>
      <x:c r="D415" s="12" t="str">
        <x:v>VinFast HTA Ninh Bình</x:v>
      </x:c>
      <x:c r="E415" s="12" t="str">
        <x:v>VinFast</x:v>
      </x:c>
      <x:c r="F415" s="12" t="str">
        <x:v>VF 5</x:v>
      </x:c>
      <x:c r="G415" s="12" t="n">
        <x:v>8</x:v>
      </x:c>
      <x:c r="H415" s="12" t="n">
        <x:v>524.9</x:v>
      </x:c>
      <x:c r="I415" s="12" t="n">
        <x:v>4.2</x:v>
      </x:c>
      <x:c r="J415" s="16" t="n">
        <x:v>0.03382347413472783</x:v>
      </x:c>
      <x:c r="K415" s="12" t="n">
        <x:v>3.83</x:v>
      </x:c>
      <x:c r="L415" s="12" t="n">
        <x:f>I415-K415</x:f>
        <x:v>0.3700000000000001</x:v>
      </x:c>
      <x:c r="M415" s="16" t="n">
        <x:f>IFERROR(L415/I415,0)</x:f>
        <x:v>0.08809523809523812</x:v>
      </x:c>
    </x:row>
    <x:row r="416">
      <x:c r="A416" s="12" t="str">
        <x:v>SALE-00415</x:v>
      </x:c>
      <x:c r="B416" s="14" t="n">
        <x:v>46054</x:v>
      </x:c>
      <x:c r="C416" s="12" t="str">
        <x:v>DLR-013</x:v>
      </x:c>
      <x:c r="D416" s="12" t="str">
        <x:v>VinFast HTA Ninh Bình</x:v>
      </x:c>
      <x:c r="E416" s="12" t="str">
        <x:v>VinFast</x:v>
      </x:c>
      <x:c r="F416" s="12" t="str">
        <x:v>VF 6</x:v>
      </x:c>
      <x:c r="G416" s="12" t="n">
        <x:v>8</x:v>
      </x:c>
      <x:c r="H416" s="12" t="n">
        <x:v>671.4</x:v>
      </x:c>
      <x:c r="I416" s="12" t="n">
        <x:v>5.37</x:v>
      </x:c>
      <x:c r="J416" s="16" t="n">
        <x:v>0.050298229236743715</x:v>
      </x:c>
      <x:c r="K416" s="12" t="n">
        <x:v>4.96</x:v>
      </x:c>
      <x:c r="L416" s="12" t="n">
        <x:f>I416-K416</x:f>
        <x:v>0.41000000000000014</x:v>
      </x:c>
      <x:c r="M416" s="16" t="n">
        <x:f>IFERROR(L416/I416,0)</x:f>
        <x:v>0.07635009310986968</x:v>
      </x:c>
    </x:row>
    <x:row r="417">
      <x:c r="A417" s="12" t="str">
        <x:v>SALE-00416</x:v>
      </x:c>
      <x:c r="B417" s="14" t="n">
        <x:v>46054</x:v>
      </x:c>
      <x:c r="C417" s="12" t="str">
        <x:v>DLR-013</x:v>
      </x:c>
      <x:c r="D417" s="12" t="str">
        <x:v>VinFast HTA Ninh Bình</x:v>
      </x:c>
      <x:c r="E417" s="12" t="str">
        <x:v>VinFast</x:v>
      </x:c>
      <x:c r="F417" s="12" t="str">
        <x:v>VF 7</x:v>
      </x:c>
      <x:c r="G417" s="12" t="n">
        <x:v>8</x:v>
      </x:c>
      <x:c r="H417" s="12" t="n">
        <x:v>823.9</x:v>
      </x:c>
      <x:c r="I417" s="12" t="n">
        <x:v>6.59</x:v>
      </x:c>
      <x:c r="J417" s="16" t="n">
        <x:v>0.031023264840590262</x:v>
      </x:c>
      <x:c r="K417" s="12" t="n">
        <x:v>6.03</x:v>
      </x:c>
      <x:c r="L417" s="12" t="n">
        <x:f>I417-K417</x:f>
        <x:v>0.5599999999999996</x:v>
      </x:c>
      <x:c r="M417" s="16" t="n">
        <x:f>IFERROR(L417/I417,0)</x:f>
        <x:v>0.08497723823975716</x:v>
      </x:c>
    </x:row>
    <x:row r="418">
      <x:c r="A418" s="12" t="str">
        <x:v>SALE-00417</x:v>
      </x:c>
      <x:c r="B418" s="14" t="n">
        <x:v>46054</x:v>
      </x:c>
      <x:c r="C418" s="12" t="str">
        <x:v>DLR-013</x:v>
      </x:c>
      <x:c r="D418" s="12" t="str">
        <x:v>VinFast HTA Ninh Bình</x:v>
      </x:c>
      <x:c r="E418" s="12" t="str">
        <x:v>VinFast</x:v>
      </x:c>
      <x:c r="F418" s="12" t="str">
        <x:v>VF 8</x:v>
      </x:c>
      <x:c r="G418" s="12" t="n">
        <x:v>5</x:v>
      </x:c>
      <x:c r="H418" s="12" t="n">
        <x:v>1003</x:v>
      </x:c>
      <x:c r="I418" s="12" t="n">
        <x:v>5.01</x:v>
      </x:c>
      <x:c r="J418" s="16" t="n">
        <x:v>0.01794126998971367</x:v>
      </x:c>
      <x:c r="K418" s="12" t="n">
        <x:v>4.56</x:v>
      </x:c>
      <x:c r="L418" s="12" t="n">
        <x:f>I418-K418</x:f>
        <x:v>0.4500000000000002</x:v>
      </x:c>
      <x:c r="M418" s="16" t="n">
        <x:f>IFERROR(L418/I418,0)</x:f>
        <x:v>0.08982035928143717</x:v>
      </x:c>
    </x:row>
    <x:row r="419">
      <x:c r="A419" s="12" t="str">
        <x:v>SALE-00418</x:v>
      </x:c>
      <x:c r="B419" s="14" t="n">
        <x:v>46054</x:v>
      </x:c>
      <x:c r="C419" s="12" t="str">
        <x:v>DLR-013</x:v>
      </x:c>
      <x:c r="D419" s="12" t="str">
        <x:v>VinFast HTA Ninh Bình</x:v>
      </x:c>
      <x:c r="E419" s="12" t="str">
        <x:v>VinFast</x:v>
      </x:c>
      <x:c r="F419" s="12" t="str">
        <x:v>VF 9</x:v>
      </x:c>
      <x:c r="G419" s="12" t="n">
        <x:v>8</x:v>
      </x:c>
      <x:c r="H419" s="12" t="n">
        <x:v>1442.6</x:v>
      </x:c>
      <x:c r="I419" s="12" t="n">
        <x:v>11.54</x:v>
      </x:c>
      <x:c r="J419" s="16" t="n">
        <x:v>0.054563628024828906</x:v>
      </x:c>
      <x:c r="K419" s="12" t="n">
        <x:v>10.63</x:v>
      </x:c>
      <x:c r="L419" s="12" t="n">
        <x:f>I419-K419</x:f>
        <x:v>0.9099999999999984</x:v>
      </x:c>
      <x:c r="M419" s="16" t="n">
        <x:f>IFERROR(L419/I419,0)</x:f>
        <x:v>0.07885615251299813</x:v>
      </x:c>
    </x:row>
    <x:row r="420">
      <x:c r="A420" s="12" t="str">
        <x:v>SALE-00419</x:v>
      </x:c>
      <x:c r="B420" s="14" t="n">
        <x:v>46082</x:v>
      </x:c>
      <x:c r="C420" s="12" t="str">
        <x:v>DLR-013</x:v>
      </x:c>
      <x:c r="D420" s="12" t="str">
        <x:v>VinFast HTA Ninh Bình</x:v>
      </x:c>
      <x:c r="E420" s="12" t="str">
        <x:v>VinFast</x:v>
      </x:c>
      <x:c r="F420" s="12" t="str">
        <x:v>VF 3</x:v>
      </x:c>
      <x:c r="G420" s="12" t="n">
        <x:v>5</x:v>
      </x:c>
      <x:c r="H420" s="12" t="n">
        <x:v>320.7</x:v>
      </x:c>
      <x:c r="I420" s="12" t="n">
        <x:v>1.6</x:v>
      </x:c>
      <x:c r="J420" s="16" t="n">
        <x:v>0.030756148509144286</x:v>
      </x:c>
      <x:c r="K420" s="12" t="n">
        <x:v>1.49</x:v>
      </x:c>
      <x:c r="L420" s="12" t="n">
        <x:f>I420-K420</x:f>
        <x:v>0.1100000000000001</x:v>
      </x:c>
      <x:c r="M420" s="16" t="n">
        <x:f>IFERROR(L420/I420,0)</x:f>
        <x:v>0.06875000000000006</x:v>
      </x:c>
    </x:row>
    <x:row r="421">
      <x:c r="A421" s="12" t="str">
        <x:v>SALE-00420</x:v>
      </x:c>
      <x:c r="B421" s="14" t="n">
        <x:v>46082</x:v>
      </x:c>
      <x:c r="C421" s="12" t="str">
        <x:v>DLR-013</x:v>
      </x:c>
      <x:c r="D421" s="12" t="str">
        <x:v>VinFast HTA Ninh Bình</x:v>
      </x:c>
      <x:c r="E421" s="12" t="str">
        <x:v>VinFast</x:v>
      </x:c>
      <x:c r="F421" s="12" t="str">
        <x:v>VF 5</x:v>
      </x:c>
      <x:c r="G421" s="12" t="n">
        <x:v>6</x:v>
      </x:c>
      <x:c r="H421" s="12" t="n">
        <x:v>537</x:v>
      </x:c>
      <x:c r="I421" s="12" t="n">
        <x:v>3.22</x:v>
      </x:c>
      <x:c r="J421" s="16" t="n">
        <x:v>0.045198606891711755</x:v>
      </x:c>
      <x:c r="K421" s="12" t="n">
        <x:v>2.87</x:v>
      </x:c>
      <x:c r="L421" s="12" t="n">
        <x:f>I421-K421</x:f>
        <x:v>0.3500000000000001</x:v>
      </x:c>
      <x:c r="M421" s="16" t="n">
        <x:f>IFERROR(L421/I421,0)</x:f>
        <x:v>0.10869565217391307</x:v>
      </x:c>
    </x:row>
    <x:row r="422">
      <x:c r="A422" s="12" t="str">
        <x:v>SALE-00421</x:v>
      </x:c>
      <x:c r="B422" s="14" t="n">
        <x:v>46082</x:v>
      </x:c>
      <x:c r="C422" s="12" t="str">
        <x:v>DLR-013</x:v>
      </x:c>
      <x:c r="D422" s="12" t="str">
        <x:v>VinFast HTA Ninh Bình</x:v>
      </x:c>
      <x:c r="E422" s="12" t="str">
        <x:v>VinFast</x:v>
      </x:c>
      <x:c r="F422" s="12" t="str">
        <x:v>VF 6</x:v>
      </x:c>
      <x:c r="G422" s="12" t="n">
        <x:v>7</x:v>
      </x:c>
      <x:c r="H422" s="12" t="n">
        <x:v>675.2</x:v>
      </x:c>
      <x:c r="I422" s="12" t="n">
        <x:v>4.73</x:v>
      </x:c>
      <x:c r="J422" s="16" t="n">
        <x:v>0.01681213409868299</x:v>
      </x:c>
      <x:c r="K422" s="12" t="n">
        <x:v>4.2</x:v>
      </x:c>
      <x:c r="L422" s="12" t="n">
        <x:f>I422-K422</x:f>
        <x:v>0.5300000000000002</x:v>
      </x:c>
      <x:c r="M422" s="16" t="n">
        <x:f>IFERROR(L422/I422,0)</x:f>
        <x:v>0.11205073995771675</x:v>
      </x:c>
    </x:row>
    <x:row r="423">
      <x:c r="A423" s="12" t="str">
        <x:v>SALE-00422</x:v>
      </x:c>
      <x:c r="B423" s="14" t="n">
        <x:v>46082</x:v>
      </x:c>
      <x:c r="C423" s="12" t="str">
        <x:v>DLR-013</x:v>
      </x:c>
      <x:c r="D423" s="12" t="str">
        <x:v>VinFast HTA Ninh Bình</x:v>
      </x:c>
      <x:c r="E423" s="12" t="str">
        <x:v>VinFast</x:v>
      </x:c>
      <x:c r="F423" s="12" t="str">
        <x:v>VF 7</x:v>
      </x:c>
      <x:c r="G423" s="12" t="n">
        <x:v>6</x:v>
      </x:c>
      <x:c r="H423" s="12" t="n">
        <x:v>831.2</x:v>
      </x:c>
      <x:c r="I423" s="12" t="n">
        <x:v>4.99</x:v>
      </x:c>
      <x:c r="J423" s="16" t="n">
        <x:v>0.03327954237131496</x:v>
      </x:c>
      <x:c r="K423" s="12" t="n">
        <x:v>4.57</x:v>
      </x:c>
      <x:c r="L423" s="12" t="n">
        <x:f>I423-K423</x:f>
        <x:v>0.41999999999999993</x:v>
      </x:c>
      <x:c r="M423" s="16" t="n">
        <x:f>IFERROR(L423/I423,0)</x:f>
        <x:v>0.08416833667334668</x:v>
      </x:c>
    </x:row>
    <x:row r="424">
      <x:c r="A424" s="12" t="str">
        <x:v>SALE-00423</x:v>
      </x:c>
      <x:c r="B424" s="14" t="n">
        <x:v>46082</x:v>
      </x:c>
      <x:c r="C424" s="12" t="str">
        <x:v>DLR-013</x:v>
      </x:c>
      <x:c r="D424" s="12" t="str">
        <x:v>VinFast HTA Ninh Bình</x:v>
      </x:c>
      <x:c r="E424" s="12" t="str">
        <x:v>VinFast</x:v>
      </x:c>
      <x:c r="F424" s="12" t="str">
        <x:v>VF 8</x:v>
      </x:c>
      <x:c r="G424" s="12" t="n">
        <x:v>7</x:v>
      </x:c>
      <x:c r="H424" s="12" t="n">
        <x:v>984.6</x:v>
      </x:c>
      <x:c r="I424" s="12" t="n">
        <x:v>6.89</x:v>
      </x:c>
      <x:c r="J424" s="16" t="n">
        <x:v>0.03952272484258712</x:v>
      </x:c>
      <x:c r="K424" s="12" t="n">
        <x:v>6.13</x:v>
      </x:c>
      <x:c r="L424" s="12" t="n">
        <x:f>I424-K424</x:f>
        <x:v>0.7599999999999998</x:v>
      </x:c>
      <x:c r="M424" s="16" t="n">
        <x:f>IFERROR(L424/I424,0)</x:f>
        <x:v>0.11030478955007254</x:v>
      </x:c>
    </x:row>
    <x:row r="425">
      <x:c r="A425" s="12" t="str">
        <x:v>SALE-00424</x:v>
      </x:c>
      <x:c r="B425" s="14" t="n">
        <x:v>46082</x:v>
      </x:c>
      <x:c r="C425" s="12" t="str">
        <x:v>DLR-013</x:v>
      </x:c>
      <x:c r="D425" s="12" t="str">
        <x:v>VinFast HTA Ninh Bình</x:v>
      </x:c>
      <x:c r="E425" s="12" t="str">
        <x:v>VinFast</x:v>
      </x:c>
      <x:c r="F425" s="12" t="str">
        <x:v>VF 9</x:v>
      </x:c>
      <x:c r="G425" s="12" t="n">
        <x:v>9</x:v>
      </x:c>
      <x:c r="H425" s="12" t="n">
        <x:v>1497.7</x:v>
      </x:c>
      <x:c r="I425" s="12" t="n">
        <x:v>13.48</x:v>
      </x:c>
      <x:c r="J425" s="16" t="n">
        <x:v>0.02696937370113273</x:v>
      </x:c>
      <x:c r="K425" s="12" t="n">
        <x:v>12.13</x:v>
      </x:c>
      <x:c r="L425" s="12" t="n">
        <x:f>I425-K425</x:f>
        <x:v>1.3499999999999996</x:v>
      </x:c>
      <x:c r="M425" s="16" t="n">
        <x:f>IFERROR(L425/I425,0)</x:f>
        <x:v>0.10014836795252223</x:v>
      </x:c>
    </x:row>
    <x:row r="426">
      <x:c r="A426" s="12" t="str">
        <x:v>SALE-00425</x:v>
      </x:c>
      <x:c r="B426" s="14" t="n">
        <x:v>46113</x:v>
      </x:c>
      <x:c r="C426" s="12" t="str">
        <x:v>DLR-013</x:v>
      </x:c>
      <x:c r="D426" s="12" t="str">
        <x:v>VinFast HTA Ninh Bình</x:v>
      </x:c>
      <x:c r="E426" s="12" t="str">
        <x:v>VinFast</x:v>
      </x:c>
      <x:c r="F426" s="12" t="str">
        <x:v>VF 3</x:v>
      </x:c>
      <x:c r="G426" s="12" t="n">
        <x:v>9</x:v>
      </x:c>
      <x:c r="H426" s="12" t="n">
        <x:v>309.5</x:v>
      </x:c>
      <x:c r="I426" s="12" t="n">
        <x:v>2.79</x:v>
      </x:c>
      <x:c r="J426" s="16" t="n">
        <x:v>0.04334959225741751</x:v>
      </x:c>
      <x:c r="K426" s="12" t="n">
        <x:v>2.5</x:v>
      </x:c>
      <x:c r="L426" s="12" t="n">
        <x:f>I426-K426</x:f>
        <x:v>0.29000000000000004</x:v>
      </x:c>
      <x:c r="M426" s="16" t="n">
        <x:f>IFERROR(L426/I426,0)</x:f>
        <x:v>0.10394265232974911</x:v>
      </x:c>
    </x:row>
    <x:row r="427">
      <x:c r="A427" s="12" t="str">
        <x:v>SALE-00426</x:v>
      </x:c>
      <x:c r="B427" s="14" t="n">
        <x:v>46113</x:v>
      </x:c>
      <x:c r="C427" s="12" t="str">
        <x:v>DLR-013</x:v>
      </x:c>
      <x:c r="D427" s="12" t="str">
        <x:v>VinFast HTA Ninh Bình</x:v>
      </x:c>
      <x:c r="E427" s="12" t="str">
        <x:v>VinFast</x:v>
      </x:c>
      <x:c r="F427" s="12" t="str">
        <x:v>VF 5</x:v>
      </x:c>
      <x:c r="G427" s="12" t="n">
        <x:v>8</x:v>
      </x:c>
      <x:c r="H427" s="12" t="n">
        <x:v>512.8</x:v>
      </x:c>
      <x:c r="I427" s="12" t="n">
        <x:v>4.1</x:v>
      </x:c>
      <x:c r="J427" s="16" t="n">
        <x:v>0.041952255698920665</x:v>
      </x:c>
      <x:c r="K427" s="12" t="n">
        <x:v>3.85</x:v>
      </x:c>
      <x:c r="L427" s="12" t="n">
        <x:f>I427-K427</x:f>
        <x:v>0.24999999999999956</x:v>
      </x:c>
      <x:c r="M427" s="16" t="n">
        <x:f>IFERROR(L427/I427,0)</x:f>
        <x:v>0.060975609756097456</x:v>
      </x:c>
    </x:row>
    <x:row r="428">
      <x:c r="A428" s="12" t="str">
        <x:v>SALE-00427</x:v>
      </x:c>
      <x:c r="B428" s="14" t="n">
        <x:v>46113</x:v>
      </x:c>
      <x:c r="C428" s="12" t="str">
        <x:v>DLR-013</x:v>
      </x:c>
      <x:c r="D428" s="12" t="str">
        <x:v>VinFast HTA Ninh Bình</x:v>
      </x:c>
      <x:c r="E428" s="12" t="str">
        <x:v>VinFast</x:v>
      </x:c>
      <x:c r="F428" s="12" t="str">
        <x:v>VF 6</x:v>
      </x:c>
      <x:c r="G428" s="12" t="n">
        <x:v>7</x:v>
      </x:c>
      <x:c r="H428" s="12" t="n">
        <x:v>691.6</x:v>
      </x:c>
      <x:c r="I428" s="12" t="n">
        <x:v>4.84</x:v>
      </x:c>
      <x:c r="J428" s="16" t="n">
        <x:v>0.044012968502074215</x:v>
      </x:c>
      <x:c r="K428" s="12" t="n">
        <x:v>4.46</x:v>
      </x:c>
      <x:c r="L428" s="12" t="n">
        <x:f>I428-K428</x:f>
        <x:v>0.3799999999999999</x:v>
      </x:c>
      <x:c r="M428" s="16" t="n">
        <x:f>IFERROR(L428/I428,0)</x:f>
        <x:v>0.07851239669421485</x:v>
      </x:c>
    </x:row>
    <x:row r="429">
      <x:c r="A429" s="12" t="str">
        <x:v>SALE-00428</x:v>
      </x:c>
      <x:c r="B429" s="14" t="n">
        <x:v>46113</x:v>
      </x:c>
      <x:c r="C429" s="12" t="str">
        <x:v>DLR-013</x:v>
      </x:c>
      <x:c r="D429" s="12" t="str">
        <x:v>VinFast HTA Ninh Bình</x:v>
      </x:c>
      <x:c r="E429" s="12" t="str">
        <x:v>VinFast</x:v>
      </x:c>
      <x:c r="F429" s="12" t="str">
        <x:v>VF 7</x:v>
      </x:c>
      <x:c r="G429" s="12" t="n">
        <x:v>4</x:v>
      </x:c>
      <x:c r="H429" s="12" t="n">
        <x:v>831.3</x:v>
      </x:c>
      <x:c r="I429" s="12" t="n">
        <x:v>3.33</x:v>
      </x:c>
      <x:c r="J429" s="16" t="n">
        <x:v>0.05368282784688203</x:v>
      </x:c>
      <x:c r="K429" s="12" t="n">
        <x:v>3.08</x:v>
      </x:c>
      <x:c r="L429" s="12" t="n">
        <x:f>I429-K429</x:f>
        <x:v>0.25</x:v>
      </x:c>
      <x:c r="M429" s="16" t="n">
        <x:f>IFERROR(L429/I429,0)</x:f>
        <x:v>0.07507507507507508</x:v>
      </x:c>
    </x:row>
    <x:row r="430">
      <x:c r="A430" s="12" t="str">
        <x:v>SALE-00429</x:v>
      </x:c>
      <x:c r="B430" s="14" t="n">
        <x:v>46113</x:v>
      </x:c>
      <x:c r="C430" s="12" t="str">
        <x:v>DLR-013</x:v>
      </x:c>
      <x:c r="D430" s="12" t="str">
        <x:v>VinFast HTA Ninh Bình</x:v>
      </x:c>
      <x:c r="E430" s="12" t="str">
        <x:v>VinFast</x:v>
      </x:c>
      <x:c r="F430" s="12" t="str">
        <x:v>VF 8</x:v>
      </x:c>
      <x:c r="G430" s="12" t="n">
        <x:v>8</x:v>
      </x:c>
      <x:c r="H430" s="12" t="n">
        <x:v>1004.9</x:v>
      </x:c>
      <x:c r="I430" s="12" t="n">
        <x:v>8.04</x:v>
      </x:c>
      <x:c r="J430" s="16" t="n">
        <x:v>0.04385600449185227</x:v>
      </x:c>
      <x:c r="K430" s="12" t="n">
        <x:v>7.36</x:v>
      </x:c>
      <x:c r="L430" s="12" t="n">
        <x:f>I430-K430</x:f>
        <x:v>0.6799999999999988</x:v>
      </x:c>
      <x:c r="M430" s="16" t="n">
        <x:f>IFERROR(L430/I430,0)</x:f>
        <x:v>0.08457711442786056</x:v>
      </x:c>
    </x:row>
    <x:row r="431">
      <x:c r="A431" s="12" t="str">
        <x:v>SALE-00430</x:v>
      </x:c>
      <x:c r="B431" s="14" t="n">
        <x:v>46113</x:v>
      </x:c>
      <x:c r="C431" s="12" t="str">
        <x:v>DLR-013</x:v>
      </x:c>
      <x:c r="D431" s="12" t="str">
        <x:v>VinFast HTA Ninh Bình</x:v>
      </x:c>
      <x:c r="E431" s="12" t="str">
        <x:v>VinFast</x:v>
      </x:c>
      <x:c r="F431" s="12" t="str">
        <x:v>VF 9</x:v>
      </x:c>
      <x:c r="G431" s="12" t="n">
        <x:v>5</x:v>
      </x:c>
      <x:c r="H431" s="12" t="n">
        <x:v>1484.5</x:v>
      </x:c>
      <x:c r="I431" s="12" t="n">
        <x:v>7.42</x:v>
      </x:c>
      <x:c r="J431" s="16" t="n">
        <x:v>0.03978943222004358</x:v>
      </x:c>
      <x:c r="K431" s="12" t="n">
        <x:v>6.91</x:v>
      </x:c>
      <x:c r="L431" s="12" t="n">
        <x:f>I431-K431</x:f>
        <x:v>0.5099999999999998</x:v>
      </x:c>
      <x:c r="M431" s="16" t="n">
        <x:f>IFERROR(L431/I431,0)</x:f>
        <x:v>0.06873315363881399</x:v>
      </x:c>
    </x:row>
    <x:row r="432">
      <x:c r="A432" s="12" t="str">
        <x:v>SALE-00431</x:v>
      </x:c>
      <x:c r="B432" s="14" t="n">
        <x:v>46143</x:v>
      </x:c>
      <x:c r="C432" s="12" t="str">
        <x:v>DLR-013</x:v>
      </x:c>
      <x:c r="D432" s="12" t="str">
        <x:v>VinFast HTA Ninh Bình</x:v>
      </x:c>
      <x:c r="E432" s="12" t="str">
        <x:v>VinFast</x:v>
      </x:c>
      <x:c r="F432" s="12" t="str">
        <x:v>VF 3</x:v>
      </x:c>
      <x:c r="G432" s="12" t="n">
        <x:v>5</x:v>
      </x:c>
      <x:c r="H432" s="12" t="n">
        <x:v>313.3</x:v>
      </x:c>
      <x:c r="I432" s="12" t="n">
        <x:v>1.57</x:v>
      </x:c>
      <x:c r="J432" s="16" t="n">
        <x:v>0.016262820533683973</x:v>
      </x:c>
      <x:c r="K432" s="12" t="n">
        <x:v>1.47</x:v>
      </x:c>
      <x:c r="L432" s="12" t="n">
        <x:f>I432-K432</x:f>
        <x:v>0.10000000000000009</x:v>
      </x:c>
      <x:c r="M432" s="16" t="n">
        <x:f>IFERROR(L432/I432,0)</x:f>
        <x:v>0.06369426751592362</x:v>
      </x:c>
    </x:row>
    <x:row r="433">
      <x:c r="A433" s="12" t="str">
        <x:v>SALE-00432</x:v>
      </x:c>
      <x:c r="B433" s="14" t="n">
        <x:v>46143</x:v>
      </x:c>
      <x:c r="C433" s="12" t="str">
        <x:v>DLR-013</x:v>
      </x:c>
      <x:c r="D433" s="12" t="str">
        <x:v>VinFast HTA Ninh Bình</x:v>
      </x:c>
      <x:c r="E433" s="12" t="str">
        <x:v>VinFast</x:v>
      </x:c>
      <x:c r="F433" s="12" t="str">
        <x:v>VF 5</x:v>
      </x:c>
      <x:c r="G433" s="12" t="n">
        <x:v>5</x:v>
      </x:c>
      <x:c r="H433" s="12" t="n">
        <x:v>498.1</x:v>
      </x:c>
      <x:c r="I433" s="12" t="n">
        <x:v>2.49</x:v>
      </x:c>
      <x:c r="J433" s="16" t="n">
        <x:v>0.027547699337834207</x:v>
      </x:c>
      <x:c r="K433" s="12" t="n">
        <x:v>2.21</x:v>
      </x:c>
      <x:c r="L433" s="12" t="n">
        <x:f>I433-K433</x:f>
        <x:v>0.28000000000000025</x:v>
      </x:c>
      <x:c r="M433" s="16" t="n">
        <x:f>IFERROR(L433/I433,0)</x:f>
        <x:v>0.11244979919678724</x:v>
      </x:c>
    </x:row>
    <x:row r="434">
      <x:c r="A434" s="12" t="str">
        <x:v>SALE-00433</x:v>
      </x:c>
      <x:c r="B434" s="14" t="n">
        <x:v>46143</x:v>
      </x:c>
      <x:c r="C434" s="12" t="str">
        <x:v>DLR-013</x:v>
      </x:c>
      <x:c r="D434" s="12" t="str">
        <x:v>VinFast HTA Ninh Bình</x:v>
      </x:c>
      <x:c r="E434" s="12" t="str">
        <x:v>VinFast</x:v>
      </x:c>
      <x:c r="F434" s="12" t="str">
        <x:v>VF 6</x:v>
      </x:c>
      <x:c r="G434" s="12" t="n">
        <x:v>8</x:v>
      </x:c>
      <x:c r="H434" s="12" t="n">
        <x:v>670.3</x:v>
      </x:c>
      <x:c r="I434" s="12" t="n">
        <x:v>5.36</x:v>
      </x:c>
      <x:c r="J434" s="16" t="n">
        <x:v>0.04599889207228364</x:v>
      </x:c>
      <x:c r="K434" s="12" t="n">
        <x:v>5.01</x:v>
      </x:c>
      <x:c r="L434" s="12" t="n">
        <x:f>I434-K434</x:f>
        <x:v>0.35000000000000053</x:v>
      </x:c>
      <x:c r="M434" s="16" t="n">
        <x:f>IFERROR(L434/I434,0)</x:f>
        <x:v>0.06529850746268666</x:v>
      </x:c>
    </x:row>
    <x:row r="435">
      <x:c r="A435" s="12" t="str">
        <x:v>SALE-00434</x:v>
      </x:c>
      <x:c r="B435" s="14" t="n">
        <x:v>46143</x:v>
      </x:c>
      <x:c r="C435" s="12" t="str">
        <x:v>DLR-013</x:v>
      </x:c>
      <x:c r="D435" s="12" t="str">
        <x:v>VinFast HTA Ninh Bình</x:v>
      </x:c>
      <x:c r="E435" s="12" t="str">
        <x:v>VinFast</x:v>
      </x:c>
      <x:c r="F435" s="12" t="str">
        <x:v>VF 7</x:v>
      </x:c>
      <x:c r="G435" s="12" t="n">
        <x:v>9</x:v>
      </x:c>
      <x:c r="H435" s="12" t="n">
        <x:v>849</x:v>
      </x:c>
      <x:c r="I435" s="12" t="n">
        <x:v>7.64</x:v>
      </x:c>
      <x:c r="J435" s="16" t="n">
        <x:v>0.01749125144057728</x:v>
      </x:c>
      <x:c r="K435" s="12" t="n">
        <x:v>6.79</x:v>
      </x:c>
      <x:c r="L435" s="12" t="n">
        <x:f>I435-K435</x:f>
        <x:v>0.8499999999999996</x:v>
      </x:c>
      <x:c r="M435" s="16" t="n">
        <x:f>IFERROR(L435/I435,0)</x:f>
        <x:v>0.11125654450261777</x:v>
      </x:c>
    </x:row>
    <x:row r="436">
      <x:c r="A436" s="12" t="str">
        <x:v>SALE-00435</x:v>
      </x:c>
      <x:c r="B436" s="14" t="n">
        <x:v>46143</x:v>
      </x:c>
      <x:c r="C436" s="12" t="str">
        <x:v>DLR-013</x:v>
      </x:c>
      <x:c r="D436" s="12" t="str">
        <x:v>VinFast HTA Ninh Bình</x:v>
      </x:c>
      <x:c r="E436" s="12" t="str">
        <x:v>VinFast</x:v>
      </x:c>
      <x:c r="F436" s="12" t="str">
        <x:v>VF 8</x:v>
      </x:c>
      <x:c r="G436" s="12" t="n">
        <x:v>5</x:v>
      </x:c>
      <x:c r="H436" s="12" t="n">
        <x:v>984.4</x:v>
      </x:c>
      <x:c r="I436" s="12" t="n">
        <x:v>4.92</x:v>
      </x:c>
      <x:c r="J436" s="16" t="n">
        <x:v>0.04148907198857396</x:v>
      </x:c>
      <x:c r="K436" s="12" t="n">
        <x:v>4.49</x:v>
      </x:c>
      <x:c r="L436" s="12" t="n">
        <x:f>I436-K436</x:f>
        <x:v>0.4299999999999997</x:v>
      </x:c>
      <x:c r="M436" s="16" t="n">
        <x:f>IFERROR(L436/I436,0)</x:f>
        <x:v>0.08739837398373979</x:v>
      </x:c>
    </x:row>
    <x:row r="437">
      <x:c r="A437" s="12" t="str">
        <x:v>SALE-00436</x:v>
      </x:c>
      <x:c r="B437" s="14" t="n">
        <x:v>46143</x:v>
      </x:c>
      <x:c r="C437" s="12" t="str">
        <x:v>DLR-013</x:v>
      </x:c>
      <x:c r="D437" s="12" t="str">
        <x:v>VinFast HTA Ninh Bình</x:v>
      </x:c>
      <x:c r="E437" s="12" t="str">
        <x:v>VinFast</x:v>
      </x:c>
      <x:c r="F437" s="12" t="str">
        <x:v>VF 9</x:v>
      </x:c>
      <x:c r="G437" s="12" t="n">
        <x:v>6</x:v>
      </x:c>
      <x:c r="H437" s="12" t="n">
        <x:v>1429.8</x:v>
      </x:c>
      <x:c r="I437" s="12" t="n">
        <x:v>8.58</x:v>
      </x:c>
      <x:c r="J437" s="16" t="n">
        <x:v>0.05148496643696041</x:v>
      </x:c>
      <x:c r="K437" s="12" t="n">
        <x:v>7.73</x:v>
      </x:c>
      <x:c r="L437" s="12" t="n">
        <x:f>I437-K437</x:f>
        <x:v>0.8499999999999996</x:v>
      </x:c>
      <x:c r="M437" s="16" t="n">
        <x:f>IFERROR(L437/I437,0)</x:f>
        <x:v>0.09906759906759903</x:v>
      </x:c>
    </x:row>
    <x:row r="438">
      <x:c r="A438" s="12" t="str">
        <x:v>SALE-00437</x:v>
      </x:c>
      <x:c r="B438" s="14" t="n">
        <x:v>46174</x:v>
      </x:c>
      <x:c r="C438" s="12" t="str">
        <x:v>DLR-013</x:v>
      </x:c>
      <x:c r="D438" s="12" t="str">
        <x:v>VinFast HTA Ninh Bình</x:v>
      </x:c>
      <x:c r="E438" s="12" t="str">
        <x:v>VinFast</x:v>
      </x:c>
      <x:c r="F438" s="12" t="str">
        <x:v>VF 3</x:v>
      </x:c>
      <x:c r="G438" s="12" t="n">
        <x:v>6</x:v>
      </x:c>
      <x:c r="H438" s="12" t="n">
        <x:v>315.6</x:v>
      </x:c>
      <x:c r="I438" s="12" t="n">
        <x:v>1.89</x:v>
      </x:c>
      <x:c r="J438" s="16" t="n">
        <x:v>0.04383698245309171</x:v>
      </x:c>
      <x:c r="K438" s="12" t="n">
        <x:v>1.74</x:v>
      </x:c>
      <x:c r="L438" s="12" t="n">
        <x:f>I438-K438</x:f>
        <x:v>0.1499999999999999</x:v>
      </x:c>
      <x:c r="M438" s="16" t="n">
        <x:f>IFERROR(L438/I438,0)</x:f>
        <x:v>0.07936507936507932</x:v>
      </x:c>
    </x:row>
    <x:row r="439">
      <x:c r="A439" s="12" t="str">
        <x:v>SALE-00438</x:v>
      </x:c>
      <x:c r="B439" s="14" t="n">
        <x:v>46174</x:v>
      </x:c>
      <x:c r="C439" s="12" t="str">
        <x:v>DLR-013</x:v>
      </x:c>
      <x:c r="D439" s="12" t="str">
        <x:v>VinFast HTA Ninh Bình</x:v>
      </x:c>
      <x:c r="E439" s="12" t="str">
        <x:v>VinFast</x:v>
      </x:c>
      <x:c r="F439" s="12" t="str">
        <x:v>VF 5</x:v>
      </x:c>
      <x:c r="G439" s="12" t="n">
        <x:v>8</x:v>
      </x:c>
      <x:c r="H439" s="12" t="n">
        <x:v>523.1</x:v>
      </x:c>
      <x:c r="I439" s="12" t="n">
        <x:v>4.18</x:v>
      </x:c>
      <x:c r="J439" s="16" t="n">
        <x:v>0.022690566765468535</x:v>
      </x:c>
      <x:c r="K439" s="12" t="n">
        <x:v>3.74</x:v>
      </x:c>
      <x:c r="L439" s="12" t="n">
        <x:f>I439-K439</x:f>
        <x:v>0.4399999999999995</x:v>
      </x:c>
      <x:c r="M439" s="16" t="n">
        <x:f>IFERROR(L439/I439,0)</x:f>
        <x:v>0.10526315789473673</x:v>
      </x:c>
    </x:row>
    <x:row r="440">
      <x:c r="A440" s="12" t="str">
        <x:v>SALE-00439</x:v>
      </x:c>
      <x:c r="B440" s="14" t="n">
        <x:v>46174</x:v>
      </x:c>
      <x:c r="C440" s="12" t="str">
        <x:v>DLR-013</x:v>
      </x:c>
      <x:c r="D440" s="12" t="str">
        <x:v>VinFast HTA Ninh Bình</x:v>
      </x:c>
      <x:c r="E440" s="12" t="str">
        <x:v>VinFast</x:v>
      </x:c>
      <x:c r="F440" s="12" t="str">
        <x:v>VF 6</x:v>
      </x:c>
      <x:c r="G440" s="12" t="n">
        <x:v>8</x:v>
      </x:c>
      <x:c r="H440" s="12" t="n">
        <x:v>660.1</x:v>
      </x:c>
      <x:c r="I440" s="12" t="n">
        <x:v>5.28</x:v>
      </x:c>
      <x:c r="J440" s="16" t="n">
        <x:v>0.05391642510362276</x:v>
      </x:c>
      <x:c r="K440" s="12" t="n">
        <x:v>4.74</x:v>
      </x:c>
      <x:c r="L440" s="12" t="n">
        <x:f>I440-K440</x:f>
        <x:v>0.54</x:v>
      </x:c>
      <x:c r="M440" s="16" t="n">
        <x:f>IFERROR(L440/I440,0)</x:f>
        <x:v>0.10227272727272728</x:v>
      </x:c>
    </x:row>
    <x:row r="441">
      <x:c r="A441" s="12" t="str">
        <x:v>SALE-00440</x:v>
      </x:c>
      <x:c r="B441" s="14" t="n">
        <x:v>46174</x:v>
      </x:c>
      <x:c r="C441" s="12" t="str">
        <x:v>DLR-013</x:v>
      </x:c>
      <x:c r="D441" s="12" t="str">
        <x:v>VinFast HTA Ninh Bình</x:v>
      </x:c>
      <x:c r="E441" s="12" t="str">
        <x:v>VinFast</x:v>
      </x:c>
      <x:c r="F441" s="12" t="str">
        <x:v>VF 7</x:v>
      </x:c>
      <x:c r="G441" s="12" t="n">
        <x:v>6</x:v>
      </x:c>
      <x:c r="H441" s="12" t="n">
        <x:v>813.1</x:v>
      </x:c>
      <x:c r="I441" s="12" t="n">
        <x:v>4.88</x:v>
      </x:c>
      <x:c r="J441" s="16" t="n">
        <x:v>0.043199530389607874</x:v>
      </x:c>
      <x:c r="K441" s="12" t="n">
        <x:v>4.39</x:v>
      </x:c>
      <x:c r="L441" s="12" t="n">
        <x:f>I441-K441</x:f>
        <x:v>0.4900000000000002</x:v>
      </x:c>
      <x:c r="M441" s="16" t="n">
        <x:f>IFERROR(L441/I441,0)</x:f>
        <x:v>0.10040983606557381</x:v>
      </x:c>
    </x:row>
    <x:row r="442">
      <x:c r="A442" s="12" t="str">
        <x:v>SALE-00441</x:v>
      </x:c>
      <x:c r="B442" s="14" t="n">
        <x:v>46174</x:v>
      </x:c>
      <x:c r="C442" s="12" t="str">
        <x:v>DLR-013</x:v>
      </x:c>
      <x:c r="D442" s="12" t="str">
        <x:v>VinFast HTA Ninh Bình</x:v>
      </x:c>
      <x:c r="E442" s="12" t="str">
        <x:v>VinFast</x:v>
      </x:c>
      <x:c r="F442" s="12" t="str">
        <x:v>VF 8</x:v>
      </x:c>
      <x:c r="G442" s="12" t="n">
        <x:v>6</x:v>
      </x:c>
      <x:c r="H442" s="12" t="n">
        <x:v>1034</x:v>
      </x:c>
      <x:c r="I442" s="12" t="n">
        <x:v>6.2</x:v>
      </x:c>
      <x:c r="J442" s="16" t="n">
        <x:v>0.04681621424009334</x:v>
      </x:c>
      <x:c r="K442" s="12" t="n">
        <x:v>5.56</x:v>
      </x:c>
      <x:c r="L442" s="12" t="n">
        <x:f>I442-K442</x:f>
        <x:v>0.6400000000000006</x:v>
      </x:c>
      <x:c r="M442" s="16" t="n">
        <x:f>IFERROR(L442/I442,0)</x:f>
        <x:v>0.10322580645161299</x:v>
      </x:c>
    </x:row>
    <x:row r="443">
      <x:c r="A443" s="12" t="str">
        <x:v>SALE-00442</x:v>
      </x:c>
      <x:c r="B443" s="14" t="n">
        <x:v>46174</x:v>
      </x:c>
      <x:c r="C443" s="12" t="str">
        <x:v>DLR-013</x:v>
      </x:c>
      <x:c r="D443" s="12" t="str">
        <x:v>VinFast HTA Ninh Bình</x:v>
      </x:c>
      <x:c r="E443" s="12" t="str">
        <x:v>VinFast</x:v>
      </x:c>
      <x:c r="F443" s="12" t="str">
        <x:v>VF 9</x:v>
      </x:c>
      <x:c r="G443" s="12" t="n">
        <x:v>5</x:v>
      </x:c>
      <x:c r="H443" s="12" t="n">
        <x:v>1490.2</x:v>
      </x:c>
      <x:c r="I443" s="12" t="n">
        <x:v>7.45</x:v>
      </x:c>
      <x:c r="J443" s="16" t="n">
        <x:v>0.0301877674149753</x:v>
      </x:c>
      <x:c r="K443" s="12" t="n">
        <x:v>7</x:v>
      </x:c>
      <x:c r="L443" s="12" t="n">
        <x:f>I443-K443</x:f>
        <x:v>0.4500000000000002</x:v>
      </x:c>
      <x:c r="M443" s="16" t="n">
        <x:f>IFERROR(L443/I443,0)</x:f>
        <x:v>0.06040268456375841</x:v>
      </x:c>
    </x:row>
    <x:row r="444">
      <x:c r="A444" s="12" t="str">
        <x:v>SALE-00443</x:v>
      </x:c>
      <x:c r="B444" s="14" t="n">
        <x:v>46204</x:v>
      </x:c>
      <x:c r="C444" s="12" t="str">
        <x:v>DLR-013</x:v>
      </x:c>
      <x:c r="D444" s="12" t="str">
        <x:v>VinFast HTA Ninh Bình</x:v>
      </x:c>
      <x:c r="E444" s="12" t="str">
        <x:v>VinFast</x:v>
      </x:c>
      <x:c r="F444" s="12" t="str">
        <x:v>VF 3</x:v>
      </x:c>
      <x:c r="G444" s="12" t="n">
        <x:v>9</x:v>
      </x:c>
      <x:c r="H444" s="12" t="n">
        <x:v>320.2</x:v>
      </x:c>
      <x:c r="I444" s="12" t="n">
        <x:v>2.88</x:v>
      </x:c>
      <x:c r="J444" s="16" t="n">
        <x:v>0.04718463335826281</x:v>
      </x:c>
      <x:c r="K444" s="12" t="n">
        <x:v>2.59</x:v>
      </x:c>
      <x:c r="L444" s="12" t="n">
        <x:f>I444-K444</x:f>
        <x:v>0.29000000000000004</x:v>
      </x:c>
      <x:c r="M444" s="16" t="n">
        <x:f>IFERROR(L444/I444,0)</x:f>
        <x:v>0.10069444444444446</x:v>
      </x:c>
    </x:row>
    <x:row r="445">
      <x:c r="A445" s="12" t="str">
        <x:v>SALE-00444</x:v>
      </x:c>
      <x:c r="B445" s="14" t="n">
        <x:v>46204</x:v>
      </x:c>
      <x:c r="C445" s="12" t="str">
        <x:v>DLR-013</x:v>
      </x:c>
      <x:c r="D445" s="12" t="str">
        <x:v>VinFast HTA Ninh Bình</x:v>
      </x:c>
      <x:c r="E445" s="12" t="str">
        <x:v>VinFast</x:v>
      </x:c>
      <x:c r="F445" s="12" t="str">
        <x:v>VF 5</x:v>
      </x:c>
      <x:c r="G445" s="12" t="n">
        <x:v>6</x:v>
      </x:c>
      <x:c r="H445" s="12" t="n">
        <x:v>527.5</x:v>
      </x:c>
      <x:c r="I445" s="12" t="n">
        <x:v>3.16</x:v>
      </x:c>
      <x:c r="J445" s="16" t="n">
        <x:v>0.02885454056382466</x:v>
      </x:c>
      <x:c r="K445" s="12" t="n">
        <x:v>2.87</x:v>
      </x:c>
      <x:c r="L445" s="12" t="n">
        <x:f>I445-K445</x:f>
        <x:v>0.29000000000000004</x:v>
      </x:c>
      <x:c r="M445" s="16" t="n">
        <x:f>IFERROR(L445/I445,0)</x:f>
        <x:v>0.09177215189873418</x:v>
      </x:c>
    </x:row>
    <x:row r="446">
      <x:c r="A446" s="12" t="str">
        <x:v>SALE-00445</x:v>
      </x:c>
      <x:c r="B446" s="14" t="n">
        <x:v>46204</x:v>
      </x:c>
      <x:c r="C446" s="12" t="str">
        <x:v>DLR-013</x:v>
      </x:c>
      <x:c r="D446" s="12" t="str">
        <x:v>VinFast HTA Ninh Bình</x:v>
      </x:c>
      <x:c r="E446" s="12" t="str">
        <x:v>VinFast</x:v>
      </x:c>
      <x:c r="F446" s="12" t="str">
        <x:v>VF 6</x:v>
      </x:c>
      <x:c r="G446" s="12" t="n">
        <x:v>6</x:v>
      </x:c>
      <x:c r="H446" s="12" t="n">
        <x:v>674.1</x:v>
      </x:c>
      <x:c r="I446" s="12" t="n">
        <x:v>4.04</x:v>
      </x:c>
      <x:c r="J446" s="16" t="n">
        <x:v>0.02308272028802386</x:v>
      </x:c>
      <x:c r="K446" s="12" t="n">
        <x:v>3.69</x:v>
      </x:c>
      <x:c r="L446" s="12" t="n">
        <x:f>I446-K446</x:f>
        <x:v>0.3500000000000001</x:v>
      </x:c>
      <x:c r="M446" s="16" t="n">
        <x:f>IFERROR(L446/I446,0)</x:f>
        <x:v>0.08663366336633666</x:v>
      </x:c>
    </x:row>
    <x:row r="447">
      <x:c r="A447" s="12" t="str">
        <x:v>SALE-00446</x:v>
      </x:c>
      <x:c r="B447" s="14" t="n">
        <x:v>46204</x:v>
      </x:c>
      <x:c r="C447" s="12" t="str">
        <x:v>DLR-013</x:v>
      </x:c>
      <x:c r="D447" s="12" t="str">
        <x:v>VinFast HTA Ninh Bình</x:v>
      </x:c>
      <x:c r="E447" s="12" t="str">
        <x:v>VinFast</x:v>
      </x:c>
      <x:c r="F447" s="12" t="str">
        <x:v>VF 7</x:v>
      </x:c>
      <x:c r="G447" s="12" t="n">
        <x:v>10</x:v>
      </x:c>
      <x:c r="H447" s="12" t="n">
        <x:v>846.3</x:v>
      </x:c>
      <x:c r="I447" s="12" t="n">
        <x:v>8.46</x:v>
      </x:c>
      <x:c r="J447" s="16" t="n">
        <x:v>0.020490918192036918</x:v>
      </x:c>
      <x:c r="K447" s="12" t="n">
        <x:v>7.76</x:v>
      </x:c>
      <x:c r="L447" s="12" t="n">
        <x:f>I447-K447</x:f>
        <x:v>0.7000000000000011</x:v>
      </x:c>
      <x:c r="M447" s="16" t="n">
        <x:f>IFERROR(L447/I447,0)</x:f>
        <x:v>0.0827423167848701</x:v>
      </x:c>
    </x:row>
    <x:row r="448">
      <x:c r="A448" s="12" t="str">
        <x:v>SALE-00447</x:v>
      </x:c>
      <x:c r="B448" s="14" t="n">
        <x:v>46204</x:v>
      </x:c>
      <x:c r="C448" s="12" t="str">
        <x:v>DLR-013</x:v>
      </x:c>
      <x:c r="D448" s="12" t="str">
        <x:v>VinFast HTA Ninh Bình</x:v>
      </x:c>
      <x:c r="E448" s="12" t="str">
        <x:v>VinFast</x:v>
      </x:c>
      <x:c r="F448" s="12" t="str">
        <x:v>VF 8</x:v>
      </x:c>
      <x:c r="G448" s="12" t="n">
        <x:v>8</x:v>
      </x:c>
      <x:c r="H448" s="12" t="n">
        <x:v>977.6</x:v>
      </x:c>
      <x:c r="I448" s="12" t="n">
        <x:v>7.82</x:v>
      </x:c>
      <x:c r="J448" s="16" t="n">
        <x:v>0.04179335859572416</x:v>
      </x:c>
      <x:c r="K448" s="12" t="n">
        <x:v>7.13</x:v>
      </x:c>
      <x:c r="L448" s="12" t="n">
        <x:f>I448-K448</x:f>
        <x:v>0.6900000000000004</x:v>
      </x:c>
      <x:c r="M448" s="16" t="n">
        <x:f>IFERROR(L448/I448,0)</x:f>
        <x:v>0.0882352941176471</x:v>
      </x:c>
    </x:row>
    <x:row r="449">
      <x:c r="A449" s="12" t="str">
        <x:v>SALE-00448</x:v>
      </x:c>
      <x:c r="B449" s="14" t="n">
        <x:v>46204</x:v>
      </x:c>
      <x:c r="C449" s="12" t="str">
        <x:v>DLR-013</x:v>
      </x:c>
      <x:c r="D449" s="12" t="str">
        <x:v>VinFast HTA Ninh Bình</x:v>
      </x:c>
      <x:c r="E449" s="12" t="str">
        <x:v>VinFast</x:v>
      </x:c>
      <x:c r="F449" s="12" t="str">
        <x:v>VF 9</x:v>
      </x:c>
      <x:c r="G449" s="12" t="n">
        <x:v>8</x:v>
      </x:c>
      <x:c r="H449" s="12" t="n">
        <x:v>1415.4</x:v>
      </x:c>
      <x:c r="I449" s="12" t="n">
        <x:v>11.32</x:v>
      </x:c>
      <x:c r="J449" s="16" t="n">
        <x:v>0.031532054641930346</x:v>
      </x:c>
      <x:c r="K449" s="12" t="n">
        <x:v>10.45</x:v>
      </x:c>
      <x:c r="L449" s="12" t="n">
        <x:f>I449-K449</x:f>
        <x:v>0.870000000000001</x:v>
      </x:c>
      <x:c r="M449" s="16" t="n">
        <x:f>IFERROR(L449/I449,0)</x:f>
        <x:v>0.07685512367491175</x:v>
      </x:c>
    </x:row>
    <x:row r="450">
      <x:c r="A450" s="12" t="str">
        <x:v>SALE-00449</x:v>
      </x:c>
      <x:c r="B450" s="14" t="n">
        <x:v>46023</x:v>
      </x:c>
      <x:c r="C450" s="12" t="str">
        <x:v>DLR-014</x:v>
      </x:c>
      <x:c r="D450" s="12" t="str">
        <x:v>VinFast HTA Nam Từ Liêm</x:v>
      </x:c>
      <x:c r="E450" s="12" t="str">
        <x:v>VinFast</x:v>
      </x:c>
      <x:c r="F450" s="12" t="str">
        <x:v>VF 3</x:v>
      </x:c>
      <x:c r="G450" s="12" t="n">
        <x:v>6</x:v>
      </x:c>
      <x:c r="H450" s="12" t="n">
        <x:v>296.2</x:v>
      </x:c>
      <x:c r="I450" s="12" t="n">
        <x:v>1.78</x:v>
      </x:c>
      <x:c r="J450" s="16" t="n">
        <x:v>0.03701410263118467</x:v>
      </x:c>
      <x:c r="K450" s="12" t="n">
        <x:v>1.66</x:v>
      </x:c>
      <x:c r="L450" s="12" t="n">
        <x:f>I450-K450</x:f>
        <x:v>0.1200000000000001</x:v>
      </x:c>
      <x:c r="M450" s="16" t="n">
        <x:f>IFERROR(L450/I450,0)</x:f>
        <x:v>0.0674157303370787</x:v>
      </x:c>
    </x:row>
    <x:row r="451">
      <x:c r="A451" s="12" t="str">
        <x:v>SALE-00450</x:v>
      </x:c>
      <x:c r="B451" s="14" t="n">
        <x:v>46023</x:v>
      </x:c>
      <x:c r="C451" s="12" t="str">
        <x:v>DLR-014</x:v>
      </x:c>
      <x:c r="D451" s="12" t="str">
        <x:v>VinFast HTA Nam Từ Liêm</x:v>
      </x:c>
      <x:c r="E451" s="12" t="str">
        <x:v>VinFast</x:v>
      </x:c>
      <x:c r="F451" s="12" t="str">
        <x:v>VF 5</x:v>
      </x:c>
      <x:c r="G451" s="12" t="n">
        <x:v>4</x:v>
      </x:c>
      <x:c r="H451" s="12" t="n">
        <x:v>536.8</x:v>
      </x:c>
      <x:c r="I451" s="12" t="n">
        <x:v>2.15</x:v>
      </x:c>
      <x:c r="J451" s="16" t="n">
        <x:v>0.05013598486056913</x:v>
      </x:c>
      <x:c r="K451" s="12" t="n">
        <x:v>1.95</x:v>
      </x:c>
      <x:c r="L451" s="12" t="n">
        <x:f>I451-K451</x:f>
        <x:v>0.19999999999999996</x:v>
      </x:c>
      <x:c r="M451" s="16" t="n">
        <x:f>IFERROR(L451/I451,0)</x:f>
        <x:v>0.09302325581395347</x:v>
      </x:c>
    </x:row>
    <x:row r="452">
      <x:c r="A452" s="12" t="str">
        <x:v>SALE-00451</x:v>
      </x:c>
      <x:c r="B452" s="14" t="n">
        <x:v>46023</x:v>
      </x:c>
      <x:c r="C452" s="12" t="str">
        <x:v>DLR-014</x:v>
      </x:c>
      <x:c r="D452" s="12" t="str">
        <x:v>VinFast HTA Nam Từ Liêm</x:v>
      </x:c>
      <x:c r="E452" s="12" t="str">
        <x:v>VinFast</x:v>
      </x:c>
      <x:c r="F452" s="12" t="str">
        <x:v>VF 6</x:v>
      </x:c>
      <x:c r="G452" s="12" t="n">
        <x:v>4</x:v>
      </x:c>
      <x:c r="H452" s="12" t="n">
        <x:v>700.8</x:v>
      </x:c>
      <x:c r="I452" s="12" t="n">
        <x:v>2.8</x:v>
      </x:c>
      <x:c r="J452" s="16" t="n">
        <x:v>0.027846708084766667</x:v>
      </x:c>
      <x:c r="K452" s="12" t="n">
        <x:v>2.58</x:v>
      </x:c>
      <x:c r="L452" s="12" t="n">
        <x:f>I452-K452</x:f>
        <x:v>0.21999999999999975</x:v>
      </x:c>
      <x:c r="M452" s="16" t="n">
        <x:f>IFERROR(L452/I452,0)</x:f>
        <x:v>0.07857142857142849</x:v>
      </x:c>
    </x:row>
    <x:row r="453">
      <x:c r="A453" s="12" t="str">
        <x:v>SALE-00452</x:v>
      </x:c>
      <x:c r="B453" s="14" t="n">
        <x:v>46023</x:v>
      </x:c>
      <x:c r="C453" s="12" t="str">
        <x:v>DLR-014</x:v>
      </x:c>
      <x:c r="D453" s="12" t="str">
        <x:v>VinFast HTA Nam Từ Liêm</x:v>
      </x:c>
      <x:c r="E453" s="12" t="str">
        <x:v>VinFast</x:v>
      </x:c>
      <x:c r="F453" s="12" t="str">
        <x:v>VF 7</x:v>
      </x:c>
      <x:c r="G453" s="12" t="n">
        <x:v>6</x:v>
      </x:c>
      <x:c r="H453" s="12" t="n">
        <x:v>805.1</x:v>
      </x:c>
      <x:c r="I453" s="12" t="n">
        <x:v>4.83</x:v>
      </x:c>
      <x:c r="J453" s="16" t="n">
        <x:v>0.03796533412701493</x:v>
      </x:c>
      <x:c r="K453" s="12" t="n">
        <x:v>4.41</x:v>
      </x:c>
      <x:c r="L453" s="12" t="n">
        <x:f>I453-K453</x:f>
        <x:v>0.41999999999999993</x:v>
      </x:c>
      <x:c r="M453" s="16" t="n">
        <x:f>IFERROR(L453/I453,0)</x:f>
        <x:v>0.08695652173913042</x:v>
      </x:c>
    </x:row>
    <x:row r="454">
      <x:c r="A454" s="12" t="str">
        <x:v>SALE-00453</x:v>
      </x:c>
      <x:c r="B454" s="14" t="n">
        <x:v>46023</x:v>
      </x:c>
      <x:c r="C454" s="12" t="str">
        <x:v>DLR-014</x:v>
      </x:c>
      <x:c r="D454" s="12" t="str">
        <x:v>VinFast HTA Nam Từ Liêm</x:v>
      </x:c>
      <x:c r="E454" s="12" t="str">
        <x:v>VinFast</x:v>
      </x:c>
      <x:c r="F454" s="12" t="str">
        <x:v>VF 8</x:v>
      </x:c>
      <x:c r="G454" s="12" t="n">
        <x:v>6</x:v>
      </x:c>
      <x:c r="H454" s="12" t="n">
        <x:v>1034.2</x:v>
      </x:c>
      <x:c r="I454" s="12" t="n">
        <x:v>6.21</x:v>
      </x:c>
      <x:c r="J454" s="16" t="n">
        <x:v>0.0515291890267941</x:v>
      </x:c>
      <x:c r="K454" s="12" t="n">
        <x:v>5.53</x:v>
      </x:c>
      <x:c r="L454" s="12" t="n">
        <x:f>I454-K454</x:f>
        <x:v>0.6799999999999997</x:v>
      </x:c>
      <x:c r="M454" s="16" t="n">
        <x:f>IFERROR(L454/I454,0)</x:f>
        <x:v>0.10950080515297902</x:v>
      </x:c>
    </x:row>
    <x:row r="455">
      <x:c r="A455" s="12" t="str">
        <x:v>SALE-00454</x:v>
      </x:c>
      <x:c r="B455" s="14" t="n">
        <x:v>46023</x:v>
      </x:c>
      <x:c r="C455" s="12" t="str">
        <x:v>DLR-014</x:v>
      </x:c>
      <x:c r="D455" s="12" t="str">
        <x:v>VinFast HTA Nam Từ Liêm</x:v>
      </x:c>
      <x:c r="E455" s="12" t="str">
        <x:v>VinFast</x:v>
      </x:c>
      <x:c r="F455" s="12" t="str">
        <x:v>VF 9</x:v>
      </x:c>
      <x:c r="G455" s="12" t="n">
        <x:v>6</x:v>
      </x:c>
      <x:c r="H455" s="12" t="n">
        <x:v>1430.1</x:v>
      </x:c>
      <x:c r="I455" s="12" t="n">
        <x:v>8.58</x:v>
      </x:c>
      <x:c r="J455" s="16" t="n">
        <x:v>0.05178539247403736</x:v>
      </x:c>
      <x:c r="K455" s="12" t="n">
        <x:v>8.06</x:v>
      </x:c>
      <x:c r="L455" s="12" t="n">
        <x:f>I455-K455</x:f>
        <x:v>0.5199999999999996</x:v>
      </x:c>
      <x:c r="M455" s="16" t="n">
        <x:f>IFERROR(L455/I455,0)</x:f>
        <x:v>0.06060606060606056</x:v>
      </x:c>
    </x:row>
    <x:row r="456">
      <x:c r="A456" s="12" t="str">
        <x:v>SALE-00455</x:v>
      </x:c>
      <x:c r="B456" s="14" t="n">
        <x:v>46054</x:v>
      </x:c>
      <x:c r="C456" s="12" t="str">
        <x:v>DLR-014</x:v>
      </x:c>
      <x:c r="D456" s="12" t="str">
        <x:v>VinFast HTA Nam Từ Liêm</x:v>
      </x:c>
      <x:c r="E456" s="12" t="str">
        <x:v>VinFast</x:v>
      </x:c>
      <x:c r="F456" s="12" t="str">
        <x:v>VF 3</x:v>
      </x:c>
      <x:c r="G456" s="12" t="n">
        <x:v>5</x:v>
      </x:c>
      <x:c r="H456" s="12" t="n">
        <x:v>308.6</x:v>
      </x:c>
      <x:c r="I456" s="12" t="n">
        <x:v>1.54</x:v>
      </x:c>
      <x:c r="J456" s="16" t="n">
        <x:v>0.05246434979111051</x:v>
      </x:c>
      <x:c r="K456" s="12" t="n">
        <x:v>1.45</x:v>
      </x:c>
      <x:c r="L456" s="12" t="n">
        <x:f>I456-K456</x:f>
        <x:v>0.09000000000000008</x:v>
      </x:c>
      <x:c r="M456" s="16" t="n">
        <x:f>IFERROR(L456/I456,0)</x:f>
        <x:v>0.05844155844155849</x:v>
      </x:c>
    </x:row>
    <x:row r="457">
      <x:c r="A457" s="12" t="str">
        <x:v>SALE-00456</x:v>
      </x:c>
      <x:c r="B457" s="14" t="n">
        <x:v>46054</x:v>
      </x:c>
      <x:c r="C457" s="12" t="str">
        <x:v>DLR-014</x:v>
      </x:c>
      <x:c r="D457" s="12" t="str">
        <x:v>VinFast HTA Nam Từ Liêm</x:v>
      </x:c>
      <x:c r="E457" s="12" t="str">
        <x:v>VinFast</x:v>
      </x:c>
      <x:c r="F457" s="12" t="str">
        <x:v>VF 5</x:v>
      </x:c>
      <x:c r="G457" s="12" t="n">
        <x:v>7</x:v>
      </x:c>
      <x:c r="H457" s="12" t="n">
        <x:v>534.4</x:v>
      </x:c>
      <x:c r="I457" s="12" t="n">
        <x:v>3.74</x:v>
      </x:c>
      <x:c r="J457" s="16" t="n">
        <x:v>0.015370686739203991</x:v>
      </x:c>
      <x:c r="K457" s="12" t="n">
        <x:v>3.42</x:v>
      </x:c>
      <x:c r="L457" s="12" t="n">
        <x:f>I457-K457</x:f>
        <x:v>0.3200000000000003</x:v>
      </x:c>
      <x:c r="M457" s="16" t="n">
        <x:f>IFERROR(L457/I457,0)</x:f>
        <x:v>0.08556149732620327</x:v>
      </x:c>
    </x:row>
    <x:row r="458">
      <x:c r="A458" s="12" t="str">
        <x:v>SALE-00457</x:v>
      </x:c>
      <x:c r="B458" s="14" t="n">
        <x:v>46054</x:v>
      </x:c>
      <x:c r="C458" s="12" t="str">
        <x:v>DLR-014</x:v>
      </x:c>
      <x:c r="D458" s="12" t="str">
        <x:v>VinFast HTA Nam Từ Liêm</x:v>
      </x:c>
      <x:c r="E458" s="12" t="str">
        <x:v>VinFast</x:v>
      </x:c>
      <x:c r="F458" s="12" t="str">
        <x:v>VF 6</x:v>
      </x:c>
      <x:c r="G458" s="12" t="n">
        <x:v>3</x:v>
      </x:c>
      <x:c r="H458" s="12" t="n">
        <x:v>701.8</x:v>
      </x:c>
      <x:c r="I458" s="12" t="n">
        <x:v>2.11</x:v>
      </x:c>
      <x:c r="J458" s="16" t="n">
        <x:v>0.026382466094001848</x:v>
      </x:c>
      <x:c r="K458" s="12" t="n">
        <x:v>1.98</x:v>
      </x:c>
      <x:c r="L458" s="12" t="n">
        <x:f>I458-K458</x:f>
        <x:v>0.1299999999999999</x:v>
      </x:c>
      <x:c r="M458" s="16" t="n">
        <x:f>IFERROR(L458/I458,0)</x:f>
        <x:v>0.061611374407582895</x:v>
      </x:c>
    </x:row>
    <x:row r="459">
      <x:c r="A459" s="12" t="str">
        <x:v>SALE-00458</x:v>
      </x:c>
      <x:c r="B459" s="14" t="n">
        <x:v>46054</x:v>
      </x:c>
      <x:c r="C459" s="12" t="str">
        <x:v>DLR-014</x:v>
      </x:c>
      <x:c r="D459" s="12" t="str">
        <x:v>VinFast HTA Nam Từ Liêm</x:v>
      </x:c>
      <x:c r="E459" s="12" t="str">
        <x:v>VinFast</x:v>
      </x:c>
      <x:c r="F459" s="12" t="str">
        <x:v>VF 7</x:v>
      </x:c>
      <x:c r="G459" s="12" t="n">
        <x:v>5</x:v>
      </x:c>
      <x:c r="H459" s="12" t="n">
        <x:v>832.6</x:v>
      </x:c>
      <x:c r="I459" s="12" t="n">
        <x:v>4.16</x:v>
      </x:c>
      <x:c r="J459" s="16" t="n">
        <x:v>0.052542420069634894</x:v>
      </x:c>
      <x:c r="K459" s="12" t="n">
        <x:v>3.88</x:v>
      </x:c>
      <x:c r="L459" s="12" t="n">
        <x:f>I459-K459</x:f>
        <x:v>0.28000000000000025</x:v>
      </x:c>
      <x:c r="M459" s="16" t="n">
        <x:f>IFERROR(L459/I459,0)</x:f>
        <x:v>0.06730769230769236</x:v>
      </x:c>
    </x:row>
    <x:row r="460">
      <x:c r="A460" s="12" t="str">
        <x:v>SALE-00459</x:v>
      </x:c>
      <x:c r="B460" s="14" t="n">
        <x:v>46054</x:v>
      </x:c>
      <x:c r="C460" s="12" t="str">
        <x:v>DLR-014</x:v>
      </x:c>
      <x:c r="D460" s="12" t="str">
        <x:v>VinFast HTA Nam Từ Liêm</x:v>
      </x:c>
      <x:c r="E460" s="12" t="str">
        <x:v>VinFast</x:v>
      </x:c>
      <x:c r="F460" s="12" t="str">
        <x:v>VF 8</x:v>
      </x:c>
      <x:c r="G460" s="12" t="n">
        <x:v>5</x:v>
      </x:c>
      <x:c r="H460" s="12" t="n">
        <x:v>973.6</x:v>
      </x:c>
      <x:c r="I460" s="12" t="n">
        <x:v>4.87</x:v>
      </x:c>
      <x:c r="J460" s="16" t="n">
        <x:v>0.019505870440806178</x:v>
      </x:c>
      <x:c r="K460" s="12" t="n">
        <x:v>4.33</x:v>
      </x:c>
      <x:c r="L460" s="12" t="n">
        <x:f>I460-K460</x:f>
        <x:v>0.54</x:v>
      </x:c>
      <x:c r="M460" s="16" t="n">
        <x:f>IFERROR(L460/I460,0)</x:f>
        <x:v>0.11088295687885011</x:v>
      </x:c>
    </x:row>
    <x:row r="461">
      <x:c r="A461" s="12" t="str">
        <x:v>SALE-00460</x:v>
      </x:c>
      <x:c r="B461" s="14" t="n">
        <x:v>46054</x:v>
      </x:c>
      <x:c r="C461" s="12" t="str">
        <x:v>DLR-014</x:v>
      </x:c>
      <x:c r="D461" s="12" t="str">
        <x:v>VinFast HTA Nam Từ Liêm</x:v>
      </x:c>
      <x:c r="E461" s="12" t="str">
        <x:v>VinFast</x:v>
      </x:c>
      <x:c r="F461" s="12" t="str">
        <x:v>VF 9</x:v>
      </x:c>
      <x:c r="G461" s="12" t="n">
        <x:v>5</x:v>
      </x:c>
      <x:c r="H461" s="12" t="n">
        <x:v>1439.9</x:v>
      </x:c>
      <x:c r="I461" s="12" t="n">
        <x:v>7.2</x:v>
      </x:c>
      <x:c r="J461" s="16" t="n">
        <x:v>0.02244796276512271</x:v>
      </x:c>
      <x:c r="K461" s="12" t="n">
        <x:v>6.65</x:v>
      </x:c>
      <x:c r="L461" s="12" t="n">
        <x:f>I461-K461</x:f>
        <x:v>0.5499999999999998</x:v>
      </x:c>
      <x:c r="M461" s="16" t="n">
        <x:f>IFERROR(L461/I461,0)</x:f>
        <x:v>0.07638888888888887</x:v>
      </x:c>
    </x:row>
    <x:row r="462">
      <x:c r="A462" s="12" t="str">
        <x:v>SALE-00461</x:v>
      </x:c>
      <x:c r="B462" s="14" t="n">
        <x:v>46082</x:v>
      </x:c>
      <x:c r="C462" s="12" t="str">
        <x:v>DLR-014</x:v>
      </x:c>
      <x:c r="D462" s="12" t="str">
        <x:v>VinFast HTA Nam Từ Liêm</x:v>
      </x:c>
      <x:c r="E462" s="12" t="str">
        <x:v>VinFast</x:v>
      </x:c>
      <x:c r="F462" s="12" t="str">
        <x:v>VF 3</x:v>
      </x:c>
      <x:c r="G462" s="12" t="n">
        <x:v>6</x:v>
      </x:c>
      <x:c r="H462" s="12" t="n">
        <x:v>310.4</x:v>
      </x:c>
      <x:c r="I462" s="12" t="n">
        <x:v>1.86</x:v>
      </x:c>
      <x:c r="J462" s="16" t="n">
        <x:v>0.04529131001030245</x:v>
      </x:c>
      <x:c r="K462" s="12" t="n">
        <x:v>1.66</x:v>
      </x:c>
      <x:c r="L462" s="12" t="n">
        <x:f>I462-K462</x:f>
        <x:v>0.20000000000000018</x:v>
      </x:c>
      <x:c r="M462" s="16" t="n">
        <x:f>IFERROR(L462/I462,0)</x:f>
        <x:v>0.10752688172043019</x:v>
      </x:c>
    </x:row>
    <x:row r="463">
      <x:c r="A463" s="12" t="str">
        <x:v>SALE-00462</x:v>
      </x:c>
      <x:c r="B463" s="14" t="n">
        <x:v>46082</x:v>
      </x:c>
      <x:c r="C463" s="12" t="str">
        <x:v>DLR-014</x:v>
      </x:c>
      <x:c r="D463" s="12" t="str">
        <x:v>VinFast HTA Nam Từ Liêm</x:v>
      </x:c>
      <x:c r="E463" s="12" t="str">
        <x:v>VinFast</x:v>
      </x:c>
      <x:c r="F463" s="12" t="str">
        <x:v>VF 5</x:v>
      </x:c>
      <x:c r="G463" s="12" t="n">
        <x:v>7</x:v>
      </x:c>
      <x:c r="H463" s="12" t="n">
        <x:v>535.2</x:v>
      </x:c>
      <x:c r="I463" s="12" t="n">
        <x:v>3.75</x:v>
      </x:c>
      <x:c r="J463" s="16" t="n">
        <x:v>0.048079593011052385</x:v>
      </x:c>
      <x:c r="K463" s="12" t="n">
        <x:v>3.41</x:v>
      </x:c>
      <x:c r="L463" s="12" t="n">
        <x:f>I463-K463</x:f>
        <x:v>0.33999999999999986</x:v>
      </x:c>
      <x:c r="M463" s="16" t="n">
        <x:f>IFERROR(L463/I463,0)</x:f>
        <x:v>0.09066666666666663</x:v>
      </x:c>
    </x:row>
    <x:row r="464">
      <x:c r="A464" s="12" t="str">
        <x:v>SALE-00463</x:v>
      </x:c>
      <x:c r="B464" s="14" t="n">
        <x:v>46082</x:v>
      </x:c>
      <x:c r="C464" s="12" t="str">
        <x:v>DLR-014</x:v>
      </x:c>
      <x:c r="D464" s="12" t="str">
        <x:v>VinFast HTA Nam Từ Liêm</x:v>
      </x:c>
      <x:c r="E464" s="12" t="str">
        <x:v>VinFast</x:v>
      </x:c>
      <x:c r="F464" s="12" t="str">
        <x:v>VF 6</x:v>
      </x:c>
      <x:c r="G464" s="12" t="n">
        <x:v>3</x:v>
      </x:c>
      <x:c r="H464" s="12" t="n">
        <x:v>684.5</x:v>
      </x:c>
      <x:c r="I464" s="12" t="n">
        <x:v>2.05</x:v>
      </x:c>
      <x:c r="J464" s="16" t="n">
        <x:v>0.0223912480418936</x:v>
      </x:c>
      <x:c r="K464" s="12" t="n">
        <x:v>1.82</x:v>
      </x:c>
      <x:c r="L464" s="12" t="n">
        <x:f>I464-K464</x:f>
        <x:v>0.22999999999999976</x:v>
      </x:c>
      <x:c r="M464" s="16" t="n">
        <x:f>IFERROR(L464/I464,0)</x:f>
        <x:v>0.1121951219512194</x:v>
      </x:c>
    </x:row>
    <x:row r="465">
      <x:c r="A465" s="12" t="str">
        <x:v>SALE-00464</x:v>
      </x:c>
      <x:c r="B465" s="14" t="n">
        <x:v>46082</x:v>
      </x:c>
      <x:c r="C465" s="12" t="str">
        <x:v>DLR-014</x:v>
      </x:c>
      <x:c r="D465" s="12" t="str">
        <x:v>VinFast HTA Nam Từ Liêm</x:v>
      </x:c>
      <x:c r="E465" s="12" t="str">
        <x:v>VinFast</x:v>
      </x:c>
      <x:c r="F465" s="12" t="str">
        <x:v>VF 7</x:v>
      </x:c>
      <x:c r="G465" s="12" t="n">
        <x:v>4</x:v>
      </x:c>
      <x:c r="H465" s="12" t="n">
        <x:v>815.9</x:v>
      </x:c>
      <x:c r="I465" s="12" t="n">
        <x:v>3.26</x:v>
      </x:c>
      <x:c r="J465" s="16" t="n">
        <x:v>0.025431411082617754</x:v>
      </x:c>
      <x:c r="K465" s="12" t="n">
        <x:v>2.92</x:v>
      </x:c>
      <x:c r="L465" s="12" t="n">
        <x:f>I465-K465</x:f>
        <x:v>0.33999999999999986</x:v>
      </x:c>
      <x:c r="M465" s="16" t="n">
        <x:f>IFERROR(L465/I465,0)</x:f>
        <x:v>0.10429447852760733</x:v>
      </x:c>
    </x:row>
    <x:row r="466">
      <x:c r="A466" s="12" t="str">
        <x:v>SALE-00465</x:v>
      </x:c>
      <x:c r="B466" s="14" t="n">
        <x:v>46082</x:v>
      </x:c>
      <x:c r="C466" s="12" t="str">
        <x:v>DLR-014</x:v>
      </x:c>
      <x:c r="D466" s="12" t="str">
        <x:v>VinFast HTA Nam Từ Liêm</x:v>
      </x:c>
      <x:c r="E466" s="12" t="str">
        <x:v>VinFast</x:v>
      </x:c>
      <x:c r="F466" s="12" t="str">
        <x:v>VF 8</x:v>
      </x:c>
      <x:c r="G466" s="12" t="n">
        <x:v>6</x:v>
      </x:c>
      <x:c r="H466" s="12" t="n">
        <x:v>1035.6</x:v>
      </x:c>
      <x:c r="I466" s="12" t="n">
        <x:v>6.21</x:v>
      </x:c>
      <x:c r="J466" s="16" t="n">
        <x:v>0.027077833587664586</x:v>
      </x:c>
      <x:c r="K466" s="12" t="n">
        <x:v>5.74</x:v>
      </x:c>
      <x:c r="L466" s="12" t="n">
        <x:f>I466-K466</x:f>
        <x:v>0.46999999999999975</x:v>
      </x:c>
      <x:c r="M466" s="16" t="n">
        <x:f>IFERROR(L466/I466,0)</x:f>
        <x:v>0.07568438003220608</x:v>
      </x:c>
    </x:row>
    <x:row r="467">
      <x:c r="A467" s="12" t="str">
        <x:v>SALE-00466</x:v>
      </x:c>
      <x:c r="B467" s="14" t="n">
        <x:v>46082</x:v>
      </x:c>
      <x:c r="C467" s="12" t="str">
        <x:v>DLR-014</x:v>
      </x:c>
      <x:c r="D467" s="12" t="str">
        <x:v>VinFast HTA Nam Từ Liêm</x:v>
      </x:c>
      <x:c r="E467" s="12" t="str">
        <x:v>VinFast</x:v>
      </x:c>
      <x:c r="F467" s="12" t="str">
        <x:v>VF 9</x:v>
      </x:c>
      <x:c r="G467" s="12" t="n">
        <x:v>3</x:v>
      </x:c>
      <x:c r="H467" s="12" t="n">
        <x:v>1487.4</x:v>
      </x:c>
      <x:c r="I467" s="12" t="n">
        <x:v>4.46</x:v>
      </x:c>
      <x:c r="J467" s="16" t="n">
        <x:v>0.042710743616909554</x:v>
      </x:c>
      <x:c r="K467" s="12" t="n">
        <x:v>3.94</x:v>
      </x:c>
      <x:c r="L467" s="12" t="n">
        <x:f>I467-K467</x:f>
        <x:v>0.52</x:v>
      </x:c>
      <x:c r="M467" s="16" t="n">
        <x:f>IFERROR(L467/I467,0)</x:f>
        <x:v>0.11659192825112108</x:v>
      </x:c>
    </x:row>
    <x:row r="468">
      <x:c r="A468" s="12" t="str">
        <x:v>SALE-00467</x:v>
      </x:c>
      <x:c r="B468" s="14" t="n">
        <x:v>46113</x:v>
      </x:c>
      <x:c r="C468" s="12" t="str">
        <x:v>DLR-014</x:v>
      </x:c>
      <x:c r="D468" s="12" t="str">
        <x:v>VinFast HTA Nam Từ Liêm</x:v>
      </x:c>
      <x:c r="E468" s="12" t="str">
        <x:v>VinFast</x:v>
      </x:c>
      <x:c r="F468" s="12" t="str">
        <x:v>VF 3</x:v>
      </x:c>
      <x:c r="G468" s="12" t="n">
        <x:v>4</x:v>
      </x:c>
      <x:c r="H468" s="12" t="n">
        <x:v>303.8</x:v>
      </x:c>
      <x:c r="I468" s="12" t="n">
        <x:v>1.22</x:v>
      </x:c>
      <x:c r="J468" s="16" t="n">
        <x:v>0.03121666451873589</x:v>
      </x:c>
      <x:c r="K468" s="12" t="n">
        <x:v>1.11</x:v>
      </x:c>
      <x:c r="L468" s="12" t="n">
        <x:f>I468-K468</x:f>
        <x:v>0.10999999999999988</x:v>
      </x:c>
      <x:c r="M468" s="16" t="n">
        <x:f>IFERROR(L468/I468,0)</x:f>
        <x:v>0.09016393442622941</x:v>
      </x:c>
    </x:row>
    <x:row r="469">
      <x:c r="A469" s="12" t="str">
        <x:v>SALE-00468</x:v>
      </x:c>
      <x:c r="B469" s="14" t="n">
        <x:v>46113</x:v>
      </x:c>
      <x:c r="C469" s="12" t="str">
        <x:v>DLR-014</x:v>
      </x:c>
      <x:c r="D469" s="12" t="str">
        <x:v>VinFast HTA Nam Từ Liêm</x:v>
      </x:c>
      <x:c r="E469" s="12" t="str">
        <x:v>VinFast</x:v>
      </x:c>
      <x:c r="F469" s="12" t="str">
        <x:v>VF 5</x:v>
      </x:c>
      <x:c r="G469" s="12" t="n">
        <x:v>7</x:v>
      </x:c>
      <x:c r="H469" s="12" t="n">
        <x:v>527</x:v>
      </x:c>
      <x:c r="I469" s="12" t="n">
        <x:v>3.69</x:v>
      </x:c>
      <x:c r="J469" s="16" t="n">
        <x:v>0.027439117935386413</x:v>
      </x:c>
      <x:c r="K469" s="12" t="n">
        <x:v>3.27</x:v>
      </x:c>
      <x:c r="L469" s="12" t="n">
        <x:f>I469-K469</x:f>
        <x:v>0.41999999999999993</x:v>
      </x:c>
      <x:c r="M469" s="16" t="n">
        <x:f>IFERROR(L469/I469,0)</x:f>
        <x:v>0.1138211382113821</x:v>
      </x:c>
    </x:row>
    <x:row r="470">
      <x:c r="A470" s="12" t="str">
        <x:v>SALE-00469</x:v>
      </x:c>
      <x:c r="B470" s="14" t="n">
        <x:v>46113</x:v>
      </x:c>
      <x:c r="C470" s="12" t="str">
        <x:v>DLR-014</x:v>
      </x:c>
      <x:c r="D470" s="12" t="str">
        <x:v>VinFast HTA Nam Từ Liêm</x:v>
      </x:c>
      <x:c r="E470" s="12" t="str">
        <x:v>VinFast</x:v>
      </x:c>
      <x:c r="F470" s="12" t="str">
        <x:v>VF 6</x:v>
      </x:c>
      <x:c r="G470" s="12" t="n">
        <x:v>7</x:v>
      </x:c>
      <x:c r="H470" s="12" t="n">
        <x:v>663.9</x:v>
      </x:c>
      <x:c r="I470" s="12" t="n">
        <x:v>4.65</x:v>
      </x:c>
      <x:c r="J470" s="16" t="n">
        <x:v>0.03958501792575396</x:v>
      </x:c>
      <x:c r="K470" s="12" t="n">
        <x:v>4.15</x:v>
      </x:c>
      <x:c r="L470" s="12" t="n">
        <x:f>I470-K470</x:f>
        <x:v>0.5</x:v>
      </x:c>
      <x:c r="M470" s="16" t="n">
        <x:f>IFERROR(L470/I470,0)</x:f>
        <x:v>0.1075268817204301</x:v>
      </x:c>
    </x:row>
    <x:row r="471">
      <x:c r="A471" s="12" t="str">
        <x:v>SALE-00470</x:v>
      </x:c>
      <x:c r="B471" s="14" t="n">
        <x:v>46113</x:v>
      </x:c>
      <x:c r="C471" s="12" t="str">
        <x:v>DLR-014</x:v>
      </x:c>
      <x:c r="D471" s="12" t="str">
        <x:v>VinFast HTA Nam Từ Liêm</x:v>
      </x:c>
      <x:c r="E471" s="12" t="str">
        <x:v>VinFast</x:v>
      </x:c>
      <x:c r="F471" s="12" t="str">
        <x:v>VF 7</x:v>
      </x:c>
      <x:c r="G471" s="12" t="n">
        <x:v>4</x:v>
      </x:c>
      <x:c r="H471" s="12" t="n">
        <x:v>809.4</x:v>
      </x:c>
      <x:c r="I471" s="12" t="n">
        <x:v>3.24</x:v>
      </x:c>
      <x:c r="J471" s="16" t="n">
        <x:v>0.04490939348603426</x:v>
      </x:c>
      <x:c r="K471" s="12" t="n">
        <x:v>2.97</x:v>
      </x:c>
      <x:c r="L471" s="12" t="n">
        <x:f>I471-K471</x:f>
        <x:v>0.27</x:v>
      </x:c>
      <x:c r="M471" s="16" t="n">
        <x:f>IFERROR(L471/I471,0)</x:f>
        <x:v>0.08333333333333333</x:v>
      </x:c>
    </x:row>
    <x:row r="472">
      <x:c r="A472" s="12" t="str">
        <x:v>SALE-00471</x:v>
      </x:c>
      <x:c r="B472" s="14" t="n">
        <x:v>46113</x:v>
      </x:c>
      <x:c r="C472" s="12" t="str">
        <x:v>DLR-014</x:v>
      </x:c>
      <x:c r="D472" s="12" t="str">
        <x:v>VinFast HTA Nam Từ Liêm</x:v>
      </x:c>
      <x:c r="E472" s="12" t="str">
        <x:v>VinFast</x:v>
      </x:c>
      <x:c r="F472" s="12" t="str">
        <x:v>VF 8</x:v>
      </x:c>
      <x:c r="G472" s="12" t="n">
        <x:v>5</x:v>
      </x:c>
      <x:c r="H472" s="12" t="n">
        <x:v>1002.6</x:v>
      </x:c>
      <x:c r="I472" s="12" t="n">
        <x:v>5.01</x:v>
      </x:c>
      <x:c r="J472" s="16" t="n">
        <x:v>0.03383312307517246</x:v>
      </x:c>
      <x:c r="K472" s="12" t="n">
        <x:v>4.57</x:v>
      </x:c>
      <x:c r="L472" s="12" t="n">
        <x:f>I472-K472</x:f>
        <x:v>0.4399999999999995</x:v>
      </x:c>
      <x:c r="M472" s="16" t="n">
        <x:f>IFERROR(L472/I472,0)</x:f>
        <x:v>0.0878243512974051</x:v>
      </x:c>
    </x:row>
    <x:row r="473">
      <x:c r="A473" s="12" t="str">
        <x:v>SALE-00472</x:v>
      </x:c>
      <x:c r="B473" s="14" t="n">
        <x:v>46113</x:v>
      </x:c>
      <x:c r="C473" s="12" t="str">
        <x:v>DLR-014</x:v>
      </x:c>
      <x:c r="D473" s="12" t="str">
        <x:v>VinFast HTA Nam Từ Liêm</x:v>
      </x:c>
      <x:c r="E473" s="12" t="str">
        <x:v>VinFast</x:v>
      </x:c>
      <x:c r="F473" s="12" t="str">
        <x:v>VF 9</x:v>
      </x:c>
      <x:c r="G473" s="12" t="n">
        <x:v>6</x:v>
      </x:c>
      <x:c r="H473" s="12" t="n">
        <x:v>1435.3</x:v>
      </x:c>
      <x:c r="I473" s="12" t="n">
        <x:v>8.61</x:v>
      </x:c>
      <x:c r="J473" s="16" t="n">
        <x:v>0.02489861717234311</x:v>
      </x:c>
      <x:c r="K473" s="12" t="n">
        <x:v>7.97</x:v>
      </x:c>
      <x:c r="L473" s="12" t="n">
        <x:f>I473-K473</x:f>
        <x:v>0.6399999999999997</x:v>
      </x:c>
      <x:c r="M473" s="16" t="n">
        <x:f>IFERROR(L473/I473,0)</x:f>
        <x:v>0.07433217189314748</x:v>
      </x:c>
    </x:row>
    <x:row r="474">
      <x:c r="A474" s="12" t="str">
        <x:v>SALE-00473</x:v>
      </x:c>
      <x:c r="B474" s="14" t="n">
        <x:v>46143</x:v>
      </x:c>
      <x:c r="C474" s="12" t="str">
        <x:v>DLR-014</x:v>
      </x:c>
      <x:c r="D474" s="12" t="str">
        <x:v>VinFast HTA Nam Từ Liêm</x:v>
      </x:c>
      <x:c r="E474" s="12" t="str">
        <x:v>VinFast</x:v>
      </x:c>
      <x:c r="F474" s="12" t="str">
        <x:v>VF 3</x:v>
      </x:c>
      <x:c r="G474" s="12" t="n">
        <x:v>7</x:v>
      </x:c>
      <x:c r="H474" s="12" t="n">
        <x:v>298.2</x:v>
      </x:c>
      <x:c r="I474" s="12" t="n">
        <x:v>2.09</x:v>
      </x:c>
      <x:c r="J474" s="16" t="n">
        <x:v>0.032869919099859334</x:v>
      </x:c>
      <x:c r="K474" s="12" t="n">
        <x:v>1.92</x:v>
      </x:c>
      <x:c r="L474" s="12" t="n">
        <x:f>I474-K474</x:f>
        <x:v>0.16999999999999993</x:v>
      </x:c>
      <x:c r="M474" s="16" t="n">
        <x:f>IFERROR(L474/I474,0)</x:f>
        <x:v>0.08133971291866025</x:v>
      </x:c>
    </x:row>
    <x:row r="475">
      <x:c r="A475" s="12" t="str">
        <x:v>SALE-00474</x:v>
      </x:c>
      <x:c r="B475" s="14" t="n">
        <x:v>46143</x:v>
      </x:c>
      <x:c r="C475" s="12" t="str">
        <x:v>DLR-014</x:v>
      </x:c>
      <x:c r="D475" s="12" t="str">
        <x:v>VinFast HTA Nam Từ Liêm</x:v>
      </x:c>
      <x:c r="E475" s="12" t="str">
        <x:v>VinFast</x:v>
      </x:c>
      <x:c r="F475" s="12" t="str">
        <x:v>VF 5</x:v>
      </x:c>
      <x:c r="G475" s="12" t="n">
        <x:v>4</x:v>
      </x:c>
      <x:c r="H475" s="12" t="n">
        <x:v>521.1</x:v>
      </x:c>
      <x:c r="I475" s="12" t="n">
        <x:v>2.08</x:v>
      </x:c>
      <x:c r="J475" s="16" t="n">
        <x:v>0.01747032190226735</x:v>
      </x:c>
      <x:c r="K475" s="12" t="n">
        <x:v>1.9</x:v>
      </x:c>
      <x:c r="L475" s="12" t="n">
        <x:f>I475-K475</x:f>
        <x:v>0.18000000000000016</x:v>
      </x:c>
      <x:c r="M475" s="16" t="n">
        <x:f>IFERROR(L475/I475,0)</x:f>
        <x:v>0.0865384615384616</x:v>
      </x:c>
    </x:row>
    <x:row r="476">
      <x:c r="A476" s="12" t="str">
        <x:v>SALE-00475</x:v>
      </x:c>
      <x:c r="B476" s="14" t="n">
        <x:v>46143</x:v>
      </x:c>
      <x:c r="C476" s="12" t="str">
        <x:v>DLR-014</x:v>
      </x:c>
      <x:c r="D476" s="12" t="str">
        <x:v>VinFast HTA Nam Từ Liêm</x:v>
      </x:c>
      <x:c r="E476" s="12" t="str">
        <x:v>VinFast</x:v>
      </x:c>
      <x:c r="F476" s="12" t="str">
        <x:v>VF 6</x:v>
      </x:c>
      <x:c r="G476" s="12" t="n">
        <x:v>6</x:v>
      </x:c>
      <x:c r="H476" s="12" t="n">
        <x:v>679.2</x:v>
      </x:c>
      <x:c r="I476" s="12" t="n">
        <x:v>4.08</x:v>
      </x:c>
      <x:c r="J476" s="16" t="n">
        <x:v>0.020994095255296573</x:v>
      </x:c>
      <x:c r="K476" s="12" t="n">
        <x:v>3.67</x:v>
      </x:c>
      <x:c r="L476" s="12" t="n">
        <x:f>I476-K476</x:f>
        <x:v>0.41000000000000014</x:v>
      </x:c>
      <x:c r="M476" s="16" t="n">
        <x:f>IFERROR(L476/I476,0)</x:f>
        <x:v>0.1004901960784314</x:v>
      </x:c>
    </x:row>
    <x:row r="477">
      <x:c r="A477" s="12" t="str">
        <x:v>SALE-00476</x:v>
      </x:c>
      <x:c r="B477" s="14" t="n">
        <x:v>46143</x:v>
      </x:c>
      <x:c r="C477" s="12" t="str">
        <x:v>DLR-014</x:v>
      </x:c>
      <x:c r="D477" s="12" t="str">
        <x:v>VinFast HTA Nam Từ Liêm</x:v>
      </x:c>
      <x:c r="E477" s="12" t="str">
        <x:v>VinFast</x:v>
      </x:c>
      <x:c r="F477" s="12" t="str">
        <x:v>VF 7</x:v>
      </x:c>
      <x:c r="G477" s="12" t="n">
        <x:v>6</x:v>
      </x:c>
      <x:c r="H477" s="12" t="n">
        <x:v>806.9</x:v>
      </x:c>
      <x:c r="I477" s="12" t="n">
        <x:v>4.84</x:v>
      </x:c>
      <x:c r="J477" s="16" t="n">
        <x:v>0.02321605942157446</x:v>
      </x:c>
      <x:c r="K477" s="12" t="n">
        <x:v>4.43</x:v>
      </x:c>
      <x:c r="L477" s="12" t="n">
        <x:f>I477-K477</x:f>
        <x:v>0.41000000000000014</x:v>
      </x:c>
      <x:c r="M477" s="16" t="n">
        <x:f>IFERROR(L477/I477,0)</x:f>
        <x:v>0.08471074380165293</x:v>
      </x:c>
    </x:row>
    <x:row r="478">
      <x:c r="A478" s="12" t="str">
        <x:v>SALE-00477</x:v>
      </x:c>
      <x:c r="B478" s="14" t="n">
        <x:v>46143</x:v>
      </x:c>
      <x:c r="C478" s="12" t="str">
        <x:v>DLR-014</x:v>
      </x:c>
      <x:c r="D478" s="12" t="str">
        <x:v>VinFast HTA Nam Từ Liêm</x:v>
      </x:c>
      <x:c r="E478" s="12" t="str">
        <x:v>VinFast</x:v>
      </x:c>
      <x:c r="F478" s="12" t="str">
        <x:v>VF 8</x:v>
      </x:c>
      <x:c r="G478" s="12" t="n">
        <x:v>4</x:v>
      </x:c>
      <x:c r="H478" s="12" t="n">
        <x:v>999.5</x:v>
      </x:c>
      <x:c r="I478" s="12" t="n">
        <x:v>4</x:v>
      </x:c>
      <x:c r="J478" s="16" t="n">
        <x:v>0.04734768332708949</x:v>
      </x:c>
      <x:c r="K478" s="12" t="n">
        <x:v>3.63</x:v>
      </x:c>
      <x:c r="L478" s="12" t="n">
        <x:f>I478-K478</x:f>
        <x:v>0.3700000000000001</x:v>
      </x:c>
      <x:c r="M478" s="16" t="n">
        <x:f>IFERROR(L478/I478,0)</x:f>
        <x:v>0.09250000000000003</x:v>
      </x:c>
    </x:row>
    <x:row r="479">
      <x:c r="A479" s="12" t="str">
        <x:v>SALE-00478</x:v>
      </x:c>
      <x:c r="B479" s="14" t="n">
        <x:v>46143</x:v>
      </x:c>
      <x:c r="C479" s="12" t="str">
        <x:v>DLR-014</x:v>
      </x:c>
      <x:c r="D479" s="12" t="str">
        <x:v>VinFast HTA Nam Từ Liêm</x:v>
      </x:c>
      <x:c r="E479" s="12" t="str">
        <x:v>VinFast</x:v>
      </x:c>
      <x:c r="F479" s="12" t="str">
        <x:v>VF 9</x:v>
      </x:c>
      <x:c r="G479" s="12" t="n">
        <x:v>6</x:v>
      </x:c>
      <x:c r="H479" s="12" t="n">
        <x:v>1463.8</x:v>
      </x:c>
      <x:c r="I479" s="12" t="n">
        <x:v>8.78</x:v>
      </x:c>
      <x:c r="J479" s="16" t="n">
        <x:v>0.01730947123730099</x:v>
      </x:c>
      <x:c r="K479" s="12" t="n">
        <x:v>7.97</x:v>
      </x:c>
      <x:c r="L479" s="12" t="n">
        <x:f>I479-K479</x:f>
        <x:v>0.8099999999999996</x:v>
      </x:c>
      <x:c r="M479" s="16" t="n">
        <x:f>IFERROR(L479/I479,0)</x:f>
        <x:v>0.092255125284738</x:v>
      </x:c>
    </x:row>
    <x:row r="480">
      <x:c r="A480" s="12" t="str">
        <x:v>SALE-00479</x:v>
      </x:c>
      <x:c r="B480" s="14" t="n">
        <x:v>46174</x:v>
      </x:c>
      <x:c r="C480" s="12" t="str">
        <x:v>DLR-014</x:v>
      </x:c>
      <x:c r="D480" s="12" t="str">
        <x:v>VinFast HTA Nam Từ Liêm</x:v>
      </x:c>
      <x:c r="E480" s="12" t="str">
        <x:v>VinFast</x:v>
      </x:c>
      <x:c r="F480" s="12" t="str">
        <x:v>VF 3</x:v>
      </x:c>
      <x:c r="G480" s="12" t="n">
        <x:v>7</x:v>
      </x:c>
      <x:c r="H480" s="12" t="n">
        <x:v>314.3</x:v>
      </x:c>
      <x:c r="I480" s="12" t="n">
        <x:v>2.2</x:v>
      </x:c>
      <x:c r="J480" s="16" t="n">
        <x:v>0.0308379483981303</x:v>
      </x:c>
      <x:c r="K480" s="12" t="n">
        <x:v>2.04</x:v>
      </x:c>
      <x:c r="L480" s="12" t="n">
        <x:f>I480-K480</x:f>
        <x:v>0.16000000000000014</x:v>
      </x:c>
      <x:c r="M480" s="16" t="n">
        <x:f>IFERROR(L480/I480,0)</x:f>
        <x:v>0.07272727272727278</x:v>
      </x:c>
    </x:row>
    <x:row r="481">
      <x:c r="A481" s="12" t="str">
        <x:v>SALE-00480</x:v>
      </x:c>
      <x:c r="B481" s="14" t="n">
        <x:v>46174</x:v>
      </x:c>
      <x:c r="C481" s="12" t="str">
        <x:v>DLR-014</x:v>
      </x:c>
      <x:c r="D481" s="12" t="str">
        <x:v>VinFast HTA Nam Từ Liêm</x:v>
      </x:c>
      <x:c r="E481" s="12" t="str">
        <x:v>VinFast</x:v>
      </x:c>
      <x:c r="F481" s="12" t="str">
        <x:v>VF 5</x:v>
      </x:c>
      <x:c r="G481" s="12" t="n">
        <x:v>7</x:v>
      </x:c>
      <x:c r="H481" s="12" t="n">
        <x:v>521.7</x:v>
      </x:c>
      <x:c r="I481" s="12" t="n">
        <x:v>3.65</x:v>
      </x:c>
      <x:c r="J481" s="16" t="n">
        <x:v>0.01681159210911315</x:v>
      </x:c>
      <x:c r="K481" s="12" t="n">
        <x:v>3.29</x:v>
      </x:c>
      <x:c r="L481" s="12" t="n">
        <x:f>I481-K481</x:f>
        <x:v>0.3599999999999999</x:v>
      </x:c>
      <x:c r="M481" s="16" t="n">
        <x:f>IFERROR(L481/I481,0)</x:f>
        <x:v>0.09863013698630134</x:v>
      </x:c>
    </x:row>
    <x:row r="482">
      <x:c r="A482" s="12" t="str">
        <x:v>SALE-00481</x:v>
      </x:c>
      <x:c r="B482" s="14" t="n">
        <x:v>46174</x:v>
      </x:c>
      <x:c r="C482" s="12" t="str">
        <x:v>DLR-014</x:v>
      </x:c>
      <x:c r="D482" s="12" t="str">
        <x:v>VinFast HTA Nam Từ Liêm</x:v>
      </x:c>
      <x:c r="E482" s="12" t="str">
        <x:v>VinFast</x:v>
      </x:c>
      <x:c r="F482" s="12" t="str">
        <x:v>VF 6</x:v>
      </x:c>
      <x:c r="G482" s="12" t="n">
        <x:v>4</x:v>
      </x:c>
      <x:c r="H482" s="12" t="n">
        <x:v>702.5</x:v>
      </x:c>
      <x:c r="I482" s="12" t="n">
        <x:v>2.81</x:v>
      </x:c>
      <x:c r="J482" s="16" t="n">
        <x:v>0.05238331195539786</x:v>
      </x:c>
      <x:c r="K482" s="12" t="n">
        <x:v>2.48</x:v>
      </x:c>
      <x:c r="L482" s="12" t="n">
        <x:f>I482-K482</x:f>
        <x:v>0.33000000000000007</x:v>
      </x:c>
      <x:c r="M482" s="16" t="n">
        <x:f>IFERROR(L482/I482,0)</x:f>
        <x:v>0.11743772241992885</x:v>
      </x:c>
    </x:row>
    <x:row r="483">
      <x:c r="A483" s="12" t="str">
        <x:v>SALE-00482</x:v>
      </x:c>
      <x:c r="B483" s="14" t="n">
        <x:v>46174</x:v>
      </x:c>
      <x:c r="C483" s="12" t="str">
        <x:v>DLR-014</x:v>
      </x:c>
      <x:c r="D483" s="12" t="str">
        <x:v>VinFast HTA Nam Từ Liêm</x:v>
      </x:c>
      <x:c r="E483" s="12" t="str">
        <x:v>VinFast</x:v>
      </x:c>
      <x:c r="F483" s="12" t="str">
        <x:v>VF 7</x:v>
      </x:c>
      <x:c r="G483" s="12" t="n">
        <x:v>8</x:v>
      </x:c>
      <x:c r="H483" s="12" t="n">
        <x:v>801.2</x:v>
      </x:c>
      <x:c r="I483" s="12" t="n">
        <x:v>6.41</x:v>
      </x:c>
      <x:c r="J483" s="16" t="n">
        <x:v>0.03135467743276993</x:v>
      </x:c>
      <x:c r="K483" s="12" t="n">
        <x:v>5.94</x:v>
      </x:c>
      <x:c r="L483" s="12" t="n">
        <x:f>I483-K483</x:f>
        <x:v>0.46999999999999975</x:v>
      </x:c>
      <x:c r="M483" s="16" t="n">
        <x:f>IFERROR(L483/I483,0)</x:f>
        <x:v>0.07332293291731665</x:v>
      </x:c>
    </x:row>
    <x:row r="484">
      <x:c r="A484" s="12" t="str">
        <x:v>SALE-00483</x:v>
      </x:c>
      <x:c r="B484" s="14" t="n">
        <x:v>46174</x:v>
      </x:c>
      <x:c r="C484" s="12" t="str">
        <x:v>DLR-014</x:v>
      </x:c>
      <x:c r="D484" s="12" t="str">
        <x:v>VinFast HTA Nam Từ Liêm</x:v>
      </x:c>
      <x:c r="E484" s="12" t="str">
        <x:v>VinFast</x:v>
      </x:c>
      <x:c r="F484" s="12" t="str">
        <x:v>VF 8</x:v>
      </x:c>
      <x:c r="G484" s="12" t="n">
        <x:v>7</x:v>
      </x:c>
      <x:c r="H484" s="12" t="n">
        <x:v>1037.6</x:v>
      </x:c>
      <x:c r="I484" s="12" t="n">
        <x:v>7.26</x:v>
      </x:c>
      <x:c r="J484" s="16" t="n">
        <x:v>0.04083523272388654</x:v>
      </x:c>
      <x:c r="K484" s="12" t="n">
        <x:v>6.57</x:v>
      </x:c>
      <x:c r="L484" s="12" t="n">
        <x:f>I484-K484</x:f>
        <x:v>0.6899999999999995</x:v>
      </x:c>
      <x:c r="M484" s="16" t="n">
        <x:f>IFERROR(L484/I484,0)</x:f>
        <x:v>0.09504132231404952</x:v>
      </x:c>
    </x:row>
    <x:row r="485">
      <x:c r="A485" s="12" t="str">
        <x:v>SALE-00484</x:v>
      </x:c>
      <x:c r="B485" s="14" t="n">
        <x:v>46174</x:v>
      </x:c>
      <x:c r="C485" s="12" t="str">
        <x:v>DLR-014</x:v>
      </x:c>
      <x:c r="D485" s="12" t="str">
        <x:v>VinFast HTA Nam Từ Liêm</x:v>
      </x:c>
      <x:c r="E485" s="12" t="str">
        <x:v>VinFast</x:v>
      </x:c>
      <x:c r="F485" s="12" t="str">
        <x:v>VF 9</x:v>
      </x:c>
      <x:c r="G485" s="12" t="n">
        <x:v>8</x:v>
      </x:c>
      <x:c r="H485" s="12" t="n">
        <x:v>1454.9</x:v>
      </x:c>
      <x:c r="I485" s="12" t="n">
        <x:v>11.64</x:v>
      </x:c>
      <x:c r="J485" s="16" t="n">
        <x:v>0.04978481141242834</x:v>
      </x:c>
      <x:c r="K485" s="12" t="n">
        <x:v>10.88</x:v>
      </x:c>
      <x:c r="L485" s="12" t="n">
        <x:f>I485-K485</x:f>
        <x:v>0.7599999999999998</x:v>
      </x:c>
      <x:c r="M485" s="16" t="n">
        <x:f>IFERROR(L485/I485,0)</x:f>
        <x:v>0.06529209621993125</x:v>
      </x:c>
    </x:row>
    <x:row r="486">
      <x:c r="A486" s="12" t="str">
        <x:v>SALE-00485</x:v>
      </x:c>
      <x:c r="B486" s="14" t="n">
        <x:v>46204</x:v>
      </x:c>
      <x:c r="C486" s="12" t="str">
        <x:v>DLR-014</x:v>
      </x:c>
      <x:c r="D486" s="12" t="str">
        <x:v>VinFast HTA Nam Từ Liêm</x:v>
      </x:c>
      <x:c r="E486" s="12" t="str">
        <x:v>VinFast</x:v>
      </x:c>
      <x:c r="F486" s="12" t="str">
        <x:v>VF 3</x:v>
      </x:c>
      <x:c r="G486" s="12" t="n">
        <x:v>5</x:v>
      </x:c>
      <x:c r="H486" s="12" t="n">
        <x:v>313.3</x:v>
      </x:c>
      <x:c r="I486" s="12" t="n">
        <x:v>1.57</x:v>
      </x:c>
      <x:c r="J486" s="16" t="n">
        <x:v>0.04147170152501872</x:v>
      </x:c>
      <x:c r="K486" s="12" t="n">
        <x:v>1.43</x:v>
      </x:c>
      <x:c r="L486" s="12" t="n">
        <x:f>I486-K486</x:f>
        <x:v>0.14000000000000012</x:v>
      </x:c>
      <x:c r="M486" s="16" t="n">
        <x:f>IFERROR(L486/I486,0)</x:f>
        <x:v>0.08917197452229307</x:v>
      </x:c>
    </x:row>
    <x:row r="487">
      <x:c r="A487" s="12" t="str">
        <x:v>SALE-00486</x:v>
      </x:c>
      <x:c r="B487" s="14" t="n">
        <x:v>46204</x:v>
      </x:c>
      <x:c r="C487" s="12" t="str">
        <x:v>DLR-014</x:v>
      </x:c>
      <x:c r="D487" s="12" t="str">
        <x:v>VinFast HTA Nam Từ Liêm</x:v>
      </x:c>
      <x:c r="E487" s="12" t="str">
        <x:v>VinFast</x:v>
      </x:c>
      <x:c r="F487" s="12" t="str">
        <x:v>VF 5</x:v>
      </x:c>
      <x:c r="G487" s="12" t="n">
        <x:v>7</x:v>
      </x:c>
      <x:c r="H487" s="12" t="n">
        <x:v>512</x:v>
      </x:c>
      <x:c r="I487" s="12" t="n">
        <x:v>3.58</x:v>
      </x:c>
      <x:c r="J487" s="16" t="n">
        <x:v>0.022138945160164465</x:v>
      </x:c>
      <x:c r="K487" s="12" t="n">
        <x:v>3.27</x:v>
      </x:c>
      <x:c r="L487" s="12" t="n">
        <x:f>I487-K487</x:f>
        <x:v>0.31000000000000005</x:v>
      </x:c>
      <x:c r="M487" s="16" t="n">
        <x:f>IFERROR(L487/I487,0)</x:f>
        <x:v>0.08659217877094974</x:v>
      </x:c>
    </x:row>
    <x:row r="488">
      <x:c r="A488" s="12" t="str">
        <x:v>SALE-00487</x:v>
      </x:c>
      <x:c r="B488" s="14" t="n">
        <x:v>46204</x:v>
      </x:c>
      <x:c r="C488" s="12" t="str">
        <x:v>DLR-014</x:v>
      </x:c>
      <x:c r="D488" s="12" t="str">
        <x:v>VinFast HTA Nam Từ Liêm</x:v>
      </x:c>
      <x:c r="E488" s="12" t="str">
        <x:v>VinFast</x:v>
      </x:c>
      <x:c r="F488" s="12" t="str">
        <x:v>VF 6</x:v>
      </x:c>
      <x:c r="G488" s="12" t="n">
        <x:v>6</x:v>
      </x:c>
      <x:c r="H488" s="12" t="n">
        <x:v>687.8</x:v>
      </x:c>
      <x:c r="I488" s="12" t="n">
        <x:v>4.13</x:v>
      </x:c>
      <x:c r="J488" s="16" t="n">
        <x:v>0.023907608638650657</x:v>
      </x:c>
      <x:c r="K488" s="12" t="n">
        <x:v>3.63</x:v>
      </x:c>
      <x:c r="L488" s="12" t="n">
        <x:f>I488-K488</x:f>
        <x:v>0.5</x:v>
      </x:c>
      <x:c r="M488" s="16" t="n">
        <x:f>IFERROR(L488/I488,0)</x:f>
        <x:v>0.12106537530266344</x:v>
      </x:c>
    </x:row>
    <x:row r="489">
      <x:c r="A489" s="12" t="str">
        <x:v>SALE-00488</x:v>
      </x:c>
      <x:c r="B489" s="14" t="n">
        <x:v>46204</x:v>
      </x:c>
      <x:c r="C489" s="12" t="str">
        <x:v>DLR-014</x:v>
      </x:c>
      <x:c r="D489" s="12" t="str">
        <x:v>VinFast HTA Nam Từ Liêm</x:v>
      </x:c>
      <x:c r="E489" s="12" t="str">
        <x:v>VinFast</x:v>
      </x:c>
      <x:c r="F489" s="12" t="str">
        <x:v>VF 7</x:v>
      </x:c>
      <x:c r="G489" s="12" t="n">
        <x:v>4</x:v>
      </x:c>
      <x:c r="H489" s="12" t="n">
        <x:v>819.3</x:v>
      </x:c>
      <x:c r="I489" s="12" t="n">
        <x:v>3.28</x:v>
      </x:c>
      <x:c r="J489" s="16" t="n">
        <x:v>0.041939994311062684</x:v>
      </x:c>
      <x:c r="K489" s="12" t="n">
        <x:v>2.99</x:v>
      </x:c>
      <x:c r="L489" s="12" t="n">
        <x:f>I489-K489</x:f>
        <x:v>0.2899999999999996</x:v>
      </x:c>
      <x:c r="M489" s="16" t="n">
        <x:f>IFERROR(L489/I489,0)</x:f>
        <x:v>0.08841463414634135</x:v>
      </x:c>
    </x:row>
    <x:row r="490">
      <x:c r="A490" s="12" t="str">
        <x:v>SALE-00489</x:v>
      </x:c>
      <x:c r="B490" s="14" t="n">
        <x:v>46204</x:v>
      </x:c>
      <x:c r="C490" s="12" t="str">
        <x:v>DLR-014</x:v>
      </x:c>
      <x:c r="D490" s="12" t="str">
        <x:v>VinFast HTA Nam Từ Liêm</x:v>
      </x:c>
      <x:c r="E490" s="12" t="str">
        <x:v>VinFast</x:v>
      </x:c>
      <x:c r="F490" s="12" t="str">
        <x:v>VF 8</x:v>
      </x:c>
      <x:c r="G490" s="12" t="n">
        <x:v>6</x:v>
      </x:c>
      <x:c r="H490" s="12" t="n">
        <x:v>1025</x:v>
      </x:c>
      <x:c r="I490" s="12" t="n">
        <x:v>6.15</x:v>
      </x:c>
      <x:c r="J490" s="16" t="n">
        <x:v>0.024900481540151023</x:v>
      </x:c>
      <x:c r="K490" s="12" t="n">
        <x:v>5.54</x:v>
      </x:c>
      <x:c r="L490" s="12" t="n">
        <x:f>I490-K490</x:f>
        <x:v>0.6100000000000003</x:v>
      </x:c>
      <x:c r="M490" s="16" t="n">
        <x:f>IFERROR(L490/I490,0)</x:f>
        <x:v>0.09918699186991875</x:v>
      </x:c>
    </x:row>
    <x:row r="491">
      <x:c r="A491" s="12" t="str">
        <x:v>SALE-00490</x:v>
      </x:c>
      <x:c r="B491" s="14" t="n">
        <x:v>46204</x:v>
      </x:c>
      <x:c r="C491" s="12" t="str">
        <x:v>DLR-014</x:v>
      </x:c>
      <x:c r="D491" s="12" t="str">
        <x:v>VinFast HTA Nam Từ Liêm</x:v>
      </x:c>
      <x:c r="E491" s="12" t="str">
        <x:v>VinFast</x:v>
      </x:c>
      <x:c r="F491" s="12" t="str">
        <x:v>VF 9</x:v>
      </x:c>
      <x:c r="G491" s="12" t="n">
        <x:v>5</x:v>
      </x:c>
      <x:c r="H491" s="12" t="n">
        <x:v>1521.5</x:v>
      </x:c>
      <x:c r="I491" s="12" t="n">
        <x:v>7.61</x:v>
      </x:c>
      <x:c r="J491" s="16" t="n">
        <x:v>0.044000957836356734</x:v>
      </x:c>
      <x:c r="K491" s="12" t="n">
        <x:v>6.75</x:v>
      </x:c>
      <x:c r="L491" s="12" t="n">
        <x:f>I491-K491</x:f>
        <x:v>0.8600000000000003</x:v>
      </x:c>
      <x:c r="M491" s="16" t="n">
        <x:f>IFERROR(L491/I491,0)</x:f>
        <x:v>0.1130091984231275</x:v>
      </x:c>
    </x:row>
    <x:row r="492">
      <x:c r="A492" s="12" t="str">
        <x:v>SALE-00491</x:v>
      </x:c>
      <x:c r="B492" s="14" t="n">
        <x:v>46023</x:v>
      </x:c>
      <x:c r="C492" s="12" t="str">
        <x:v>DLR-015</x:v>
      </x:c>
      <x:c r="D492" s="12" t="str">
        <x:v>VinFast HTA Văn Phú</x:v>
      </x:c>
      <x:c r="E492" s="12" t="str">
        <x:v>VinFast</x:v>
      </x:c>
      <x:c r="F492" s="12" t="str">
        <x:v>VF 3</x:v>
      </x:c>
      <x:c r="G492" s="12" t="n">
        <x:v>8</x:v>
      </x:c>
      <x:c r="H492" s="12" t="n">
        <x:v>315.4</x:v>
      </x:c>
      <x:c r="I492" s="12" t="n">
        <x:v>2.52</x:v>
      </x:c>
      <x:c r="J492" s="16" t="n">
        <x:v>0.05035026487381498</x:v>
      </x:c>
      <x:c r="K492" s="12" t="n">
        <x:v>2.22</x:v>
      </x:c>
      <x:c r="L492" s="12" t="n">
        <x:f>I492-K492</x:f>
        <x:v>0.2999999999999998</x:v>
      </x:c>
      <x:c r="M492" s="16" t="n">
        <x:f>IFERROR(L492/I492,0)</x:f>
        <x:v>0.11904761904761897</x:v>
      </x:c>
    </x:row>
    <x:row r="493">
      <x:c r="A493" s="12" t="str">
        <x:v>SALE-00492</x:v>
      </x:c>
      <x:c r="B493" s="14" t="n">
        <x:v>46023</x:v>
      </x:c>
      <x:c r="C493" s="12" t="str">
        <x:v>DLR-015</x:v>
      </x:c>
      <x:c r="D493" s="12" t="str">
        <x:v>VinFast HTA Văn Phú</x:v>
      </x:c>
      <x:c r="E493" s="12" t="str">
        <x:v>VinFast</x:v>
      </x:c>
      <x:c r="F493" s="12" t="str">
        <x:v>VF 5</x:v>
      </x:c>
      <x:c r="G493" s="12" t="n">
        <x:v>6</x:v>
      </x:c>
      <x:c r="H493" s="12" t="n">
        <x:v>501.5</x:v>
      </x:c>
      <x:c r="I493" s="12" t="n">
        <x:v>3.01</x:v>
      </x:c>
      <x:c r="J493" s="16" t="n">
        <x:v>0.01634305103017123</x:v>
      </x:c>
      <x:c r="K493" s="12" t="n">
        <x:v>2.76</x:v>
      </x:c>
      <x:c r="L493" s="12" t="n">
        <x:f>I493-K493</x:f>
        <x:v>0.25</x:v>
      </x:c>
      <x:c r="M493" s="16" t="n">
        <x:f>IFERROR(L493/I493,0)</x:f>
        <x:v>0.08305647840531562</x:v>
      </x:c>
    </x:row>
    <x:row r="494">
      <x:c r="A494" s="12" t="str">
        <x:v>SALE-00493</x:v>
      </x:c>
      <x:c r="B494" s="14" t="n">
        <x:v>46023</x:v>
      </x:c>
      <x:c r="C494" s="12" t="str">
        <x:v>DLR-015</x:v>
      </x:c>
      <x:c r="D494" s="12" t="str">
        <x:v>VinFast HTA Văn Phú</x:v>
      </x:c>
      <x:c r="E494" s="12" t="str">
        <x:v>VinFast</x:v>
      </x:c>
      <x:c r="F494" s="12" t="str">
        <x:v>VF 6</x:v>
      </x:c>
      <x:c r="G494" s="12" t="n">
        <x:v>9</x:v>
      </x:c>
      <x:c r="H494" s="12" t="n">
        <x:v>650.3</x:v>
      </x:c>
      <x:c r="I494" s="12" t="n">
        <x:v>5.85</x:v>
      </x:c>
      <x:c r="J494" s="16" t="n">
        <x:v>0.044621643139194464</x:v>
      </x:c>
      <x:c r="K494" s="12" t="n">
        <x:v>5.29</x:v>
      </x:c>
      <x:c r="L494" s="12" t="n">
        <x:f>I494-K494</x:f>
        <x:v>0.5599999999999996</x:v>
      </x:c>
      <x:c r="M494" s="16" t="n">
        <x:f>IFERROR(L494/I494,0)</x:f>
        <x:v>0.09572649572649566</x:v>
      </x:c>
    </x:row>
    <x:row r="495">
      <x:c r="A495" s="12" t="str">
        <x:v>SALE-00494</x:v>
      </x:c>
      <x:c r="B495" s="14" t="n">
        <x:v>46023</x:v>
      </x:c>
      <x:c r="C495" s="12" t="str">
        <x:v>DLR-015</x:v>
      </x:c>
      <x:c r="D495" s="12" t="str">
        <x:v>VinFast HTA Văn Phú</x:v>
      </x:c>
      <x:c r="E495" s="12" t="str">
        <x:v>VinFast</x:v>
      </x:c>
      <x:c r="F495" s="12" t="str">
        <x:v>VF 7</x:v>
      </x:c>
      <x:c r="G495" s="12" t="n">
        <x:v>6</x:v>
      </x:c>
      <x:c r="H495" s="12" t="n">
        <x:v>813.8</x:v>
      </x:c>
      <x:c r="I495" s="12" t="n">
        <x:v>4.88</x:v>
      </x:c>
      <x:c r="J495" s="16" t="n">
        <x:v>0.04954920970680225</x:v>
      </x:c>
      <x:c r="K495" s="12" t="n">
        <x:v>4.31</x:v>
      </x:c>
      <x:c r="L495" s="12" t="n">
        <x:f>I495-K495</x:f>
        <x:v>0.5700000000000003</x:v>
      </x:c>
      <x:c r="M495" s="16" t="n">
        <x:f>IFERROR(L495/I495,0)</x:f>
        <x:v>0.11680327868852465</x:v>
      </x:c>
    </x:row>
    <x:row r="496">
      <x:c r="A496" s="12" t="str">
        <x:v>SALE-00495</x:v>
      </x:c>
      <x:c r="B496" s="14" t="n">
        <x:v>46023</x:v>
      </x:c>
      <x:c r="C496" s="12" t="str">
        <x:v>DLR-015</x:v>
      </x:c>
      <x:c r="D496" s="12" t="str">
        <x:v>VinFast HTA Văn Phú</x:v>
      </x:c>
      <x:c r="E496" s="12" t="str">
        <x:v>VinFast</x:v>
      </x:c>
      <x:c r="F496" s="12" t="str">
        <x:v>VF 8</x:v>
      </x:c>
      <x:c r="G496" s="12" t="n">
        <x:v>8</x:v>
      </x:c>
      <x:c r="H496" s="12" t="n">
        <x:v>981.4</x:v>
      </x:c>
      <x:c r="I496" s="12" t="n">
        <x:v>7.85</x:v>
      </x:c>
      <x:c r="J496" s="16" t="n">
        <x:v>0.04763145027053267</x:v>
      </x:c>
      <x:c r="K496" s="12" t="n">
        <x:v>7.25</x:v>
      </x:c>
      <x:c r="L496" s="12" t="n">
        <x:f>I496-K496</x:f>
        <x:v>0.5999999999999996</x:v>
      </x:c>
      <x:c r="M496" s="16" t="n">
        <x:f>IFERROR(L496/I496,0)</x:f>
        <x:v>0.07643312101910824</x:v>
      </x:c>
    </x:row>
    <x:row r="497">
      <x:c r="A497" s="12" t="str">
        <x:v>SALE-00496</x:v>
      </x:c>
      <x:c r="B497" s="14" t="n">
        <x:v>46023</x:v>
      </x:c>
      <x:c r="C497" s="12" t="str">
        <x:v>DLR-015</x:v>
      </x:c>
      <x:c r="D497" s="12" t="str">
        <x:v>VinFast HTA Văn Phú</x:v>
      </x:c>
      <x:c r="E497" s="12" t="str">
        <x:v>VinFast</x:v>
      </x:c>
      <x:c r="F497" s="12" t="str">
        <x:v>VF 9</x:v>
      </x:c>
      <x:c r="G497" s="12" t="n">
        <x:v>7</x:v>
      </x:c>
      <x:c r="H497" s="12" t="n">
        <x:v>1480.8</x:v>
      </x:c>
      <x:c r="I497" s="12" t="n">
        <x:v>10.37</x:v>
      </x:c>
      <x:c r="J497" s="16" t="n">
        <x:v>0.041901276057476546</x:v>
      </x:c>
      <x:c r="K497" s="12" t="n">
        <x:v>9.32</x:v>
      </x:c>
      <x:c r="L497" s="12" t="n">
        <x:f>I497-K497</x:f>
        <x:v>1.049999999999999</x:v>
      </x:c>
      <x:c r="M497" s="16" t="n">
        <x:f>IFERROR(L497/I497,0)</x:f>
        <x:v>0.1012536162005785</x:v>
      </x:c>
    </x:row>
    <x:row r="498">
      <x:c r="A498" s="12" t="str">
        <x:v>SALE-00497</x:v>
      </x:c>
      <x:c r="B498" s="14" t="n">
        <x:v>46054</x:v>
      </x:c>
      <x:c r="C498" s="12" t="str">
        <x:v>DLR-015</x:v>
      </x:c>
      <x:c r="D498" s="12" t="str">
        <x:v>VinFast HTA Văn Phú</x:v>
      </x:c>
      <x:c r="E498" s="12" t="str">
        <x:v>VinFast</x:v>
      </x:c>
      <x:c r="F498" s="12" t="str">
        <x:v>VF 3</x:v>
      </x:c>
      <x:c r="G498" s="12" t="n">
        <x:v>7</x:v>
      </x:c>
      <x:c r="H498" s="12" t="n">
        <x:v>299.7</x:v>
      </x:c>
      <x:c r="I498" s="12" t="n">
        <x:v>2.1</x:v>
      </x:c>
      <x:c r="J498" s="16" t="n">
        <x:v>0.04140849695242973</x:v>
      </x:c>
      <x:c r="K498" s="12" t="n">
        <x:v>1.87</x:v>
      </x:c>
      <x:c r="L498" s="12" t="n">
        <x:f>I498-K498</x:f>
        <x:v>0.22999999999999998</x:v>
      </x:c>
      <x:c r="M498" s="16" t="n">
        <x:f>IFERROR(L498/I498,0)</x:f>
        <x:v>0.10952380952380951</x:v>
      </x:c>
    </x:row>
    <x:row r="499">
      <x:c r="A499" s="12" t="str">
        <x:v>SALE-00498</x:v>
      </x:c>
      <x:c r="B499" s="14" t="n">
        <x:v>46054</x:v>
      </x:c>
      <x:c r="C499" s="12" t="str">
        <x:v>DLR-015</x:v>
      </x:c>
      <x:c r="D499" s="12" t="str">
        <x:v>VinFast HTA Văn Phú</x:v>
      </x:c>
      <x:c r="E499" s="12" t="str">
        <x:v>VinFast</x:v>
      </x:c>
      <x:c r="F499" s="12" t="str">
        <x:v>VF 5</x:v>
      </x:c>
      <x:c r="G499" s="12" t="n">
        <x:v>7</x:v>
      </x:c>
      <x:c r="H499" s="12" t="n">
        <x:v>499.8</x:v>
      </x:c>
      <x:c r="I499" s="12" t="n">
        <x:v>3.5</x:v>
      </x:c>
      <x:c r="J499" s="16" t="n">
        <x:v>0.052940810201068854</x:v>
      </x:c>
      <x:c r="K499" s="12" t="n">
        <x:v>3.26</x:v>
      </x:c>
      <x:c r="L499" s="12" t="n">
        <x:f>I499-K499</x:f>
        <x:v>0.2400000000000002</x:v>
      </x:c>
      <x:c r="M499" s="16" t="n">
        <x:f>IFERROR(L499/I499,0)</x:f>
        <x:v>0.06857142857142863</x:v>
      </x:c>
    </x:row>
    <x:row r="500">
      <x:c r="A500" s="12" t="str">
        <x:v>SALE-00499</x:v>
      </x:c>
      <x:c r="B500" s="14" t="n">
        <x:v>46054</x:v>
      </x:c>
      <x:c r="C500" s="12" t="str">
        <x:v>DLR-015</x:v>
      </x:c>
      <x:c r="D500" s="12" t="str">
        <x:v>VinFast HTA Văn Phú</x:v>
      </x:c>
      <x:c r="E500" s="12" t="str">
        <x:v>VinFast</x:v>
      </x:c>
      <x:c r="F500" s="12" t="str">
        <x:v>VF 6</x:v>
      </x:c>
      <x:c r="G500" s="12" t="n">
        <x:v>11</x:v>
      </x:c>
      <x:c r="H500" s="12" t="n">
        <x:v>682.2</x:v>
      </x:c>
      <x:c r="I500" s="12" t="n">
        <x:v>7.5</x:v>
      </x:c>
      <x:c r="J500" s="16" t="n">
        <x:v>0.032088023291781745</x:v>
      </x:c>
      <x:c r="K500" s="12" t="n">
        <x:v>6.83</x:v>
      </x:c>
      <x:c r="L500" s="12" t="n">
        <x:f>I500-K500</x:f>
        <x:v>0.6699999999999999</x:v>
      </x:c>
      <x:c r="M500" s="16" t="n">
        <x:f>IFERROR(L500/I500,0)</x:f>
        <x:v>0.08933333333333332</x:v>
      </x:c>
    </x:row>
    <x:row r="501">
      <x:c r="A501" s="12" t="str">
        <x:v>SALE-00500</x:v>
      </x:c>
      <x:c r="B501" s="14" t="n">
        <x:v>46054</x:v>
      </x:c>
      <x:c r="C501" s="12" t="str">
        <x:v>DLR-015</x:v>
      </x:c>
      <x:c r="D501" s="12" t="str">
        <x:v>VinFast HTA Văn Phú</x:v>
      </x:c>
      <x:c r="E501" s="12" t="str">
        <x:v>VinFast</x:v>
      </x:c>
      <x:c r="F501" s="12" t="str">
        <x:v>VF 7</x:v>
      </x:c>
      <x:c r="G501" s="12" t="n">
        <x:v>12</x:v>
      </x:c>
      <x:c r="H501" s="12" t="n">
        <x:v>863</x:v>
      </x:c>
      <x:c r="I501" s="12" t="n">
        <x:v>10.36</x:v>
      </x:c>
      <x:c r="J501" s="16" t="n">
        <x:v>0.04185370098982889</x:v>
      </x:c>
      <x:c r="K501" s="12" t="n">
        <x:v>9.6</x:v>
      </x:c>
      <x:c r="L501" s="12" t="n">
        <x:f>I501-K501</x:f>
        <x:v>0.7599999999999998</x:v>
      </x:c>
      <x:c r="M501" s="16" t="n">
        <x:f>IFERROR(L501/I501,0)</x:f>
        <x:v>0.07335907335907334</x:v>
      </x:c>
    </x:row>
    <x:row r="502">
      <x:c r="A502" s="12" t="str">
        <x:v>SALE-00501</x:v>
      </x:c>
      <x:c r="B502" s="14" t="n">
        <x:v>46054</x:v>
      </x:c>
      <x:c r="C502" s="12" t="str">
        <x:v>DLR-015</x:v>
      </x:c>
      <x:c r="D502" s="12" t="str">
        <x:v>VinFast HTA Văn Phú</x:v>
      </x:c>
      <x:c r="E502" s="12" t="str">
        <x:v>VinFast</x:v>
      </x:c>
      <x:c r="F502" s="12" t="str">
        <x:v>VF 8</x:v>
      </x:c>
      <x:c r="G502" s="12" t="n">
        <x:v>7</x:v>
      </x:c>
      <x:c r="H502" s="12" t="n">
        <x:v>991.8</x:v>
      </x:c>
      <x:c r="I502" s="12" t="n">
        <x:v>6.94</x:v>
      </x:c>
      <x:c r="J502" s="16" t="n">
        <x:v>0.02096870431300655</x:v>
      </x:c>
      <x:c r="K502" s="12" t="n">
        <x:v>6.27</x:v>
      </x:c>
      <x:c r="L502" s="12" t="n">
        <x:f>I502-K502</x:f>
        <x:v>0.6700000000000008</x:v>
      </x:c>
      <x:c r="M502" s="16" t="n">
        <x:f>IFERROR(L502/I502,0)</x:f>
        <x:v>0.09654178674351596</x:v>
      </x:c>
    </x:row>
    <x:row r="503">
      <x:c r="A503" s="12" t="str">
        <x:v>SALE-00502</x:v>
      </x:c>
      <x:c r="B503" s="14" t="n">
        <x:v>46054</x:v>
      </x:c>
      <x:c r="C503" s="12" t="str">
        <x:v>DLR-015</x:v>
      </x:c>
      <x:c r="D503" s="12" t="str">
        <x:v>VinFast HTA Văn Phú</x:v>
      </x:c>
      <x:c r="E503" s="12" t="str">
        <x:v>VinFast</x:v>
      </x:c>
      <x:c r="F503" s="12" t="str">
        <x:v>VF 9</x:v>
      </x:c>
      <x:c r="G503" s="12" t="n">
        <x:v>10</x:v>
      </x:c>
      <x:c r="H503" s="12" t="n">
        <x:v>1465.8</x:v>
      </x:c>
      <x:c r="I503" s="12" t="n">
        <x:v>14.66</x:v>
      </x:c>
      <x:c r="J503" s="16" t="n">
        <x:v>0.04897363729040162</x:v>
      </x:c>
      <x:c r="K503" s="12" t="n">
        <x:v>13.16</x:v>
      </x:c>
      <x:c r="L503" s="12" t="n">
        <x:f>I503-K503</x:f>
        <x:v>1.5</x:v>
      </x:c>
      <x:c r="M503" s="16" t="n">
        <x:f>IFERROR(L503/I503,0)</x:f>
        <x:v>0.10231923601637108</x:v>
      </x:c>
    </x:row>
    <x:row r="504">
      <x:c r="A504" s="12" t="str">
        <x:v>SALE-00503</x:v>
      </x:c>
      <x:c r="B504" s="14" t="n">
        <x:v>46082</x:v>
      </x:c>
      <x:c r="C504" s="12" t="str">
        <x:v>DLR-015</x:v>
      </x:c>
      <x:c r="D504" s="12" t="str">
        <x:v>VinFast HTA Văn Phú</x:v>
      </x:c>
      <x:c r="E504" s="12" t="str">
        <x:v>VinFast</x:v>
      </x:c>
      <x:c r="F504" s="12" t="str">
        <x:v>VF 3</x:v>
      </x:c>
      <x:c r="G504" s="12" t="n">
        <x:v>10</x:v>
      </x:c>
      <x:c r="H504" s="12" t="n">
        <x:v>316.4</x:v>
      </x:c>
      <x:c r="I504" s="12" t="n">
        <x:v>3.16</x:v>
      </x:c>
      <x:c r="J504" s="16" t="n">
        <x:v>0.051589646952636216</x:v>
      </x:c>
      <x:c r="K504" s="12" t="n">
        <x:v>2.89</x:v>
      </x:c>
      <x:c r="L504" s="12" t="n">
        <x:f>I504-K504</x:f>
        <x:v>0.27</x:v>
      </x:c>
      <x:c r="M504" s="16" t="n">
        <x:f>IFERROR(L504/I504,0)</x:f>
        <x:v>0.08544303797468354</x:v>
      </x:c>
    </x:row>
    <x:row r="505">
      <x:c r="A505" s="12" t="str">
        <x:v>SALE-00504</x:v>
      </x:c>
      <x:c r="B505" s="14" t="n">
        <x:v>46082</x:v>
      </x:c>
      <x:c r="C505" s="12" t="str">
        <x:v>DLR-015</x:v>
      </x:c>
      <x:c r="D505" s="12" t="str">
        <x:v>VinFast HTA Văn Phú</x:v>
      </x:c>
      <x:c r="E505" s="12" t="str">
        <x:v>VinFast</x:v>
      </x:c>
      <x:c r="F505" s="12" t="str">
        <x:v>VF 5</x:v>
      </x:c>
      <x:c r="G505" s="12" t="n">
        <x:v>12</x:v>
      </x:c>
      <x:c r="H505" s="12" t="n">
        <x:v>520.8</x:v>
      </x:c>
      <x:c r="I505" s="12" t="n">
        <x:v>6.25</x:v>
      </x:c>
      <x:c r="J505" s="16" t="n">
        <x:v>0.02036371004236312</x:v>
      </x:c>
      <x:c r="K505" s="12" t="n">
        <x:v>5.59</x:v>
      </x:c>
      <x:c r="L505" s="12" t="n">
        <x:f>I505-K505</x:f>
        <x:v>0.6600000000000001</x:v>
      </x:c>
      <x:c r="M505" s="16" t="n">
        <x:f>IFERROR(L505/I505,0)</x:f>
        <x:v>0.10560000000000003</x:v>
      </x:c>
    </x:row>
    <x:row r="506">
      <x:c r="A506" s="12" t="str">
        <x:v>SALE-00505</x:v>
      </x:c>
      <x:c r="B506" s="14" t="n">
        <x:v>46082</x:v>
      </x:c>
      <x:c r="C506" s="12" t="str">
        <x:v>DLR-015</x:v>
      </x:c>
      <x:c r="D506" s="12" t="str">
        <x:v>VinFast HTA Văn Phú</x:v>
      </x:c>
      <x:c r="E506" s="12" t="str">
        <x:v>VinFast</x:v>
      </x:c>
      <x:c r="F506" s="12" t="str">
        <x:v>VF 6</x:v>
      </x:c>
      <x:c r="G506" s="12" t="n">
        <x:v>7</x:v>
      </x:c>
      <x:c r="H506" s="12" t="n">
        <x:v>683.3</x:v>
      </x:c>
      <x:c r="I506" s="12" t="n">
        <x:v>4.78</x:v>
      </x:c>
      <x:c r="J506" s="16" t="n">
        <x:v>0.051889044180448894</x:v>
      </x:c>
      <x:c r="K506" s="12" t="n">
        <x:v>4.45</x:v>
      </x:c>
      <x:c r="L506" s="12" t="n">
        <x:f>I506-K506</x:f>
        <x:v>0.33000000000000007</x:v>
      </x:c>
      <x:c r="M506" s="16" t="n">
        <x:f>IFERROR(L506/I506,0)</x:f>
        <x:v>0.0690376569037657</x:v>
      </x:c>
    </x:row>
    <x:row r="507">
      <x:c r="A507" s="12" t="str">
        <x:v>SALE-00506</x:v>
      </x:c>
      <x:c r="B507" s="14" t="n">
        <x:v>46082</x:v>
      </x:c>
      <x:c r="C507" s="12" t="str">
        <x:v>DLR-015</x:v>
      </x:c>
      <x:c r="D507" s="12" t="str">
        <x:v>VinFast HTA Văn Phú</x:v>
      </x:c>
      <x:c r="E507" s="12" t="str">
        <x:v>VinFast</x:v>
      </x:c>
      <x:c r="F507" s="12" t="str">
        <x:v>VF 7</x:v>
      </x:c>
      <x:c r="G507" s="12" t="n">
        <x:v>6</x:v>
      </x:c>
      <x:c r="H507" s="12" t="n">
        <x:v>848.3</x:v>
      </x:c>
      <x:c r="I507" s="12" t="n">
        <x:v>5.09</x:v>
      </x:c>
      <x:c r="J507" s="16" t="n">
        <x:v>0.02261926473722953</x:v>
      </x:c>
      <x:c r="K507" s="12" t="n">
        <x:v>4.56</x:v>
      </x:c>
      <x:c r="L507" s="12" t="n">
        <x:f>I507-K507</x:f>
        <x:v>0.5300000000000002</x:v>
      </x:c>
      <x:c r="M507" s="16" t="n">
        <x:f>IFERROR(L507/I507,0)</x:f>
        <x:v>0.10412573673870339</x:v>
      </x:c>
    </x:row>
    <x:row r="508">
      <x:c r="A508" s="12" t="str">
        <x:v>SALE-00507</x:v>
      </x:c>
      <x:c r="B508" s="14" t="n">
        <x:v>46082</x:v>
      </x:c>
      <x:c r="C508" s="12" t="str">
        <x:v>DLR-015</x:v>
      </x:c>
      <x:c r="D508" s="12" t="str">
        <x:v>VinFast HTA Văn Phú</x:v>
      </x:c>
      <x:c r="E508" s="12" t="str">
        <x:v>VinFast</x:v>
      </x:c>
      <x:c r="F508" s="12" t="str">
        <x:v>VF 8</x:v>
      </x:c>
      <x:c r="G508" s="12" t="n">
        <x:v>10</x:v>
      </x:c>
      <x:c r="H508" s="12" t="n">
        <x:v>1007</x:v>
      </x:c>
      <x:c r="I508" s="12" t="n">
        <x:v>10.07</x:v>
      </x:c>
      <x:c r="J508" s="16" t="n">
        <x:v>0.04994481833958159</x:v>
      </x:c>
      <x:c r="K508" s="12" t="n">
        <x:v>8.98</x:v>
      </x:c>
      <x:c r="L508" s="12" t="n">
        <x:f>I508-K508</x:f>
        <x:v>1.0899999999999999</x:v>
      </x:c>
      <x:c r="M508" s="16" t="n">
        <x:f>IFERROR(L508/I508,0)</x:f>
        <x:v>0.10824230387288976</x:v>
      </x:c>
    </x:row>
    <x:row r="509">
      <x:c r="A509" s="12" t="str">
        <x:v>SALE-00508</x:v>
      </x:c>
      <x:c r="B509" s="14" t="n">
        <x:v>46082</x:v>
      </x:c>
      <x:c r="C509" s="12" t="str">
        <x:v>DLR-015</x:v>
      </x:c>
      <x:c r="D509" s="12" t="str">
        <x:v>VinFast HTA Văn Phú</x:v>
      </x:c>
      <x:c r="E509" s="12" t="str">
        <x:v>VinFast</x:v>
      </x:c>
      <x:c r="F509" s="12" t="str">
        <x:v>VF 9</x:v>
      </x:c>
      <x:c r="G509" s="12" t="n">
        <x:v>11</x:v>
      </x:c>
      <x:c r="H509" s="12" t="n">
        <x:v>1495.9</x:v>
      </x:c>
      <x:c r="I509" s="12" t="n">
        <x:v>16.46</x:v>
      </x:c>
      <x:c r="J509" s="16" t="n">
        <x:v>0.03735401905090109</x:v>
      </x:c>
      <x:c r="K509" s="12" t="n">
        <x:v>14.95</x:v>
      </x:c>
      <x:c r="L509" s="12" t="n">
        <x:f>I509-K509</x:f>
        <x:v>1.5100000000000016</x:v>
      </x:c>
      <x:c r="M509" s="16" t="n">
        <x:f>IFERROR(L509/I509,0)</x:f>
        <x:v>0.09173754556500617</x:v>
      </x:c>
    </x:row>
    <x:row r="510">
      <x:c r="A510" s="12" t="str">
        <x:v>SALE-00509</x:v>
      </x:c>
      <x:c r="B510" s="14" t="n">
        <x:v>46113</x:v>
      </x:c>
      <x:c r="C510" s="12" t="str">
        <x:v>DLR-015</x:v>
      </x:c>
      <x:c r="D510" s="12" t="str">
        <x:v>VinFast HTA Văn Phú</x:v>
      </x:c>
      <x:c r="E510" s="12" t="str">
        <x:v>VinFast</x:v>
      </x:c>
      <x:c r="F510" s="12" t="str">
        <x:v>VF 3</x:v>
      </x:c>
      <x:c r="G510" s="12" t="n">
        <x:v>12</x:v>
      </x:c>
      <x:c r="H510" s="12" t="n">
        <x:v>304.5</x:v>
      </x:c>
      <x:c r="I510" s="12" t="n">
        <x:v>3.65</x:v>
      </x:c>
      <x:c r="J510" s="16" t="n">
        <x:v>0.053280790421066926</x:v>
      </x:c>
      <x:c r="K510" s="12" t="n">
        <x:v>3.22</x:v>
      </x:c>
      <x:c r="L510" s="12" t="n">
        <x:f>I510-K510</x:f>
        <x:v>0.4299999999999997</x:v>
      </x:c>
      <x:c r="M510" s="16" t="n">
        <x:f>IFERROR(L510/I510,0)</x:f>
        <x:v>0.11780821917808211</x:v>
      </x:c>
    </x:row>
    <x:row r="511">
      <x:c r="A511" s="12" t="str">
        <x:v>SALE-00510</x:v>
      </x:c>
      <x:c r="B511" s="14" t="n">
        <x:v>46113</x:v>
      </x:c>
      <x:c r="C511" s="12" t="str">
        <x:v>DLR-015</x:v>
      </x:c>
      <x:c r="D511" s="12" t="str">
        <x:v>VinFast HTA Văn Phú</x:v>
      </x:c>
      <x:c r="E511" s="12" t="str">
        <x:v>VinFast</x:v>
      </x:c>
      <x:c r="F511" s="12" t="str">
        <x:v>VF 5</x:v>
      </x:c>
      <x:c r="G511" s="12" t="n">
        <x:v>12</x:v>
      </x:c>
      <x:c r="H511" s="12" t="n">
        <x:v>538</x:v>
      </x:c>
      <x:c r="I511" s="12" t="n">
        <x:v>6.46</x:v>
      </x:c>
      <x:c r="J511" s="16" t="n">
        <x:v>0.01969264797773338</x:v>
      </x:c>
      <x:c r="K511" s="12" t="n">
        <x:v>6.07</x:v>
      </x:c>
      <x:c r="L511" s="12" t="n">
        <x:f>I511-K511</x:f>
        <x:v>0.3899999999999997</x:v>
      </x:c>
      <x:c r="M511" s="16" t="n">
        <x:f>IFERROR(L511/I511,0)</x:f>
        <x:v>0.060371517027863725</x:v>
      </x:c>
    </x:row>
    <x:row r="512">
      <x:c r="A512" s="12" t="str">
        <x:v>SALE-00511</x:v>
      </x:c>
      <x:c r="B512" s="14" t="n">
        <x:v>46113</x:v>
      </x:c>
      <x:c r="C512" s="12" t="str">
        <x:v>DLR-015</x:v>
      </x:c>
      <x:c r="D512" s="12" t="str">
        <x:v>VinFast HTA Văn Phú</x:v>
      </x:c>
      <x:c r="E512" s="12" t="str">
        <x:v>VinFast</x:v>
      </x:c>
      <x:c r="F512" s="12" t="str">
        <x:v>VF 6</x:v>
      </x:c>
      <x:c r="G512" s="12" t="n">
        <x:v>9</x:v>
      </x:c>
      <x:c r="H512" s="12" t="n">
        <x:v>661</x:v>
      </x:c>
      <x:c r="I512" s="12" t="n">
        <x:v>5.95</x:v>
      </x:c>
      <x:c r="J512" s="16" t="n">
        <x:v>0.03917606136315124</x:v>
      </x:c>
      <x:c r="K512" s="12" t="n">
        <x:v>5.31</x:v>
      </x:c>
      <x:c r="L512" s="12" t="n">
        <x:f>I512-K512</x:f>
        <x:v>0.6400000000000006</x:v>
      </x:c>
      <x:c r="M512" s="16" t="n">
        <x:f>IFERROR(L512/I512,0)</x:f>
        <x:v>0.10756302521008412</x:v>
      </x:c>
    </x:row>
    <x:row r="513">
      <x:c r="A513" s="12" t="str">
        <x:v>SALE-00512</x:v>
      </x:c>
      <x:c r="B513" s="14" t="n">
        <x:v>46113</x:v>
      </x:c>
      <x:c r="C513" s="12" t="str">
        <x:v>DLR-015</x:v>
      </x:c>
      <x:c r="D513" s="12" t="str">
        <x:v>VinFast HTA Văn Phú</x:v>
      </x:c>
      <x:c r="E513" s="12" t="str">
        <x:v>VinFast</x:v>
      </x:c>
      <x:c r="F513" s="12" t="str">
        <x:v>VF 7</x:v>
      </x:c>
      <x:c r="G513" s="12" t="n">
        <x:v>12</x:v>
      </x:c>
      <x:c r="H513" s="12" t="n">
        <x:v>836.5</x:v>
      </x:c>
      <x:c r="I513" s="12" t="n">
        <x:v>10.04</x:v>
      </x:c>
      <x:c r="J513" s="16" t="n">
        <x:v>0.04602055528255081</x:v>
      </x:c>
      <x:c r="K513" s="12" t="n">
        <x:v>9.06</x:v>
      </x:c>
      <x:c r="L513" s="12" t="n">
        <x:f>I513-K513</x:f>
        <x:v>0.9799999999999986</x:v>
      </x:c>
      <x:c r="M513" s="16" t="n">
        <x:f>IFERROR(L513/I513,0)</x:f>
        <x:v>0.09760956175298792</x:v>
      </x:c>
    </x:row>
    <x:row r="514">
      <x:c r="A514" s="12" t="str">
        <x:v>SALE-00513</x:v>
      </x:c>
      <x:c r="B514" s="14" t="n">
        <x:v>46113</x:v>
      </x:c>
      <x:c r="C514" s="12" t="str">
        <x:v>DLR-015</x:v>
      </x:c>
      <x:c r="D514" s="12" t="str">
        <x:v>VinFast HTA Văn Phú</x:v>
      </x:c>
      <x:c r="E514" s="12" t="str">
        <x:v>VinFast</x:v>
      </x:c>
      <x:c r="F514" s="12" t="str">
        <x:v>VF 8</x:v>
      </x:c>
      <x:c r="G514" s="12" t="n">
        <x:v>9</x:v>
      </x:c>
      <x:c r="H514" s="12" t="n">
        <x:v>987.1</x:v>
      </x:c>
      <x:c r="I514" s="12" t="n">
        <x:v>8.88</x:v>
      </x:c>
      <x:c r="J514" s="16" t="n">
        <x:v>0.025462465095414104</x:v>
      </x:c>
      <x:c r="K514" s="12" t="n">
        <x:v>8.09</x:v>
      </x:c>
      <x:c r="L514" s="12" t="n">
        <x:f>I514-K514</x:f>
        <x:v>0.7900000000000009</x:v>
      </x:c>
      <x:c r="M514" s="16" t="n">
        <x:f>IFERROR(L514/I514,0)</x:f>
        <x:v>0.08896396396396405</x:v>
      </x:c>
    </x:row>
    <x:row r="515">
      <x:c r="A515" s="12" t="str">
        <x:v>SALE-00514</x:v>
      </x:c>
      <x:c r="B515" s="14" t="n">
        <x:v>46113</x:v>
      </x:c>
      <x:c r="C515" s="12" t="str">
        <x:v>DLR-015</x:v>
      </x:c>
      <x:c r="D515" s="12" t="str">
        <x:v>VinFast HTA Văn Phú</x:v>
      </x:c>
      <x:c r="E515" s="12" t="str">
        <x:v>VinFast</x:v>
      </x:c>
      <x:c r="F515" s="12" t="str">
        <x:v>VF 9</x:v>
      </x:c>
      <x:c r="G515" s="12" t="n">
        <x:v>9</x:v>
      </x:c>
      <x:c r="H515" s="12" t="n">
        <x:v>1420.9</x:v>
      </x:c>
      <x:c r="I515" s="12" t="n">
        <x:v>12.79</x:v>
      </x:c>
      <x:c r="J515" s="16" t="n">
        <x:v>0.054252738273863066</x:v>
      </x:c>
      <x:c r="K515" s="12" t="n">
        <x:v>11.61</x:v>
      </x:c>
      <x:c r="L515" s="12" t="n">
        <x:f>I515-K515</x:f>
        <x:v>1.1799999999999997</x:v>
      </x:c>
      <x:c r="M515" s="16" t="n">
        <x:f>IFERROR(L515/I515,0)</x:f>
        <x:v>0.09225957779515245</x:v>
      </x:c>
    </x:row>
    <x:row r="516">
      <x:c r="A516" s="12" t="str">
        <x:v>SALE-00515</x:v>
      </x:c>
      <x:c r="B516" s="14" t="n">
        <x:v>46143</x:v>
      </x:c>
      <x:c r="C516" s="12" t="str">
        <x:v>DLR-015</x:v>
      </x:c>
      <x:c r="D516" s="12" t="str">
        <x:v>VinFast HTA Văn Phú</x:v>
      </x:c>
      <x:c r="E516" s="12" t="str">
        <x:v>VinFast</x:v>
      </x:c>
      <x:c r="F516" s="12" t="str">
        <x:v>VF 3</x:v>
      </x:c>
      <x:c r="G516" s="12" t="n">
        <x:v>12</x:v>
      </x:c>
      <x:c r="H516" s="12" t="n">
        <x:v>319.1</x:v>
      </x:c>
      <x:c r="I516" s="12" t="n">
        <x:v>3.83</x:v>
      </x:c>
      <x:c r="J516" s="16" t="n">
        <x:v>0.029828196857250338</x:v>
      </x:c>
      <x:c r="K516" s="12" t="n">
        <x:v>3.47</x:v>
      </x:c>
      <x:c r="L516" s="12" t="n">
        <x:f>I516-K516</x:f>
        <x:v>0.3599999999999999</x:v>
      </x:c>
      <x:c r="M516" s="16" t="n">
        <x:f>IFERROR(L516/I516,0)</x:f>
        <x:v>0.09399477806788509</x:v>
      </x:c>
    </x:row>
    <x:row r="517">
      <x:c r="A517" s="12" t="str">
        <x:v>SALE-00516</x:v>
      </x:c>
      <x:c r="B517" s="14" t="n">
        <x:v>46143</x:v>
      </x:c>
      <x:c r="C517" s="12" t="str">
        <x:v>DLR-015</x:v>
      </x:c>
      <x:c r="D517" s="12" t="str">
        <x:v>VinFast HTA Văn Phú</x:v>
      </x:c>
      <x:c r="E517" s="12" t="str">
        <x:v>VinFast</x:v>
      </x:c>
      <x:c r="F517" s="12" t="str">
        <x:v>VF 5</x:v>
      </x:c>
      <x:c r="G517" s="12" t="n">
        <x:v>10</x:v>
      </x:c>
      <x:c r="H517" s="12" t="n">
        <x:v>506.6</x:v>
      </x:c>
      <x:c r="I517" s="12" t="n">
        <x:v>5.07</x:v>
      </x:c>
      <x:c r="J517" s="16" t="n">
        <x:v>0.020836908524101944</x:v>
      </x:c>
      <x:c r="K517" s="12" t="n">
        <x:v>4.54</x:v>
      </x:c>
      <x:c r="L517" s="12" t="n">
        <x:f>I517-K517</x:f>
        <x:v>0.5300000000000002</x:v>
      </x:c>
      <x:c r="M517" s="16" t="n">
        <x:f>IFERROR(L517/I517,0)</x:f>
        <x:v>0.10453648915187382</x:v>
      </x:c>
    </x:row>
    <x:row r="518">
      <x:c r="A518" s="12" t="str">
        <x:v>SALE-00517</x:v>
      </x:c>
      <x:c r="B518" s="14" t="n">
        <x:v>46143</x:v>
      </x:c>
      <x:c r="C518" s="12" t="str">
        <x:v>DLR-015</x:v>
      </x:c>
      <x:c r="D518" s="12" t="str">
        <x:v>VinFast HTA Văn Phú</x:v>
      </x:c>
      <x:c r="E518" s="12" t="str">
        <x:v>VinFast</x:v>
      </x:c>
      <x:c r="F518" s="12" t="str">
        <x:v>VF 6</x:v>
      </x:c>
      <x:c r="G518" s="12" t="n">
        <x:v>13</x:v>
      </x:c>
      <x:c r="H518" s="12" t="n">
        <x:v>679.6</x:v>
      </x:c>
      <x:c r="I518" s="12" t="n">
        <x:v>8.83</x:v>
      </x:c>
      <x:c r="J518" s="16" t="n">
        <x:v>0.031703122942206945</x:v>
      </x:c>
      <x:c r="K518" s="12" t="n">
        <x:v>7.86</x:v>
      </x:c>
      <x:c r="L518" s="12" t="n">
        <x:f>I518-K518</x:f>
        <x:v>0.9699999999999998</x:v>
      </x:c>
      <x:c r="M518" s="16" t="n">
        <x:f>IFERROR(L518/I518,0)</x:f>
        <x:v>0.10985277463193655</x:v>
      </x:c>
    </x:row>
    <x:row r="519">
      <x:c r="A519" s="12" t="str">
        <x:v>SALE-00518</x:v>
      </x:c>
      <x:c r="B519" s="14" t="n">
        <x:v>46143</x:v>
      </x:c>
      <x:c r="C519" s="12" t="str">
        <x:v>DLR-015</x:v>
      </x:c>
      <x:c r="D519" s="12" t="str">
        <x:v>VinFast HTA Văn Phú</x:v>
      </x:c>
      <x:c r="E519" s="12" t="str">
        <x:v>VinFast</x:v>
      </x:c>
      <x:c r="F519" s="12" t="str">
        <x:v>VF 7</x:v>
      </x:c>
      <x:c r="G519" s="12" t="n">
        <x:v>8</x:v>
      </x:c>
      <x:c r="H519" s="12" t="n">
        <x:v>824.8</x:v>
      </x:c>
      <x:c r="I519" s="12" t="n">
        <x:v>6.6</x:v>
      </x:c>
      <x:c r="J519" s="16" t="n">
        <x:v>0.04833450861147941</x:v>
      </x:c>
      <x:c r="K519" s="12" t="n">
        <x:v>6</x:v>
      </x:c>
      <x:c r="L519" s="12" t="n">
        <x:f>I519-K519</x:f>
        <x:v>0.5999999999999996</x:v>
      </x:c>
      <x:c r="M519" s="16" t="n">
        <x:f>IFERROR(L519/I519,0)</x:f>
        <x:v>0.09090909090909086</x:v>
      </x:c>
    </x:row>
    <x:row r="520">
      <x:c r="A520" s="12" t="str">
        <x:v>SALE-00519</x:v>
      </x:c>
      <x:c r="B520" s="14" t="n">
        <x:v>46143</x:v>
      </x:c>
      <x:c r="C520" s="12" t="str">
        <x:v>DLR-015</x:v>
      </x:c>
      <x:c r="D520" s="12" t="str">
        <x:v>VinFast HTA Văn Phú</x:v>
      </x:c>
      <x:c r="E520" s="12" t="str">
        <x:v>VinFast</x:v>
      </x:c>
      <x:c r="F520" s="12" t="str">
        <x:v>VF 8</x:v>
      </x:c>
      <x:c r="G520" s="12" t="n">
        <x:v>11</x:v>
      </x:c>
      <x:c r="H520" s="12" t="n">
        <x:v>1013.7</x:v>
      </x:c>
      <x:c r="I520" s="12" t="n">
        <x:v>11.15</x:v>
      </x:c>
      <x:c r="J520" s="16" t="n">
        <x:v>0.02529307030539531</x:v>
      </x:c>
      <x:c r="K520" s="12" t="n">
        <x:v>10.36</x:v>
      </x:c>
      <x:c r="L520" s="12" t="n">
        <x:f>I520-K520</x:f>
        <x:v>0.7900000000000009</x:v>
      </x:c>
      <x:c r="M520" s="16" t="n">
        <x:f>IFERROR(L520/I520,0)</x:f>
        <x:v>0.0708520179372198</x:v>
      </x:c>
    </x:row>
    <x:row r="521">
      <x:c r="A521" s="12" t="str">
        <x:v>SALE-00520</x:v>
      </x:c>
      <x:c r="B521" s="14" t="n">
        <x:v>46143</x:v>
      </x:c>
      <x:c r="C521" s="12" t="str">
        <x:v>DLR-015</x:v>
      </x:c>
      <x:c r="D521" s="12" t="str">
        <x:v>VinFast HTA Văn Phú</x:v>
      </x:c>
      <x:c r="E521" s="12" t="str">
        <x:v>VinFast</x:v>
      </x:c>
      <x:c r="F521" s="12" t="str">
        <x:v>VF 9</x:v>
      </x:c>
      <x:c r="G521" s="12" t="n">
        <x:v>13</x:v>
      </x:c>
      <x:c r="H521" s="12" t="n">
        <x:v>1486</x:v>
      </x:c>
      <x:c r="I521" s="12" t="n">
        <x:v>19.32</x:v>
      </x:c>
      <x:c r="J521" s="16" t="n">
        <x:v>0.0346238233032313</x:v>
      </x:c>
      <x:c r="K521" s="12" t="n">
        <x:v>17.19</x:v>
      </x:c>
      <x:c r="L521" s="12" t="n">
        <x:f>I521-K521</x:f>
        <x:v>2.129999999999999</x:v>
      </x:c>
      <x:c r="M521" s="16" t="n">
        <x:f>IFERROR(L521/I521,0)</x:f>
        <x:v>0.11024844720496889</x:v>
      </x:c>
    </x:row>
    <x:row r="522">
      <x:c r="A522" s="12" t="str">
        <x:v>SALE-00521</x:v>
      </x:c>
      <x:c r="B522" s="14" t="n">
        <x:v>46174</x:v>
      </x:c>
      <x:c r="C522" s="12" t="str">
        <x:v>DLR-015</x:v>
      </x:c>
      <x:c r="D522" s="12" t="str">
        <x:v>VinFast HTA Văn Phú</x:v>
      </x:c>
      <x:c r="E522" s="12" t="str">
        <x:v>VinFast</x:v>
      </x:c>
      <x:c r="F522" s="12" t="str">
        <x:v>VF 3</x:v>
      </x:c>
      <x:c r="G522" s="12" t="n">
        <x:v>12</x:v>
      </x:c>
      <x:c r="H522" s="12" t="n">
        <x:v>300.4</x:v>
      </x:c>
      <x:c r="I522" s="12" t="n">
        <x:v>3.6</x:v>
      </x:c>
      <x:c r="J522" s="16" t="n">
        <x:v>0.04381254123048375</x:v>
      </x:c>
      <x:c r="K522" s="12" t="n">
        <x:v>3.28</x:v>
      </x:c>
      <x:c r="L522" s="12" t="n">
        <x:f>I522-K522</x:f>
        <x:v>0.3200000000000003</x:v>
      </x:c>
      <x:c r="M522" s="16" t="n">
        <x:f>IFERROR(L522/I522,0)</x:f>
        <x:v>0.08888888888888896</x:v>
      </x:c>
    </x:row>
    <x:row r="523">
      <x:c r="A523" s="12" t="str">
        <x:v>SALE-00522</x:v>
      </x:c>
      <x:c r="B523" s="14" t="n">
        <x:v>46174</x:v>
      </x:c>
      <x:c r="C523" s="12" t="str">
        <x:v>DLR-015</x:v>
      </x:c>
      <x:c r="D523" s="12" t="str">
        <x:v>VinFast HTA Văn Phú</x:v>
      </x:c>
      <x:c r="E523" s="12" t="str">
        <x:v>VinFast</x:v>
      </x:c>
      <x:c r="F523" s="12" t="str">
        <x:v>VF 5</x:v>
      </x:c>
      <x:c r="G523" s="12" t="n">
        <x:v>13</x:v>
      </x:c>
      <x:c r="H523" s="12" t="n">
        <x:v>520.2</x:v>
      </x:c>
      <x:c r="I523" s="12" t="n">
        <x:v>6.76</x:v>
      </x:c>
      <x:c r="J523" s="16" t="n">
        <x:v>0.04067237852729466</x:v>
      </x:c>
      <x:c r="K523" s="12" t="n">
        <x:v>5.97</x:v>
      </x:c>
      <x:c r="L523" s="12" t="n">
        <x:f>I523-K523</x:f>
        <x:v>0.79</x:v>
      </x:c>
      <x:c r="M523" s="16" t="n">
        <x:f>IFERROR(L523/I523,0)</x:f>
        <x:v>0.1168639053254438</x:v>
      </x:c>
    </x:row>
    <x:row r="524">
      <x:c r="A524" s="12" t="str">
        <x:v>SALE-00523</x:v>
      </x:c>
      <x:c r="B524" s="14" t="n">
        <x:v>46174</x:v>
      </x:c>
      <x:c r="C524" s="12" t="str">
        <x:v>DLR-015</x:v>
      </x:c>
      <x:c r="D524" s="12" t="str">
        <x:v>VinFast HTA Văn Phú</x:v>
      </x:c>
      <x:c r="E524" s="12" t="str">
        <x:v>VinFast</x:v>
      </x:c>
      <x:c r="F524" s="12" t="str">
        <x:v>VF 6</x:v>
      </x:c>
      <x:c r="G524" s="12" t="n">
        <x:v>6</x:v>
      </x:c>
      <x:c r="H524" s="12" t="n">
        <x:v>694.3</x:v>
      </x:c>
      <x:c r="I524" s="12" t="n">
        <x:v>4.17</x:v>
      </x:c>
      <x:c r="J524" s="16" t="n">
        <x:v>0.05280752444803593</x:v>
      </x:c>
      <x:c r="K524" s="12" t="n">
        <x:v>3.83</x:v>
      </x:c>
      <x:c r="L524" s="12" t="n">
        <x:f>I524-K524</x:f>
        <x:v>0.33999999999999986</x:v>
      </x:c>
      <x:c r="M524" s="16" t="n">
        <x:f>IFERROR(L524/I524,0)</x:f>
        <x:v>0.08153477218225416</x:v>
      </x:c>
    </x:row>
    <x:row r="525">
      <x:c r="A525" s="12" t="str">
        <x:v>SALE-00524</x:v>
      </x:c>
      <x:c r="B525" s="14" t="n">
        <x:v>46174</x:v>
      </x:c>
      <x:c r="C525" s="12" t="str">
        <x:v>DLR-015</x:v>
      </x:c>
      <x:c r="D525" s="12" t="str">
        <x:v>VinFast HTA Văn Phú</x:v>
      </x:c>
      <x:c r="E525" s="12" t="str">
        <x:v>VinFast</x:v>
      </x:c>
      <x:c r="F525" s="12" t="str">
        <x:v>VF 7</x:v>
      </x:c>
      <x:c r="G525" s="12" t="n">
        <x:v>12</x:v>
      </x:c>
      <x:c r="H525" s="12" t="n">
        <x:v>827</x:v>
      </x:c>
      <x:c r="I525" s="12" t="n">
        <x:v>9.92</x:v>
      </x:c>
      <x:c r="J525" s="16" t="n">
        <x:v>0.04870178867301394</x:v>
      </x:c>
      <x:c r="K525" s="12" t="n">
        <x:v>8.87</x:v>
      </x:c>
      <x:c r="L525" s="12" t="n">
        <x:f>I525-K525</x:f>
        <x:v>1.0500000000000007</x:v>
      </x:c>
      <x:c r="M525" s="16" t="n">
        <x:f>IFERROR(L525/I525,0)</x:f>
        <x:v>0.10584677419354846</x:v>
      </x:c>
    </x:row>
    <x:row r="526">
      <x:c r="A526" s="12" t="str">
        <x:v>SALE-00525</x:v>
      </x:c>
      <x:c r="B526" s="14" t="n">
        <x:v>46174</x:v>
      </x:c>
      <x:c r="C526" s="12" t="str">
        <x:v>DLR-015</x:v>
      </x:c>
      <x:c r="D526" s="12" t="str">
        <x:v>VinFast HTA Văn Phú</x:v>
      </x:c>
      <x:c r="E526" s="12" t="str">
        <x:v>VinFast</x:v>
      </x:c>
      <x:c r="F526" s="12" t="str">
        <x:v>VF 8</x:v>
      </x:c>
      <x:c r="G526" s="12" t="n">
        <x:v>11</x:v>
      </x:c>
      <x:c r="H526" s="12" t="n">
        <x:v>958.6</x:v>
      </x:c>
      <x:c r="I526" s="12" t="n">
        <x:v>10.54</x:v>
      </x:c>
      <x:c r="J526" s="16" t="n">
        <x:v>0.035229316787722606</x:v>
      </x:c>
      <x:c r="K526" s="12" t="n">
        <x:v>9.52</x:v>
      </x:c>
      <x:c r="L526" s="12" t="n">
        <x:f>I526-K526</x:f>
        <x:v>1.0199999999999996</x:v>
      </x:c>
      <x:c r="M526" s="16" t="n">
        <x:f>IFERROR(L526/I526,0)</x:f>
        <x:v>0.09677419354838707</x:v>
      </x:c>
    </x:row>
    <x:row r="527">
      <x:c r="A527" s="12" t="str">
        <x:v>SALE-00526</x:v>
      </x:c>
      <x:c r="B527" s="14" t="n">
        <x:v>46174</x:v>
      </x:c>
      <x:c r="C527" s="12" t="str">
        <x:v>DLR-015</x:v>
      </x:c>
      <x:c r="D527" s="12" t="str">
        <x:v>VinFast HTA Văn Phú</x:v>
      </x:c>
      <x:c r="E527" s="12" t="str">
        <x:v>VinFast</x:v>
      </x:c>
      <x:c r="F527" s="12" t="str">
        <x:v>VF 9</x:v>
      </x:c>
      <x:c r="G527" s="12" t="n">
        <x:v>11</x:v>
      </x:c>
      <x:c r="H527" s="12" t="n">
        <x:v>1489</x:v>
      </x:c>
      <x:c r="I527" s="12" t="n">
        <x:v>16.38</x:v>
      </x:c>
      <x:c r="J527" s="16" t="n">
        <x:v>0.039660774443373514</x:v>
      </x:c>
      <x:c r="K527" s="12" t="n">
        <x:v>14.89</x:v>
      </x:c>
      <x:c r="L527" s="12" t="n">
        <x:f>I527-K527</x:f>
        <x:v>1.4899999999999984</x:v>
      </x:c>
      <x:c r="M527" s="16" t="n">
        <x:f>IFERROR(L527/I527,0)</x:f>
        <x:v>0.09096459096459088</x:v>
      </x:c>
    </x:row>
    <x:row r="528">
      <x:c r="A528" s="12" t="str">
        <x:v>SALE-00527</x:v>
      </x:c>
      <x:c r="B528" s="14" t="n">
        <x:v>46204</x:v>
      </x:c>
      <x:c r="C528" s="12" t="str">
        <x:v>DLR-015</x:v>
      </x:c>
      <x:c r="D528" s="12" t="str">
        <x:v>VinFast HTA Văn Phú</x:v>
      </x:c>
      <x:c r="E528" s="12" t="str">
        <x:v>VinFast</x:v>
      </x:c>
      <x:c r="F528" s="12" t="str">
        <x:v>VF 3</x:v>
      </x:c>
      <x:c r="G528" s="12" t="n">
        <x:v>10</x:v>
      </x:c>
      <x:c r="H528" s="12" t="n">
        <x:v>296.3</x:v>
      </x:c>
      <x:c r="I528" s="12" t="n">
        <x:v>2.96</x:v>
      </x:c>
      <x:c r="J528" s="16" t="n">
        <x:v>0.03706574243645028</x:v>
      </x:c>
      <x:c r="K528" s="12" t="n">
        <x:v>2.61</x:v>
      </x:c>
      <x:c r="L528" s="12" t="n">
        <x:f>I528-K528</x:f>
        <x:v>0.3500000000000001</x:v>
      </x:c>
      <x:c r="M528" s="16" t="n">
        <x:f>IFERROR(L528/I528,0)</x:f>
        <x:v>0.11824324324324327</x:v>
      </x:c>
    </x:row>
    <x:row r="529">
      <x:c r="A529" s="12" t="str">
        <x:v>SALE-00528</x:v>
      </x:c>
      <x:c r="B529" s="14" t="n">
        <x:v>46204</x:v>
      </x:c>
      <x:c r="C529" s="12" t="str">
        <x:v>DLR-015</x:v>
      </x:c>
      <x:c r="D529" s="12" t="str">
        <x:v>VinFast HTA Văn Phú</x:v>
      </x:c>
      <x:c r="E529" s="12" t="str">
        <x:v>VinFast</x:v>
      </x:c>
      <x:c r="F529" s="12" t="str">
        <x:v>VF 5</x:v>
      </x:c>
      <x:c r="G529" s="12" t="n">
        <x:v>10</x:v>
      </x:c>
      <x:c r="H529" s="12" t="n">
        <x:v>508.9</x:v>
      </x:c>
      <x:c r="I529" s="12" t="n">
        <x:v>5.09</x:v>
      </x:c>
      <x:c r="J529" s="16" t="n">
        <x:v>0.05409917392930047</x:v>
      </x:c>
      <x:c r="K529" s="12" t="n">
        <x:v>4.48</x:v>
      </x:c>
      <x:c r="L529" s="12" t="n">
        <x:f>I529-K529</x:f>
        <x:v>0.6099999999999994</x:v>
      </x:c>
      <x:c r="M529" s="16" t="n">
        <x:f>IFERROR(L529/I529,0)</x:f>
        <x:v>0.11984282907662072</x:v>
      </x:c>
    </x:row>
    <x:row r="530">
      <x:c r="A530" s="12" t="str">
        <x:v>SALE-00529</x:v>
      </x:c>
      <x:c r="B530" s="14" t="n">
        <x:v>46204</x:v>
      </x:c>
      <x:c r="C530" s="12" t="str">
        <x:v>DLR-015</x:v>
      </x:c>
      <x:c r="D530" s="12" t="str">
        <x:v>VinFast HTA Văn Phú</x:v>
      </x:c>
      <x:c r="E530" s="12" t="str">
        <x:v>VinFast</x:v>
      </x:c>
      <x:c r="F530" s="12" t="str">
        <x:v>VF 6</x:v>
      </x:c>
      <x:c r="G530" s="12" t="n">
        <x:v>12</x:v>
      </x:c>
      <x:c r="H530" s="12" t="n">
        <x:v>684.8</x:v>
      </x:c>
      <x:c r="I530" s="12" t="n">
        <x:v>8.22</x:v>
      </x:c>
      <x:c r="J530" s="16" t="n">
        <x:v>0.047246707957897156</x:v>
      </x:c>
      <x:c r="K530" s="12" t="n">
        <x:v>7.68</x:v>
      </x:c>
      <x:c r="L530" s="12" t="n">
        <x:f>I530-K530</x:f>
        <x:v>0.5400000000000009</x:v>
      </x:c>
      <x:c r="M530" s="16" t="n">
        <x:f>IFERROR(L530/I530,0)</x:f>
        <x:v>0.06569343065693442</x:v>
      </x:c>
    </x:row>
    <x:row r="531">
      <x:c r="A531" s="12" t="str">
        <x:v>SALE-00530</x:v>
      </x:c>
      <x:c r="B531" s="14" t="n">
        <x:v>46204</x:v>
      </x:c>
      <x:c r="C531" s="12" t="str">
        <x:v>DLR-015</x:v>
      </x:c>
      <x:c r="D531" s="12" t="str">
        <x:v>VinFast HTA Văn Phú</x:v>
      </x:c>
      <x:c r="E531" s="12" t="str">
        <x:v>VinFast</x:v>
      </x:c>
      <x:c r="F531" s="12" t="str">
        <x:v>VF 7</x:v>
      </x:c>
      <x:c r="G531" s="12" t="n">
        <x:v>7</x:v>
      </x:c>
      <x:c r="H531" s="12" t="n">
        <x:v>805.5</x:v>
      </x:c>
      <x:c r="I531" s="12" t="n">
        <x:v>5.64</x:v>
      </x:c>
      <x:c r="J531" s="16" t="n">
        <x:v>0.02095589942961002</x:v>
      </x:c>
      <x:c r="K531" s="12" t="n">
        <x:v>5.03</x:v>
      </x:c>
      <x:c r="L531" s="12" t="n">
        <x:f>I531-K531</x:f>
        <x:v>0.6099999999999994</x:v>
      </x:c>
      <x:c r="M531" s="16" t="n">
        <x:f>IFERROR(L531/I531,0)</x:f>
        <x:v>0.10815602836879423</x:v>
      </x:c>
    </x:row>
    <x:row r="532">
      <x:c r="A532" s="12" t="str">
        <x:v>SALE-00531</x:v>
      </x:c>
      <x:c r="B532" s="14" t="n">
        <x:v>46204</x:v>
      </x:c>
      <x:c r="C532" s="12" t="str">
        <x:v>DLR-015</x:v>
      </x:c>
      <x:c r="D532" s="12" t="str">
        <x:v>VinFast HTA Văn Phú</x:v>
      </x:c>
      <x:c r="E532" s="12" t="str">
        <x:v>VinFast</x:v>
      </x:c>
      <x:c r="F532" s="12" t="str">
        <x:v>VF 8</x:v>
      </x:c>
      <x:c r="G532" s="12" t="n">
        <x:v>10</x:v>
      </x:c>
      <x:c r="H532" s="12" t="n">
        <x:v>1024.3</x:v>
      </x:c>
      <x:c r="I532" s="12" t="n">
        <x:v>10.24</x:v>
      </x:c>
      <x:c r="J532" s="16" t="n">
        <x:v>0.025692989467065434</x:v>
      </x:c>
      <x:c r="K532" s="12" t="n">
        <x:v>9.26</x:v>
      </x:c>
      <x:c r="L532" s="12" t="n">
        <x:f>I532-K532</x:f>
        <x:v>0.9800000000000004</x:v>
      </x:c>
      <x:c r="M532" s="16" t="n">
        <x:f>IFERROR(L532/I532,0)</x:f>
        <x:v>0.09570312500000004</x:v>
      </x:c>
    </x:row>
    <x:row r="533">
      <x:c r="A533" s="12" t="str">
        <x:v>SALE-00532</x:v>
      </x:c>
      <x:c r="B533" s="14" t="n">
        <x:v>46204</x:v>
      </x:c>
      <x:c r="C533" s="12" t="str">
        <x:v>DLR-015</x:v>
      </x:c>
      <x:c r="D533" s="12" t="str">
        <x:v>VinFast HTA Văn Phú</x:v>
      </x:c>
      <x:c r="E533" s="12" t="str">
        <x:v>VinFast</x:v>
      </x:c>
      <x:c r="F533" s="12" t="str">
        <x:v>VF 9</x:v>
      </x:c>
      <x:c r="G533" s="12" t="n">
        <x:v>9</x:v>
      </x:c>
      <x:c r="H533" s="12" t="n">
        <x:v>1457.8</x:v>
      </x:c>
      <x:c r="I533" s="12" t="n">
        <x:v>13.12</x:v>
      </x:c>
      <x:c r="J533" s="16" t="n">
        <x:v>0.03760008729791876</x:v>
      </x:c>
      <x:c r="K533" s="12" t="n">
        <x:v>12.32</x:v>
      </x:c>
      <x:c r="L533" s="12" t="n">
        <x:f>I533-K533</x:f>
        <x:v>0.7999999999999989</x:v>
      </x:c>
      <x:c r="M533" s="16" t="n">
        <x:f>IFERROR(L533/I533,0)</x:f>
        <x:v>0.06097560975609748</x:v>
      </x:c>
    </x:row>
    <x:row r="534">
      <x:c r="A534" s="12" t="str">
        <x:v>SALE-00533</x:v>
      </x:c>
      <x:c r="B534" s="14" t="n">
        <x:v>46023</x:v>
      </x:c>
      <x:c r="C534" s="12" t="str">
        <x:v>DLR-016</x:v>
      </x:c>
      <x:c r="D534" s="12" t="str">
        <x:v>VinFast HTA Mỹ Đình</x:v>
      </x:c>
      <x:c r="E534" s="12" t="str">
        <x:v>VinFast</x:v>
      </x:c>
      <x:c r="F534" s="12" t="str">
        <x:v>VF 3</x:v>
      </x:c>
      <x:c r="G534" s="12" t="n">
        <x:v>6</x:v>
      </x:c>
      <x:c r="H534" s="12" t="n">
        <x:v>317.5</x:v>
      </x:c>
      <x:c r="I534" s="12" t="n">
        <x:v>1.9</x:v>
      </x:c>
      <x:c r="J534" s="16" t="n">
        <x:v>0.041149428782366125</x:v>
      </x:c>
      <x:c r="K534" s="12" t="n">
        <x:v>1.77</x:v>
      </x:c>
      <x:c r="L534" s="12" t="n">
        <x:f>I534-K534</x:f>
        <x:v>0.1299999999999999</x:v>
      </x:c>
      <x:c r="M534" s="16" t="n">
        <x:f>IFERROR(L534/I534,0)</x:f>
        <x:v>0.0684210526315789</x:v>
      </x:c>
    </x:row>
    <x:row r="535">
      <x:c r="A535" s="12" t="str">
        <x:v>SALE-00534</x:v>
      </x:c>
      <x:c r="B535" s="14" t="n">
        <x:v>46023</x:v>
      </x:c>
      <x:c r="C535" s="12" t="str">
        <x:v>DLR-016</x:v>
      </x:c>
      <x:c r="D535" s="12" t="str">
        <x:v>VinFast HTA Mỹ Đình</x:v>
      </x:c>
      <x:c r="E535" s="12" t="str">
        <x:v>VinFast</x:v>
      </x:c>
      <x:c r="F535" s="12" t="str">
        <x:v>VF 5</x:v>
      </x:c>
      <x:c r="G535" s="12" t="n">
        <x:v>6</x:v>
      </x:c>
      <x:c r="H535" s="12" t="n">
        <x:v>501.2</x:v>
      </x:c>
      <x:c r="I535" s="12" t="n">
        <x:v>3.01</x:v>
      </x:c>
      <x:c r="J535" s="16" t="n">
        <x:v>0.030170560889592635</x:v>
      </x:c>
      <x:c r="K535" s="12" t="n">
        <x:v>2.75</x:v>
      </x:c>
      <x:c r="L535" s="12" t="n">
        <x:f>I535-K535</x:f>
        <x:v>0.2599999999999998</x:v>
      </x:c>
      <x:c r="M535" s="16" t="n">
        <x:f>IFERROR(L535/I535,0)</x:f>
        <x:v>0.08637873754152818</x:v>
      </x:c>
    </x:row>
    <x:row r="536">
      <x:c r="A536" s="12" t="str">
        <x:v>SALE-00535</x:v>
      </x:c>
      <x:c r="B536" s="14" t="n">
        <x:v>46023</x:v>
      </x:c>
      <x:c r="C536" s="12" t="str">
        <x:v>DLR-016</x:v>
      </x:c>
      <x:c r="D536" s="12" t="str">
        <x:v>VinFast HTA Mỹ Đình</x:v>
      </x:c>
      <x:c r="E536" s="12" t="str">
        <x:v>VinFast</x:v>
      </x:c>
      <x:c r="F536" s="12" t="str">
        <x:v>VF 6</x:v>
      </x:c>
      <x:c r="G536" s="12" t="n">
        <x:v>3</x:v>
      </x:c>
      <x:c r="H536" s="12" t="n">
        <x:v>648.2</x:v>
      </x:c>
      <x:c r="I536" s="12" t="n">
        <x:v>1.94</x:v>
      </x:c>
      <x:c r="J536" s="16" t="n">
        <x:v>0.021855343008841906</x:v>
      </x:c>
      <x:c r="K536" s="12" t="n">
        <x:v>1.77</x:v>
      </x:c>
      <x:c r="L536" s="12" t="n">
        <x:f>I536-K536</x:f>
        <x:v>0.16999999999999993</x:v>
      </x:c>
      <x:c r="M536" s="16" t="n">
        <x:f>IFERROR(L536/I536,0)</x:f>
        <x:v>0.08762886597938141</x:v>
      </x:c>
    </x:row>
    <x:row r="537">
      <x:c r="A537" s="12" t="str">
        <x:v>SALE-00536</x:v>
      </x:c>
      <x:c r="B537" s="14" t="n">
        <x:v>46023</x:v>
      </x:c>
      <x:c r="C537" s="12" t="str">
        <x:v>DLR-016</x:v>
      </x:c>
      <x:c r="D537" s="12" t="str">
        <x:v>VinFast HTA Mỹ Đình</x:v>
      </x:c>
      <x:c r="E537" s="12" t="str">
        <x:v>VinFast</x:v>
      </x:c>
      <x:c r="F537" s="12" t="str">
        <x:v>VF 7</x:v>
      </x:c>
      <x:c r="G537" s="12" t="n">
        <x:v>5</x:v>
      </x:c>
      <x:c r="H537" s="12" t="n">
        <x:v>852.3</x:v>
      </x:c>
      <x:c r="I537" s="12" t="n">
        <x:v>4.26</x:v>
      </x:c>
      <x:c r="J537" s="16" t="n">
        <x:v>0.037634265118041396</x:v>
      </x:c>
      <x:c r="K537" s="12" t="n">
        <x:v>3.97</x:v>
      </x:c>
      <x:c r="L537" s="12" t="n">
        <x:f>I537-K537</x:f>
        <x:v>0.2899999999999996</x:v>
      </x:c>
      <x:c r="M537" s="16" t="n">
        <x:f>IFERROR(L537/I537,0)</x:f>
        <x:v>0.06807511737089193</x:v>
      </x:c>
    </x:row>
    <x:row r="538">
      <x:c r="A538" s="12" t="str">
        <x:v>SALE-00537</x:v>
      </x:c>
      <x:c r="B538" s="14" t="n">
        <x:v>46023</x:v>
      </x:c>
      <x:c r="C538" s="12" t="str">
        <x:v>DLR-016</x:v>
      </x:c>
      <x:c r="D538" s="12" t="str">
        <x:v>VinFast HTA Mỹ Đình</x:v>
      </x:c>
      <x:c r="E538" s="12" t="str">
        <x:v>VinFast</x:v>
      </x:c>
      <x:c r="F538" s="12" t="str">
        <x:v>VF 8</x:v>
      </x:c>
      <x:c r="G538" s="12" t="n">
        <x:v>4</x:v>
      </x:c>
      <x:c r="H538" s="12" t="n">
        <x:v>1000.9</x:v>
      </x:c>
      <x:c r="I538" s="12" t="n">
        <x:v>4</x:v>
      </x:c>
      <x:c r="J538" s="16" t="n">
        <x:v>0.016702070304681804</x:v>
      </x:c>
      <x:c r="K538" s="12" t="n">
        <x:v>3.57</x:v>
      </x:c>
      <x:c r="L538" s="12" t="n">
        <x:f>I538-K538</x:f>
        <x:v>0.43000000000000016</x:v>
      </x:c>
      <x:c r="M538" s="16" t="n">
        <x:f>IFERROR(L538/I538,0)</x:f>
        <x:v>0.10750000000000004</x:v>
      </x:c>
    </x:row>
    <x:row r="539">
      <x:c r="A539" s="12" t="str">
        <x:v>SALE-00538</x:v>
      </x:c>
      <x:c r="B539" s="14" t="n">
        <x:v>46023</x:v>
      </x:c>
      <x:c r="C539" s="12" t="str">
        <x:v>DLR-016</x:v>
      </x:c>
      <x:c r="D539" s="12" t="str">
        <x:v>VinFast HTA Mỹ Đình</x:v>
      </x:c>
      <x:c r="E539" s="12" t="str">
        <x:v>VinFast</x:v>
      </x:c>
      <x:c r="F539" s="12" t="str">
        <x:v>VF 9</x:v>
      </x:c>
      <x:c r="G539" s="12" t="n">
        <x:v>7</x:v>
      </x:c>
      <x:c r="H539" s="12" t="n">
        <x:v>1515.5</x:v>
      </x:c>
      <x:c r="I539" s="12" t="n">
        <x:v>10.61</x:v>
      </x:c>
      <x:c r="J539" s="16" t="n">
        <x:v>0.03402001150581093</x:v>
      </x:c>
      <x:c r="K539" s="12" t="n">
        <x:v>9.37</x:v>
      </x:c>
      <x:c r="L539" s="12" t="n">
        <x:f>I539-K539</x:f>
        <x:v>1.2400000000000002</x:v>
      </x:c>
      <x:c r="M539" s="16" t="n">
        <x:f>IFERROR(L539/I539,0)</x:f>
        <x:v>0.11687087653157402</x:v>
      </x:c>
    </x:row>
    <x:row r="540">
      <x:c r="A540" s="12" t="str">
        <x:v>SALE-00539</x:v>
      </x:c>
      <x:c r="B540" s="14" t="n">
        <x:v>46054</x:v>
      </x:c>
      <x:c r="C540" s="12" t="str">
        <x:v>DLR-016</x:v>
      </x:c>
      <x:c r="D540" s="12" t="str">
        <x:v>VinFast HTA Mỹ Đình</x:v>
      </x:c>
      <x:c r="E540" s="12" t="str">
        <x:v>VinFast</x:v>
      </x:c>
      <x:c r="F540" s="12" t="str">
        <x:v>VF 3</x:v>
      </x:c>
      <x:c r="G540" s="12" t="n">
        <x:v>4</x:v>
      </x:c>
      <x:c r="H540" s="12" t="n">
        <x:v>319.4</x:v>
      </x:c>
      <x:c r="I540" s="12" t="n">
        <x:v>1.28</x:v>
      </x:c>
      <x:c r="J540" s="16" t="n">
        <x:v>0.050972466034600344</x:v>
      </x:c>
      <x:c r="K540" s="12" t="n">
        <x:v>1.17</x:v>
      </x:c>
      <x:c r="L540" s="12" t="n">
        <x:f>I540-K540</x:f>
        <x:v>0.1100000000000001</x:v>
      </x:c>
      <x:c r="M540" s="16" t="n">
        <x:f>IFERROR(L540/I540,0)</x:f>
        <x:v>0.08593750000000007</x:v>
      </x:c>
    </x:row>
    <x:row r="541">
      <x:c r="A541" s="12" t="str">
        <x:v>SALE-00540</x:v>
      </x:c>
      <x:c r="B541" s="14" t="n">
        <x:v>46054</x:v>
      </x:c>
      <x:c r="C541" s="12" t="str">
        <x:v>DLR-016</x:v>
      </x:c>
      <x:c r="D541" s="12" t="str">
        <x:v>VinFast HTA Mỹ Đình</x:v>
      </x:c>
      <x:c r="E541" s="12" t="str">
        <x:v>VinFast</x:v>
      </x:c>
      <x:c r="F541" s="12" t="str">
        <x:v>VF 5</x:v>
      </x:c>
      <x:c r="G541" s="12" t="n">
        <x:v>3</x:v>
      </x:c>
      <x:c r="H541" s="12" t="n">
        <x:v>536.6</x:v>
      </x:c>
      <x:c r="I541" s="12" t="n">
        <x:v>1.61</x:v>
      </x:c>
      <x:c r="J541" s="16" t="n">
        <x:v>0.02757938772906604</x:v>
      </x:c>
      <x:c r="K541" s="12" t="n">
        <x:v>1.51</x:v>
      </x:c>
      <x:c r="L541" s="12" t="n">
        <x:f>I541-K541</x:f>
        <x:v>0.10000000000000009</x:v>
      </x:c>
      <x:c r="M541" s="16" t="n">
        <x:f>IFERROR(L541/I541,0)</x:f>
        <x:v>0.06211180124223608</x:v>
      </x:c>
    </x:row>
    <x:row r="542">
      <x:c r="A542" s="12" t="str">
        <x:v>SALE-00541</x:v>
      </x:c>
      <x:c r="B542" s="14" t="n">
        <x:v>46054</x:v>
      </x:c>
      <x:c r="C542" s="12" t="str">
        <x:v>DLR-016</x:v>
      </x:c>
      <x:c r="D542" s="12" t="str">
        <x:v>VinFast HTA Mỹ Đình</x:v>
      </x:c>
      <x:c r="E542" s="12" t="str">
        <x:v>VinFast</x:v>
      </x:c>
      <x:c r="F542" s="12" t="str">
        <x:v>VF 6</x:v>
      </x:c>
      <x:c r="G542" s="12" t="n">
        <x:v>6</x:v>
      </x:c>
      <x:c r="H542" s="12" t="n">
        <x:v>689.1</x:v>
      </x:c>
      <x:c r="I542" s="12" t="n">
        <x:v>4.13</x:v>
      </x:c>
      <x:c r="J542" s="16" t="n">
        <x:v>0.043508455997974385</x:v>
      </x:c>
      <x:c r="K542" s="12" t="n">
        <x:v>3.74</x:v>
      </x:c>
      <x:c r="L542" s="12" t="n">
        <x:f>I542-K542</x:f>
        <x:v>0.3899999999999997</x:v>
      </x:c>
      <x:c r="M542" s="16" t="n">
        <x:f>IFERROR(L542/I542,0)</x:f>
        <x:v>0.09443099273607741</x:v>
      </x:c>
    </x:row>
    <x:row r="543">
      <x:c r="A543" s="12" t="str">
        <x:v>SALE-00542</x:v>
      </x:c>
      <x:c r="B543" s="14" t="n">
        <x:v>46054</x:v>
      </x:c>
      <x:c r="C543" s="12" t="str">
        <x:v>DLR-016</x:v>
      </x:c>
      <x:c r="D543" s="12" t="str">
        <x:v>VinFast HTA Mỹ Đình</x:v>
      </x:c>
      <x:c r="E543" s="12" t="str">
        <x:v>VinFast</x:v>
      </x:c>
      <x:c r="F543" s="12" t="str">
        <x:v>VF 7</x:v>
      </x:c>
      <x:c r="G543" s="12" t="n">
        <x:v>4</x:v>
      </x:c>
      <x:c r="H543" s="12" t="n">
        <x:v>810</x:v>
      </x:c>
      <x:c r="I543" s="12" t="n">
        <x:v>3.24</x:v>
      </x:c>
      <x:c r="J543" s="16" t="n">
        <x:v>0.02461888777217147</x:v>
      </x:c>
      <x:c r="K543" s="12" t="n">
        <x:v>3.01</x:v>
      </x:c>
      <x:c r="L543" s="12" t="n">
        <x:f>I543-K543</x:f>
        <x:v>0.23000000000000043</x:v>
      </x:c>
      <x:c r="M543" s="16" t="n">
        <x:f>IFERROR(L543/I543,0)</x:f>
        <x:v>0.07098765432098778</x:v>
      </x:c>
    </x:row>
    <x:row r="544">
      <x:c r="A544" s="12" t="str">
        <x:v>SALE-00543</x:v>
      </x:c>
      <x:c r="B544" s="14" t="n">
        <x:v>46054</x:v>
      </x:c>
      <x:c r="C544" s="12" t="str">
        <x:v>DLR-016</x:v>
      </x:c>
      <x:c r="D544" s="12" t="str">
        <x:v>VinFast HTA Mỹ Đình</x:v>
      </x:c>
      <x:c r="E544" s="12" t="str">
        <x:v>VinFast</x:v>
      </x:c>
      <x:c r="F544" s="12" t="str">
        <x:v>VF 8</x:v>
      </x:c>
      <x:c r="G544" s="12" t="n">
        <x:v>5</x:v>
      </x:c>
      <x:c r="H544" s="12" t="n">
        <x:v>1030.9</x:v>
      </x:c>
      <x:c r="I544" s="12" t="n">
        <x:v>5.15</x:v>
      </x:c>
      <x:c r="J544" s="16" t="n">
        <x:v>0.02826919358487314</x:v>
      </x:c>
      <x:c r="K544" s="12" t="n">
        <x:v>4.77</x:v>
      </x:c>
      <x:c r="L544" s="12" t="n">
        <x:f>I544-K544</x:f>
        <x:v>0.3800000000000008</x:v>
      </x:c>
      <x:c r="M544" s="16" t="n">
        <x:f>IFERROR(L544/I544,0)</x:f>
        <x:v>0.07378640776699044</x:v>
      </x:c>
    </x:row>
    <x:row r="545">
      <x:c r="A545" s="12" t="str">
        <x:v>SALE-00544</x:v>
      </x:c>
      <x:c r="B545" s="14" t="n">
        <x:v>46054</x:v>
      </x:c>
      <x:c r="C545" s="12" t="str">
        <x:v>DLR-016</x:v>
      </x:c>
      <x:c r="D545" s="12" t="str">
        <x:v>VinFast HTA Mỹ Đình</x:v>
      </x:c>
      <x:c r="E545" s="12" t="str">
        <x:v>VinFast</x:v>
      </x:c>
      <x:c r="F545" s="12" t="str">
        <x:v>VF 9</x:v>
      </x:c>
      <x:c r="G545" s="12" t="n">
        <x:v>4</x:v>
      </x:c>
      <x:c r="H545" s="12" t="n">
        <x:v>1527.6</x:v>
      </x:c>
      <x:c r="I545" s="12" t="n">
        <x:v>6.11</x:v>
      </x:c>
      <x:c r="J545" s="16" t="n">
        <x:v>0.043966542803772594</x:v>
      </x:c>
      <x:c r="K545" s="12" t="n">
        <x:v>5.56</x:v>
      </x:c>
      <x:c r="L545" s="12" t="n">
        <x:f>I545-K545</x:f>
        <x:v>0.5500000000000007</x:v>
      </x:c>
      <x:c r="M545" s="16" t="n">
        <x:f>IFERROR(L545/I545,0)</x:f>
        <x:v>0.0900163666121114</x:v>
      </x:c>
    </x:row>
    <x:row r="546">
      <x:c r="A546" s="12" t="str">
        <x:v>SALE-00545</x:v>
      </x:c>
      <x:c r="B546" s="14" t="n">
        <x:v>46082</x:v>
      </x:c>
      <x:c r="C546" s="12" t="str">
        <x:v>DLR-016</x:v>
      </x:c>
      <x:c r="D546" s="12" t="str">
        <x:v>VinFast HTA Mỹ Đình</x:v>
      </x:c>
      <x:c r="E546" s="12" t="str">
        <x:v>VinFast</x:v>
      </x:c>
      <x:c r="F546" s="12" t="str">
        <x:v>VF 3</x:v>
      </x:c>
      <x:c r="G546" s="12" t="n">
        <x:v>8</x:v>
      </x:c>
      <x:c r="H546" s="12" t="n">
        <x:v>297.5</x:v>
      </x:c>
      <x:c r="I546" s="12" t="n">
        <x:v>2.38</x:v>
      </x:c>
      <x:c r="J546" s="16" t="n">
        <x:v>0.032483530113739965</x:v>
      </x:c>
      <x:c r="K546" s="12" t="n">
        <x:v>2.21</x:v>
      </x:c>
      <x:c r="L546" s="12" t="n">
        <x:f>I546-K546</x:f>
        <x:v>0.16999999999999993</x:v>
      </x:c>
      <x:c r="M546" s="16" t="n">
        <x:f>IFERROR(L546/I546,0)</x:f>
        <x:v>0.0714285714285714</x:v>
      </x:c>
    </x:row>
    <x:row r="547">
      <x:c r="A547" s="12" t="str">
        <x:v>SALE-00546</x:v>
      </x:c>
      <x:c r="B547" s="14" t="n">
        <x:v>46082</x:v>
      </x:c>
      <x:c r="C547" s="12" t="str">
        <x:v>DLR-016</x:v>
      </x:c>
      <x:c r="D547" s="12" t="str">
        <x:v>VinFast HTA Mỹ Đình</x:v>
      </x:c>
      <x:c r="E547" s="12" t="str">
        <x:v>VinFast</x:v>
      </x:c>
      <x:c r="F547" s="12" t="str">
        <x:v>VF 5</x:v>
      </x:c>
      <x:c r="G547" s="12" t="n">
        <x:v>5</x:v>
      </x:c>
      <x:c r="H547" s="12" t="n">
        <x:v>529.8</x:v>
      </x:c>
      <x:c r="I547" s="12" t="n">
        <x:v>2.65</x:v>
      </x:c>
      <x:c r="J547" s="16" t="n">
        <x:v>0.05319433587658663</x:v>
      </x:c>
      <x:c r="K547" s="12" t="n">
        <x:v>2.39</x:v>
      </x:c>
      <x:c r="L547" s="12" t="n">
        <x:f>I547-K547</x:f>
        <x:v>0.2599999999999998</x:v>
      </x:c>
      <x:c r="M547" s="16" t="n">
        <x:f>IFERROR(L547/I547,0)</x:f>
        <x:v>0.09811320754716973</x:v>
      </x:c>
    </x:row>
    <x:row r="548">
      <x:c r="A548" s="12" t="str">
        <x:v>SALE-00547</x:v>
      </x:c>
      <x:c r="B548" s="14" t="n">
        <x:v>46082</x:v>
      </x:c>
      <x:c r="C548" s="12" t="str">
        <x:v>DLR-016</x:v>
      </x:c>
      <x:c r="D548" s="12" t="str">
        <x:v>VinFast HTA Mỹ Đình</x:v>
      </x:c>
      <x:c r="E548" s="12" t="str">
        <x:v>VinFast</x:v>
      </x:c>
      <x:c r="F548" s="12" t="str">
        <x:v>VF 6</x:v>
      </x:c>
      <x:c r="G548" s="12" t="n">
        <x:v>7</x:v>
      </x:c>
      <x:c r="H548" s="12" t="n">
        <x:v>649.3</x:v>
      </x:c>
      <x:c r="I548" s="12" t="n">
        <x:v>4.55</x:v>
      </x:c>
      <x:c r="J548" s="16" t="n">
        <x:v>0.025933081145151894</x:v>
      </x:c>
      <x:c r="K548" s="12" t="n">
        <x:v>4.27</x:v>
      </x:c>
      <x:c r="L548" s="12" t="n">
        <x:f>I548-K548</x:f>
        <x:v>0.28000000000000025</x:v>
      </x:c>
      <x:c r="M548" s="16" t="n">
        <x:f>IFERROR(L548/I548,0)</x:f>
        <x:v>0.0615384615384616</x:v>
      </x:c>
    </x:row>
    <x:row r="549">
      <x:c r="A549" s="12" t="str">
        <x:v>SALE-00548</x:v>
      </x:c>
      <x:c r="B549" s="14" t="n">
        <x:v>46082</x:v>
      </x:c>
      <x:c r="C549" s="12" t="str">
        <x:v>DLR-016</x:v>
      </x:c>
      <x:c r="D549" s="12" t="str">
        <x:v>VinFast HTA Mỹ Đình</x:v>
      </x:c>
      <x:c r="E549" s="12" t="str">
        <x:v>VinFast</x:v>
      </x:c>
      <x:c r="F549" s="12" t="str">
        <x:v>VF 7</x:v>
      </x:c>
      <x:c r="G549" s="12" t="n">
        <x:v>6</x:v>
      </x:c>
      <x:c r="H549" s="12" t="n">
        <x:v>823.2</x:v>
      </x:c>
      <x:c r="I549" s="12" t="n">
        <x:v>4.94</x:v>
      </x:c>
      <x:c r="J549" s="16" t="n">
        <x:v>0.05264571379882902</x:v>
      </x:c>
      <x:c r="K549" s="12" t="n">
        <x:v>4.47</x:v>
      </x:c>
      <x:c r="L549" s="12" t="n">
        <x:f>I549-K549</x:f>
        <x:v>0.47000000000000064</x:v>
      </x:c>
      <x:c r="M549" s="16" t="n">
        <x:f>IFERROR(L549/I549,0)</x:f>
        <x:v>0.09514170040485842</x:v>
      </x:c>
    </x:row>
    <x:row r="550">
      <x:c r="A550" s="12" t="str">
        <x:v>SALE-00549</x:v>
      </x:c>
      <x:c r="B550" s="14" t="n">
        <x:v>46082</x:v>
      </x:c>
      <x:c r="C550" s="12" t="str">
        <x:v>DLR-016</x:v>
      </x:c>
      <x:c r="D550" s="12" t="str">
        <x:v>VinFast HTA Mỹ Đình</x:v>
      </x:c>
      <x:c r="E550" s="12" t="str">
        <x:v>VinFast</x:v>
      </x:c>
      <x:c r="F550" s="12" t="str">
        <x:v>VF 8</x:v>
      </x:c>
      <x:c r="G550" s="12" t="n">
        <x:v>7</x:v>
      </x:c>
      <x:c r="H550" s="12" t="n">
        <x:v>1011.7</x:v>
      </x:c>
      <x:c r="I550" s="12" t="n">
        <x:v>7.08</x:v>
      </x:c>
      <x:c r="J550" s="16" t="n">
        <x:v>0.01842776470546943</x:v>
      </x:c>
      <x:c r="K550" s="12" t="n">
        <x:v>6.5</x:v>
      </x:c>
      <x:c r="L550" s="12" t="n">
        <x:f>I550-K550</x:f>
        <x:v>0.5800000000000001</x:v>
      </x:c>
      <x:c r="M550" s="16" t="n">
        <x:f>IFERROR(L550/I550,0)</x:f>
        <x:v>0.08192090395480227</x:v>
      </x:c>
    </x:row>
    <x:row r="551">
      <x:c r="A551" s="12" t="str">
        <x:v>SALE-00550</x:v>
      </x:c>
      <x:c r="B551" s="14" t="n">
        <x:v>46082</x:v>
      </x:c>
      <x:c r="C551" s="12" t="str">
        <x:v>DLR-016</x:v>
      </x:c>
      <x:c r="D551" s="12" t="str">
        <x:v>VinFast HTA Mỹ Đình</x:v>
      </x:c>
      <x:c r="E551" s="12" t="str">
        <x:v>VinFast</x:v>
      </x:c>
      <x:c r="F551" s="12" t="str">
        <x:v>VF 9</x:v>
      </x:c>
      <x:c r="G551" s="12" t="n">
        <x:v>7</x:v>
      </x:c>
      <x:c r="H551" s="12" t="n">
        <x:v>1494.6</x:v>
      </x:c>
      <x:c r="I551" s="12" t="n">
        <x:v>10.46</x:v>
      </x:c>
      <x:c r="J551" s="16" t="n">
        <x:v>0.01828152038692594</x:v>
      </x:c>
      <x:c r="K551" s="12" t="n">
        <x:v>9.3</x:v>
      </x:c>
      <x:c r="L551" s="12" t="n">
        <x:f>I551-K551</x:f>
        <x:v>1.1600000000000001</x:v>
      </x:c>
      <x:c r="M551" s="16" t="n">
        <x:f>IFERROR(L551/I551,0)</x:f>
        <x:v>0.11089866156787763</x:v>
      </x:c>
    </x:row>
    <x:row r="552">
      <x:c r="A552" s="12" t="str">
        <x:v>SALE-00551</x:v>
      </x:c>
      <x:c r="B552" s="14" t="n">
        <x:v>46113</x:v>
      </x:c>
      <x:c r="C552" s="12" t="str">
        <x:v>DLR-016</x:v>
      </x:c>
      <x:c r="D552" s="12" t="str">
        <x:v>VinFast HTA Mỹ Đình</x:v>
      </x:c>
      <x:c r="E552" s="12" t="str">
        <x:v>VinFast</x:v>
      </x:c>
      <x:c r="F552" s="12" t="str">
        <x:v>VF 3</x:v>
      </x:c>
      <x:c r="G552" s="12" t="n">
        <x:v>7</x:v>
      </x:c>
      <x:c r="H552" s="12" t="n">
        <x:v>312.1</x:v>
      </x:c>
      <x:c r="I552" s="12" t="n">
        <x:v>2.18</x:v>
      </x:c>
      <x:c r="J552" s="16" t="n">
        <x:v>0.04458621155906378</x:v>
      </x:c>
      <x:c r="K552" s="12" t="n">
        <x:v>1.96</x:v>
      </x:c>
      <x:c r="L552" s="12" t="n">
        <x:f>I552-K552</x:f>
        <x:v>0.2200000000000002</x:v>
      </x:c>
      <x:c r="M552" s="16" t="n">
        <x:f>IFERROR(L552/I552,0)</x:f>
        <x:v>0.10091743119266064</x:v>
      </x:c>
    </x:row>
    <x:row r="553">
      <x:c r="A553" s="12" t="str">
        <x:v>SALE-00552</x:v>
      </x:c>
      <x:c r="B553" s="14" t="n">
        <x:v>46113</x:v>
      </x:c>
      <x:c r="C553" s="12" t="str">
        <x:v>DLR-016</x:v>
      </x:c>
      <x:c r="D553" s="12" t="str">
        <x:v>VinFast HTA Mỹ Đình</x:v>
      </x:c>
      <x:c r="E553" s="12" t="str">
        <x:v>VinFast</x:v>
      </x:c>
      <x:c r="F553" s="12" t="str">
        <x:v>VF 5</x:v>
      </x:c>
      <x:c r="G553" s="12" t="n">
        <x:v>4</x:v>
      </x:c>
      <x:c r="H553" s="12" t="n">
        <x:v>497.5</x:v>
      </x:c>
      <x:c r="I553" s="12" t="n">
        <x:v>1.99</x:v>
      </x:c>
      <x:c r="J553" s="16" t="n">
        <x:v>0.02733069820545192</x:v>
      </x:c>
      <x:c r="K553" s="12" t="n">
        <x:v>1.79</x:v>
      </x:c>
      <x:c r="L553" s="12" t="n">
        <x:f>I553-K553</x:f>
        <x:v>0.19999999999999996</x:v>
      </x:c>
      <x:c r="M553" s="16" t="n">
        <x:f>IFERROR(L553/I553,0)</x:f>
        <x:v>0.10050251256281405</x:v>
      </x:c>
    </x:row>
    <x:row r="554">
      <x:c r="A554" s="12" t="str">
        <x:v>SALE-00553</x:v>
      </x:c>
      <x:c r="B554" s="14" t="n">
        <x:v>46113</x:v>
      </x:c>
      <x:c r="C554" s="12" t="str">
        <x:v>DLR-016</x:v>
      </x:c>
      <x:c r="D554" s="12" t="str">
        <x:v>VinFast HTA Mỹ Đình</x:v>
      </x:c>
      <x:c r="E554" s="12" t="str">
        <x:v>VinFast</x:v>
      </x:c>
      <x:c r="F554" s="12" t="str">
        <x:v>VF 6</x:v>
      </x:c>
      <x:c r="G554" s="12" t="n">
        <x:v>5</x:v>
      </x:c>
      <x:c r="H554" s="12" t="n">
        <x:v>655</x:v>
      </x:c>
      <x:c r="I554" s="12" t="n">
        <x:v>3.27</x:v>
      </x:c>
      <x:c r="J554" s="16" t="n">
        <x:v>0.02249567134111509</x:v>
      </x:c>
      <x:c r="K554" s="12" t="n">
        <x:v>2.97</x:v>
      </x:c>
      <x:c r="L554" s="12" t="n">
        <x:f>I554-K554</x:f>
        <x:v>0.2999999999999998</x:v>
      </x:c>
      <x:c r="M554" s="16" t="n">
        <x:f>IFERROR(L554/I554,0)</x:f>
        <x:v>0.091743119266055</x:v>
      </x:c>
    </x:row>
    <x:row r="555">
      <x:c r="A555" s="12" t="str">
        <x:v>SALE-00554</x:v>
      </x:c>
      <x:c r="B555" s="14" t="n">
        <x:v>46113</x:v>
      </x:c>
      <x:c r="C555" s="12" t="str">
        <x:v>DLR-016</x:v>
      </x:c>
      <x:c r="D555" s="12" t="str">
        <x:v>VinFast HTA Mỹ Đình</x:v>
      </x:c>
      <x:c r="E555" s="12" t="str">
        <x:v>VinFast</x:v>
      </x:c>
      <x:c r="F555" s="12" t="str">
        <x:v>VF 7</x:v>
      </x:c>
      <x:c r="G555" s="12" t="n">
        <x:v>6</x:v>
      </x:c>
      <x:c r="H555" s="12" t="n">
        <x:v>826.7</x:v>
      </x:c>
      <x:c r="I555" s="12" t="n">
        <x:v>4.96</x:v>
      </x:c>
      <x:c r="J555" s="16" t="n">
        <x:v>0.016050476160531887</x:v>
      </x:c>
      <x:c r="K555" s="12" t="n">
        <x:v>4.47</x:v>
      </x:c>
      <x:c r="L555" s="12" t="n">
        <x:f>I555-K555</x:f>
        <x:v>0.4900000000000002</x:v>
      </x:c>
      <x:c r="M555" s="16" t="n">
        <x:f>IFERROR(L555/I555,0)</x:f>
        <x:v>0.0987903225806452</x:v>
      </x:c>
    </x:row>
    <x:row r="556">
      <x:c r="A556" s="12" t="str">
        <x:v>SALE-00555</x:v>
      </x:c>
      <x:c r="B556" s="14" t="n">
        <x:v>46113</x:v>
      </x:c>
      <x:c r="C556" s="12" t="str">
        <x:v>DLR-016</x:v>
      </x:c>
      <x:c r="D556" s="12" t="str">
        <x:v>VinFast HTA Mỹ Đình</x:v>
      </x:c>
      <x:c r="E556" s="12" t="str">
        <x:v>VinFast</x:v>
      </x:c>
      <x:c r="F556" s="12" t="str">
        <x:v>VF 8</x:v>
      </x:c>
      <x:c r="G556" s="12" t="n">
        <x:v>4</x:v>
      </x:c>
      <x:c r="H556" s="12" t="n">
        <x:v>1006.6</x:v>
      </x:c>
      <x:c r="I556" s="12" t="n">
        <x:v>4.03</x:v>
      </x:c>
      <x:c r="J556" s="16" t="n">
        <x:v>0.027977213222896508</x:v>
      </x:c>
      <x:c r="K556" s="12" t="n">
        <x:v>3.64</x:v>
      </x:c>
      <x:c r="L556" s="12" t="n">
        <x:f>I556-K556</x:f>
        <x:v>0.3900000000000001</x:v>
      </x:c>
      <x:c r="M556" s="16" t="n">
        <x:f>IFERROR(L556/I556,0)</x:f>
        <x:v>0.09677419354838712</x:v>
      </x:c>
    </x:row>
    <x:row r="557">
      <x:c r="A557" s="12" t="str">
        <x:v>SALE-00556</x:v>
      </x:c>
      <x:c r="B557" s="14" t="n">
        <x:v>46113</x:v>
      </x:c>
      <x:c r="C557" s="12" t="str">
        <x:v>DLR-016</x:v>
      </x:c>
      <x:c r="D557" s="12" t="str">
        <x:v>VinFast HTA Mỹ Đình</x:v>
      </x:c>
      <x:c r="E557" s="12" t="str">
        <x:v>VinFast</x:v>
      </x:c>
      <x:c r="F557" s="12" t="str">
        <x:v>VF 9</x:v>
      </x:c>
      <x:c r="G557" s="12" t="n">
        <x:v>5</x:v>
      </x:c>
      <x:c r="H557" s="12" t="n">
        <x:v>1455.6</x:v>
      </x:c>
      <x:c r="I557" s="12" t="n">
        <x:v>7.28</x:v>
      </x:c>
      <x:c r="J557" s="16" t="n">
        <x:v>0.0183879806771409</x:v>
      </x:c>
      <x:c r="K557" s="12" t="n">
        <x:v>6.8</x:v>
      </x:c>
      <x:c r="L557" s="12" t="n">
        <x:f>I557-K557</x:f>
        <x:v>0.4800000000000004</x:v>
      </x:c>
      <x:c r="M557" s="16" t="n">
        <x:f>IFERROR(L557/I557,0)</x:f>
        <x:v>0.06593406593406599</x:v>
      </x:c>
    </x:row>
    <x:row r="558">
      <x:c r="A558" s="12" t="str">
        <x:v>SALE-00557</x:v>
      </x:c>
      <x:c r="B558" s="14" t="n">
        <x:v>46143</x:v>
      </x:c>
      <x:c r="C558" s="12" t="str">
        <x:v>DLR-016</x:v>
      </x:c>
      <x:c r="D558" s="12" t="str">
        <x:v>VinFast HTA Mỹ Đình</x:v>
      </x:c>
      <x:c r="E558" s="12" t="str">
        <x:v>VinFast</x:v>
      </x:c>
      <x:c r="F558" s="12" t="str">
        <x:v>VF 3</x:v>
      </x:c>
      <x:c r="G558" s="12" t="n">
        <x:v>8</x:v>
      </x:c>
      <x:c r="H558" s="12" t="n">
        <x:v>320.7</x:v>
      </x:c>
      <x:c r="I558" s="12" t="n">
        <x:v>2.57</x:v>
      </x:c>
      <x:c r="J558" s="16" t="n">
        <x:v>0.03787841722998158</x:v>
      </x:c>
      <x:c r="K558" s="12" t="n">
        <x:v>2.28</x:v>
      </x:c>
      <x:c r="L558" s="12" t="n">
        <x:f>I558-K558</x:f>
        <x:v>0.29000000000000004</x:v>
      </x:c>
      <x:c r="M558" s="16" t="n">
        <x:f>IFERROR(L558/I558,0)</x:f>
        <x:v>0.11284046692607005</x:v>
      </x:c>
    </x:row>
    <x:row r="559">
      <x:c r="A559" s="12" t="str">
        <x:v>SALE-00558</x:v>
      </x:c>
      <x:c r="B559" s="14" t="n">
        <x:v>46143</x:v>
      </x:c>
      <x:c r="C559" s="12" t="str">
        <x:v>DLR-016</x:v>
      </x:c>
      <x:c r="D559" s="12" t="str">
        <x:v>VinFast HTA Mỹ Đình</x:v>
      </x:c>
      <x:c r="E559" s="12" t="str">
        <x:v>VinFast</x:v>
      </x:c>
      <x:c r="F559" s="12" t="str">
        <x:v>VF 5</x:v>
      </x:c>
      <x:c r="G559" s="12" t="n">
        <x:v>6</x:v>
      </x:c>
      <x:c r="H559" s="12" t="n">
        <x:v>503.1</x:v>
      </x:c>
      <x:c r="I559" s="12" t="n">
        <x:v>3.02</x:v>
      </x:c>
      <x:c r="J559" s="16" t="n">
        <x:v>0.02704525061500275</x:v>
      </x:c>
      <x:c r="K559" s="12" t="n">
        <x:v>2.75</x:v>
      </x:c>
      <x:c r="L559" s="12" t="n">
        <x:f>I559-K559</x:f>
        <x:v>0.27</x:v>
      </x:c>
      <x:c r="M559" s="16" t="n">
        <x:f>IFERROR(L559/I559,0)</x:f>
        <x:v>0.08940397350993377</x:v>
      </x:c>
    </x:row>
    <x:row r="560">
      <x:c r="A560" s="12" t="str">
        <x:v>SALE-00559</x:v>
      </x:c>
      <x:c r="B560" s="14" t="n">
        <x:v>46143</x:v>
      </x:c>
      <x:c r="C560" s="12" t="str">
        <x:v>DLR-016</x:v>
      </x:c>
      <x:c r="D560" s="12" t="str">
        <x:v>VinFast HTA Mỹ Đình</x:v>
      </x:c>
      <x:c r="E560" s="12" t="str">
        <x:v>VinFast</x:v>
      </x:c>
      <x:c r="F560" s="12" t="str">
        <x:v>VF 6</x:v>
      </x:c>
      <x:c r="G560" s="12" t="n">
        <x:v>4</x:v>
      </x:c>
      <x:c r="H560" s="12" t="n">
        <x:v>671.6</x:v>
      </x:c>
      <x:c r="I560" s="12" t="n">
        <x:v>2.69</x:v>
      </x:c>
      <x:c r="J560" s="16" t="n">
        <x:v>0.03184409359090097</x:v>
      </x:c>
      <x:c r="K560" s="12" t="n">
        <x:v>2.44</x:v>
      </x:c>
      <x:c r="L560" s="12" t="n">
        <x:f>I560-K560</x:f>
        <x:v>0.25</x:v>
      </x:c>
      <x:c r="M560" s="16" t="n">
        <x:f>IFERROR(L560/I560,0)</x:f>
        <x:v>0.0929368029739777</x:v>
      </x:c>
    </x:row>
    <x:row r="561">
      <x:c r="A561" s="12" t="str">
        <x:v>SALE-00560</x:v>
      </x:c>
      <x:c r="B561" s="14" t="n">
        <x:v>46143</x:v>
      </x:c>
      <x:c r="C561" s="12" t="str">
        <x:v>DLR-016</x:v>
      </x:c>
      <x:c r="D561" s="12" t="str">
        <x:v>VinFast HTA Mỹ Đình</x:v>
      </x:c>
      <x:c r="E561" s="12" t="str">
        <x:v>VinFast</x:v>
      </x:c>
      <x:c r="F561" s="12" t="str">
        <x:v>VF 7</x:v>
      </x:c>
      <x:c r="G561" s="12" t="n">
        <x:v>4</x:v>
      </x:c>
      <x:c r="H561" s="12" t="n">
        <x:v>816.1</x:v>
      </x:c>
      <x:c r="I561" s="12" t="n">
        <x:v>3.26</x:v>
      </x:c>
      <x:c r="J561" s="16" t="n">
        <x:v>0.024863602733880115</x:v>
      </x:c>
      <x:c r="K561" s="12" t="n">
        <x:v>3</x:v>
      </x:c>
      <x:c r="L561" s="12" t="n">
        <x:f>I561-K561</x:f>
        <x:v>0.2599999999999998</x:v>
      </x:c>
      <x:c r="M561" s="16" t="n">
        <x:f>IFERROR(L561/I561,0)</x:f>
        <x:v>0.07975460122699381</x:v>
      </x:c>
    </x:row>
    <x:row r="562">
      <x:c r="A562" s="12" t="str">
        <x:v>SALE-00561</x:v>
      </x:c>
      <x:c r="B562" s="14" t="n">
        <x:v>46143</x:v>
      </x:c>
      <x:c r="C562" s="12" t="str">
        <x:v>DLR-016</x:v>
      </x:c>
      <x:c r="D562" s="12" t="str">
        <x:v>VinFast HTA Mỹ Đình</x:v>
      </x:c>
      <x:c r="E562" s="12" t="str">
        <x:v>VinFast</x:v>
      </x:c>
      <x:c r="F562" s="12" t="str">
        <x:v>VF 8</x:v>
      </x:c>
      <x:c r="G562" s="12" t="n">
        <x:v>7</x:v>
      </x:c>
      <x:c r="H562" s="12" t="n">
        <x:v>973.8</x:v>
      </x:c>
      <x:c r="I562" s="12" t="n">
        <x:v>6.82</x:v>
      </x:c>
      <x:c r="J562" s="16" t="n">
        <x:v>0.01927889470323608</x:v>
      </x:c>
      <x:c r="K562" s="12" t="n">
        <x:v>6.12</x:v>
      </x:c>
      <x:c r="L562" s="12" t="n">
        <x:f>I562-K562</x:f>
        <x:v>0.7000000000000002</x:v>
      </x:c>
      <x:c r="M562" s="16" t="n">
        <x:f>IFERROR(L562/I562,0)</x:f>
        <x:v>0.1026392961876833</x:v>
      </x:c>
    </x:row>
    <x:row r="563">
      <x:c r="A563" s="12" t="str">
        <x:v>SALE-00562</x:v>
      </x:c>
      <x:c r="B563" s="14" t="n">
        <x:v>46143</x:v>
      </x:c>
      <x:c r="C563" s="12" t="str">
        <x:v>DLR-016</x:v>
      </x:c>
      <x:c r="D563" s="12" t="str">
        <x:v>VinFast HTA Mỹ Đình</x:v>
      </x:c>
      <x:c r="E563" s="12" t="str">
        <x:v>VinFast</x:v>
      </x:c>
      <x:c r="F563" s="12" t="str">
        <x:v>VF 9</x:v>
      </x:c>
      <x:c r="G563" s="12" t="n">
        <x:v>8</x:v>
      </x:c>
      <x:c r="H563" s="12" t="n">
        <x:v>1448.9</x:v>
      </x:c>
      <x:c r="I563" s="12" t="n">
        <x:v>11.59</x:v>
      </x:c>
      <x:c r="J563" s="16" t="n">
        <x:v>0.039807687514987575</x:v>
      </x:c>
      <x:c r="K563" s="12" t="n">
        <x:v>10.76</x:v>
      </x:c>
      <x:c r="L563" s="12" t="n">
        <x:f>I563-K563</x:f>
        <x:v>0.8300000000000001</x:v>
      </x:c>
      <x:c r="M563" s="16" t="n">
        <x:f>IFERROR(L563/I563,0)</x:f>
        <x:v>0.07161345987920623</x:v>
      </x:c>
    </x:row>
    <x:row r="564">
      <x:c r="A564" s="12" t="str">
        <x:v>SALE-00563</x:v>
      </x:c>
      <x:c r="B564" s="14" t="n">
        <x:v>46174</x:v>
      </x:c>
      <x:c r="C564" s="12" t="str">
        <x:v>DLR-016</x:v>
      </x:c>
      <x:c r="D564" s="12" t="str">
        <x:v>VinFast HTA Mỹ Đình</x:v>
      </x:c>
      <x:c r="E564" s="12" t="str">
        <x:v>VinFast</x:v>
      </x:c>
      <x:c r="F564" s="12" t="str">
        <x:v>VF 3</x:v>
      </x:c>
      <x:c r="G564" s="12" t="n">
        <x:v>6</x:v>
      </x:c>
      <x:c r="H564" s="12" t="n">
        <x:v>304.5</x:v>
      </x:c>
      <x:c r="I564" s="12" t="n">
        <x:v>1.83</x:v>
      </x:c>
      <x:c r="J564" s="16" t="n">
        <x:v>0.04761901880012012</x:v>
      </x:c>
      <x:c r="K564" s="12" t="n">
        <x:v>1.7</x:v>
      </x:c>
      <x:c r="L564" s="12" t="n">
        <x:f>I564-K564</x:f>
        <x:v>0.13000000000000012</x:v>
      </x:c>
      <x:c r="M564" s="16" t="n">
        <x:f>IFERROR(L564/I564,0)</x:f>
        <x:v>0.07103825136612028</x:v>
      </x:c>
    </x:row>
    <x:row r="565">
      <x:c r="A565" s="12" t="str">
        <x:v>SALE-00564</x:v>
      </x:c>
      <x:c r="B565" s="14" t="n">
        <x:v>46174</x:v>
      </x:c>
      <x:c r="C565" s="12" t="str">
        <x:v>DLR-016</x:v>
      </x:c>
      <x:c r="D565" s="12" t="str">
        <x:v>VinFast HTA Mỹ Đình</x:v>
      </x:c>
      <x:c r="E565" s="12" t="str">
        <x:v>VinFast</x:v>
      </x:c>
      <x:c r="F565" s="12" t="str">
        <x:v>VF 5</x:v>
      </x:c>
      <x:c r="G565" s="12" t="n">
        <x:v>9</x:v>
      </x:c>
      <x:c r="H565" s="12" t="n">
        <x:v>503</x:v>
      </x:c>
      <x:c r="I565" s="12" t="n">
        <x:v>4.53</x:v>
      </x:c>
      <x:c r="J565" s="16" t="n">
        <x:v>0.027826606215003505</x:v>
      </x:c>
      <x:c r="K565" s="12" t="n">
        <x:v>4.24</x:v>
      </x:c>
      <x:c r="L565" s="12" t="n">
        <x:f>I565-K565</x:f>
        <x:v>0.29000000000000004</x:v>
      </x:c>
      <x:c r="M565" s="16" t="n">
        <x:f>IFERROR(L565/I565,0)</x:f>
        <x:v>0.06401766004415012</x:v>
      </x:c>
    </x:row>
    <x:row r="566">
      <x:c r="A566" s="12" t="str">
        <x:v>SALE-00565</x:v>
      </x:c>
      <x:c r="B566" s="14" t="n">
        <x:v>46174</x:v>
      </x:c>
      <x:c r="C566" s="12" t="str">
        <x:v>DLR-016</x:v>
      </x:c>
      <x:c r="D566" s="12" t="str">
        <x:v>VinFast HTA Mỹ Đình</x:v>
      </x:c>
      <x:c r="E566" s="12" t="str">
        <x:v>VinFast</x:v>
      </x:c>
      <x:c r="F566" s="12" t="str">
        <x:v>VF 6</x:v>
      </x:c>
      <x:c r="G566" s="12" t="n">
        <x:v>5</x:v>
      </x:c>
      <x:c r="H566" s="12" t="n">
        <x:v>665</x:v>
      </x:c>
      <x:c r="I566" s="12" t="n">
        <x:v>3.32</x:v>
      </x:c>
      <x:c r="J566" s="16" t="n">
        <x:v>0.05358298492379176</x:v>
      </x:c>
      <x:c r="K566" s="12" t="n">
        <x:v>3.12</x:v>
      </x:c>
      <x:c r="L566" s="12" t="n">
        <x:f>I566-K566</x:f>
        <x:v>0.19999999999999973</x:v>
      </x:c>
      <x:c r="M566" s="16" t="n">
        <x:f>IFERROR(L566/I566,0)</x:f>
        <x:v>0.06024096385542161</x:v>
      </x:c>
    </x:row>
    <x:row r="567">
      <x:c r="A567" s="12" t="str">
        <x:v>SALE-00566</x:v>
      </x:c>
      <x:c r="B567" s="14" t="n">
        <x:v>46174</x:v>
      </x:c>
      <x:c r="C567" s="12" t="str">
        <x:v>DLR-016</x:v>
      </x:c>
      <x:c r="D567" s="12" t="str">
        <x:v>VinFast HTA Mỹ Đình</x:v>
      </x:c>
      <x:c r="E567" s="12" t="str">
        <x:v>VinFast</x:v>
      </x:c>
      <x:c r="F567" s="12" t="str">
        <x:v>VF 7</x:v>
      </x:c>
      <x:c r="G567" s="12" t="n">
        <x:v>5</x:v>
      </x:c>
      <x:c r="H567" s="12" t="n">
        <x:v>846.3</x:v>
      </x:c>
      <x:c r="I567" s="12" t="n">
        <x:v>4.23</x:v>
      </x:c>
      <x:c r="J567" s="16" t="n">
        <x:v>0.034640292515684096</x:v>
      </x:c>
      <x:c r="K567" s="12" t="n">
        <x:v>3.87</x:v>
      </x:c>
      <x:c r="L567" s="12" t="n">
        <x:f>I567-K567</x:f>
        <x:v>0.3600000000000003</x:v>
      </x:c>
      <x:c r="M567" s="16" t="n">
        <x:f>IFERROR(L567/I567,0)</x:f>
        <x:v>0.08510638297872347</x:v>
      </x:c>
    </x:row>
    <x:row r="568">
      <x:c r="A568" s="12" t="str">
        <x:v>SALE-00567</x:v>
      </x:c>
      <x:c r="B568" s="14" t="n">
        <x:v>46174</x:v>
      </x:c>
      <x:c r="C568" s="12" t="str">
        <x:v>DLR-016</x:v>
      </x:c>
      <x:c r="D568" s="12" t="str">
        <x:v>VinFast HTA Mỹ Đình</x:v>
      </x:c>
      <x:c r="E568" s="12" t="str">
        <x:v>VinFast</x:v>
      </x:c>
      <x:c r="F568" s="12" t="str">
        <x:v>VF 8</x:v>
      </x:c>
      <x:c r="G568" s="12" t="n">
        <x:v>5</x:v>
      </x:c>
      <x:c r="H568" s="12" t="n">
        <x:v>988.5</x:v>
      </x:c>
      <x:c r="I568" s="12" t="n">
        <x:v>4.94</x:v>
      </x:c>
      <x:c r="J568" s="16" t="n">
        <x:v>0.04765978061731652</x:v>
      </x:c>
      <x:c r="K568" s="12" t="n">
        <x:v>4.47</x:v>
      </x:c>
      <x:c r="L568" s="12" t="n">
        <x:f>I568-K568</x:f>
        <x:v>0.47000000000000064</x:v>
      </x:c>
      <x:c r="M568" s="16" t="n">
        <x:f>IFERROR(L568/I568,0)</x:f>
        <x:v>0.09514170040485842</x:v>
      </x:c>
    </x:row>
    <x:row r="569">
      <x:c r="A569" s="12" t="str">
        <x:v>SALE-00568</x:v>
      </x:c>
      <x:c r="B569" s="14" t="n">
        <x:v>46174</x:v>
      </x:c>
      <x:c r="C569" s="12" t="str">
        <x:v>DLR-016</x:v>
      </x:c>
      <x:c r="D569" s="12" t="str">
        <x:v>VinFast HTA Mỹ Đình</x:v>
      </x:c>
      <x:c r="E569" s="12" t="str">
        <x:v>VinFast</x:v>
      </x:c>
      <x:c r="F569" s="12" t="str">
        <x:v>VF 9</x:v>
      </x:c>
      <x:c r="G569" s="12" t="n">
        <x:v>4</x:v>
      </x:c>
      <x:c r="H569" s="12" t="n">
        <x:v>1476.7</x:v>
      </x:c>
      <x:c r="I569" s="12" t="n">
        <x:v>5.91</x:v>
      </x:c>
      <x:c r="J569" s="16" t="n">
        <x:v>0.03868908137001542</x:v>
      </x:c>
      <x:c r="K569" s="12" t="n">
        <x:v>5.39</x:v>
      </x:c>
      <x:c r="L569" s="12" t="n">
        <x:f>I569-K569</x:f>
        <x:v>0.5200000000000005</x:v>
      </x:c>
      <x:c r="M569" s="16" t="n">
        <x:f>IFERROR(L569/I569,0)</x:f>
        <x:v>0.08798646362098146</x:v>
      </x:c>
    </x:row>
    <x:row r="570">
      <x:c r="A570" s="12" t="str">
        <x:v>SALE-00569</x:v>
      </x:c>
      <x:c r="B570" s="14" t="n">
        <x:v>46204</x:v>
      </x:c>
      <x:c r="C570" s="12" t="str">
        <x:v>DLR-016</x:v>
      </x:c>
      <x:c r="D570" s="12" t="str">
        <x:v>VinFast HTA Mỹ Đình</x:v>
      </x:c>
      <x:c r="E570" s="12" t="str">
        <x:v>VinFast</x:v>
      </x:c>
      <x:c r="F570" s="12" t="str">
        <x:v>VF 3</x:v>
      </x:c>
      <x:c r="G570" s="12" t="n">
        <x:v>8</x:v>
      </x:c>
      <x:c r="H570" s="12" t="n">
        <x:v>310</x:v>
      </x:c>
      <x:c r="I570" s="12" t="n">
        <x:v>2.48</x:v>
      </x:c>
      <x:c r="J570" s="16" t="n">
        <x:v>0.05312018445945184</x:v>
      </x:c>
      <x:c r="K570" s="12" t="n">
        <x:v>2.25</x:v>
      </x:c>
      <x:c r="L570" s="12" t="n">
        <x:f>I570-K570</x:f>
        <x:v>0.22999999999999998</x:v>
      </x:c>
      <x:c r="M570" s="16" t="n">
        <x:f>IFERROR(L570/I570,0)</x:f>
        <x:v>0.09274193548387095</x:v>
      </x:c>
    </x:row>
    <x:row r="571">
      <x:c r="A571" s="12" t="str">
        <x:v>SALE-00570</x:v>
      </x:c>
      <x:c r="B571" s="14" t="n">
        <x:v>46204</x:v>
      </x:c>
      <x:c r="C571" s="12" t="str">
        <x:v>DLR-016</x:v>
      </x:c>
      <x:c r="D571" s="12" t="str">
        <x:v>VinFast HTA Mỹ Đình</x:v>
      </x:c>
      <x:c r="E571" s="12" t="str">
        <x:v>VinFast</x:v>
      </x:c>
      <x:c r="F571" s="12" t="str">
        <x:v>VF 5</x:v>
      </x:c>
      <x:c r="G571" s="12" t="n">
        <x:v>8</x:v>
      </x:c>
      <x:c r="H571" s="12" t="n">
        <x:v>515.8</x:v>
      </x:c>
      <x:c r="I571" s="12" t="n">
        <x:v>4.13</x:v>
      </x:c>
      <x:c r="J571" s="16" t="n">
        <x:v>0.026653248319411814</x:v>
      </x:c>
      <x:c r="K571" s="12" t="n">
        <x:v>3.8</x:v>
      </x:c>
      <x:c r="L571" s="12" t="n">
        <x:f>I571-K571</x:f>
        <x:v>0.33000000000000007</x:v>
      </x:c>
      <x:c r="M571" s="16" t="n">
        <x:f>IFERROR(L571/I571,0)</x:f>
        <x:v>0.07990314769975788</x:v>
      </x:c>
    </x:row>
    <x:row r="572">
      <x:c r="A572" s="12" t="str">
        <x:v>SALE-00571</x:v>
      </x:c>
      <x:c r="B572" s="14" t="n">
        <x:v>46204</x:v>
      </x:c>
      <x:c r="C572" s="12" t="str">
        <x:v>DLR-016</x:v>
      </x:c>
      <x:c r="D572" s="12" t="str">
        <x:v>VinFast HTA Mỹ Đình</x:v>
      </x:c>
      <x:c r="E572" s="12" t="str">
        <x:v>VinFast</x:v>
      </x:c>
      <x:c r="F572" s="12" t="str">
        <x:v>VF 6</x:v>
      </x:c>
      <x:c r="G572" s="12" t="n">
        <x:v>8</x:v>
      </x:c>
      <x:c r="H572" s="12" t="n">
        <x:v>691.5</x:v>
      </x:c>
      <x:c r="I572" s="12" t="n">
        <x:v>5.53</x:v>
      </x:c>
      <x:c r="J572" s="16" t="n">
        <x:v>0.03136566360979606</x:v>
      </x:c>
      <x:c r="K572" s="12" t="n">
        <x:v>5.03</x:v>
      </x:c>
      <x:c r="L572" s="12" t="n">
        <x:f>I572-K572</x:f>
        <x:v>0.5</x:v>
      </x:c>
      <x:c r="M572" s="16" t="n">
        <x:f>IFERROR(L572/I572,0)</x:f>
        <x:v>0.09041591320072333</x:v>
      </x:c>
    </x:row>
    <x:row r="573">
      <x:c r="A573" s="12" t="str">
        <x:v>SALE-00572</x:v>
      </x:c>
      <x:c r="B573" s="14" t="n">
        <x:v>46204</x:v>
      </x:c>
      <x:c r="C573" s="12" t="str">
        <x:v>DLR-016</x:v>
      </x:c>
      <x:c r="D573" s="12" t="str">
        <x:v>VinFast HTA Mỹ Đình</x:v>
      </x:c>
      <x:c r="E573" s="12" t="str">
        <x:v>VinFast</x:v>
      </x:c>
      <x:c r="F573" s="12" t="str">
        <x:v>VF 7</x:v>
      </x:c>
      <x:c r="G573" s="12" t="n">
        <x:v>7</x:v>
      </x:c>
      <x:c r="H573" s="12" t="n">
        <x:v>815.5</x:v>
      </x:c>
      <x:c r="I573" s="12" t="n">
        <x:v>5.71</x:v>
      </x:c>
      <x:c r="J573" s="16" t="n">
        <x:v>0.04134651874129272</x:v>
      </x:c>
      <x:c r="K573" s="12" t="n">
        <x:v>5.27</x:v>
      </x:c>
      <x:c r="L573" s="12" t="n">
        <x:f>I573-K573</x:f>
        <x:v>0.4400000000000004</x:v>
      </x:c>
      <x:c r="M573" s="16" t="n">
        <x:f>IFERROR(L573/I573,0)</x:f>
        <x:v>0.07705779334500883</x:v>
      </x:c>
    </x:row>
    <x:row r="574">
      <x:c r="A574" s="12" t="str">
        <x:v>SALE-00573</x:v>
      </x:c>
      <x:c r="B574" s="14" t="n">
        <x:v>46204</x:v>
      </x:c>
      <x:c r="C574" s="12" t="str">
        <x:v>DLR-016</x:v>
      </x:c>
      <x:c r="D574" s="12" t="str">
        <x:v>VinFast HTA Mỹ Đình</x:v>
      </x:c>
      <x:c r="E574" s="12" t="str">
        <x:v>VinFast</x:v>
      </x:c>
      <x:c r="F574" s="12" t="str">
        <x:v>VF 8</x:v>
      </x:c>
      <x:c r="G574" s="12" t="n">
        <x:v>8</x:v>
      </x:c>
      <x:c r="H574" s="12" t="n">
        <x:v>963.9</x:v>
      </x:c>
      <x:c r="I574" s="12" t="n">
        <x:v>7.71</x:v>
      </x:c>
      <x:c r="J574" s="16" t="n">
        <x:v>0.05462802457747872</x:v>
      </x:c>
      <x:c r="K574" s="12" t="n">
        <x:v>7.01</x:v>
      </x:c>
      <x:c r="L574" s="12" t="n">
        <x:f>I574-K574</x:f>
        <x:v>0.7000000000000002</x:v>
      </x:c>
      <x:c r="M574" s="16" t="n">
        <x:f>IFERROR(L574/I574,0)</x:f>
        <x:v>0.09079118028534373</x:v>
      </x:c>
    </x:row>
    <x:row r="575">
      <x:c r="A575" s="12" t="str">
        <x:v>SALE-00574</x:v>
      </x:c>
      <x:c r="B575" s="14" t="n">
        <x:v>46204</x:v>
      </x:c>
      <x:c r="C575" s="12" t="str">
        <x:v>DLR-016</x:v>
      </x:c>
      <x:c r="D575" s="12" t="str">
        <x:v>VinFast HTA Mỹ Đình</x:v>
      </x:c>
      <x:c r="E575" s="12" t="str">
        <x:v>VinFast</x:v>
      </x:c>
      <x:c r="F575" s="12" t="str">
        <x:v>VF 9</x:v>
      </x:c>
      <x:c r="G575" s="12" t="n">
        <x:v>6</x:v>
      </x:c>
      <x:c r="H575" s="12" t="n">
        <x:v>1469.8</x:v>
      </x:c>
      <x:c r="I575" s="12" t="n">
        <x:v>8.82</x:v>
      </x:c>
      <x:c r="J575" s="16" t="n">
        <x:v>0.05181568737913183</x:v>
      </x:c>
      <x:c r="K575" s="12" t="n">
        <x:v>8.13</x:v>
      </x:c>
      <x:c r="L575" s="12" t="n">
        <x:f>I575-K575</x:f>
        <x:v>0.6899999999999995</x:v>
      </x:c>
      <x:c r="M575" s="16" t="n">
        <x:f>IFERROR(L575/I575,0)</x:f>
        <x:v>0.07823129251700674</x:v>
      </x:c>
    </x:row>
    <x:row r="576">
      <x:c r="A576" s="12" t="str">
        <x:v>SALE-00575</x:v>
      </x:c>
      <x:c r="B576" s="14" t="n">
        <x:v>46023</x:v>
      </x:c>
      <x:c r="C576" s="12" t="str">
        <x:v>DLR-017</x:v>
      </x:c>
      <x:c r="D576" s="12" t="str">
        <x:v>VinFast Quốc Oai</x:v>
      </x:c>
      <x:c r="E576" s="12" t="str">
        <x:v>VinFast</x:v>
      </x:c>
      <x:c r="F576" s="12" t="str">
        <x:v>VF 3</x:v>
      </x:c>
      <x:c r="G576" s="12" t="n">
        <x:v>8</x:v>
      </x:c>
      <x:c r="H576" s="12" t="n">
        <x:v>305.2</x:v>
      </x:c>
      <x:c r="I576" s="12" t="n">
        <x:v>2.44</x:v>
      </x:c>
      <x:c r="J576" s="16" t="n">
        <x:v>0.05082006061443596</x:v>
      </x:c>
      <x:c r="K576" s="12" t="n">
        <x:v>2.23</x:v>
      </x:c>
      <x:c r="L576" s="12" t="n">
        <x:f>I576-K576</x:f>
        <x:v>0.20999999999999996</x:v>
      </x:c>
      <x:c r="M576" s="16" t="n">
        <x:f>IFERROR(L576/I576,0)</x:f>
        <x:v>0.08606557377049179</x:v>
      </x:c>
    </x:row>
    <x:row r="577">
      <x:c r="A577" s="12" t="str">
        <x:v>SALE-00576</x:v>
      </x:c>
      <x:c r="B577" s="14" t="n">
        <x:v>46023</x:v>
      </x:c>
      <x:c r="C577" s="12" t="str">
        <x:v>DLR-017</x:v>
      </x:c>
      <x:c r="D577" s="12" t="str">
        <x:v>VinFast Quốc Oai</x:v>
      </x:c>
      <x:c r="E577" s="12" t="str">
        <x:v>VinFast</x:v>
      </x:c>
      <x:c r="F577" s="12" t="str">
        <x:v>VF 5</x:v>
      </x:c>
      <x:c r="G577" s="12" t="n">
        <x:v>8</x:v>
      </x:c>
      <x:c r="H577" s="12" t="n">
        <x:v>500.9</x:v>
      </x:c>
      <x:c r="I577" s="12" t="n">
        <x:v>4.01</x:v>
      </x:c>
      <x:c r="J577" s="16" t="n">
        <x:v>0.04575816191680162</x:v>
      </x:c>
      <x:c r="K577" s="12" t="n">
        <x:v>3.68</x:v>
      </x:c>
      <x:c r="L577" s="12" t="n">
        <x:f>I577-K577</x:f>
        <x:v>0.3299999999999996</x:v>
      </x:c>
      <x:c r="M577" s="16" t="n">
        <x:f>IFERROR(L577/I577,0)</x:f>
        <x:v>0.08229426433915203</x:v>
      </x:c>
    </x:row>
    <x:row r="578">
      <x:c r="A578" s="12" t="str">
        <x:v>SALE-00577</x:v>
      </x:c>
      <x:c r="B578" s="14" t="n">
        <x:v>46023</x:v>
      </x:c>
      <x:c r="C578" s="12" t="str">
        <x:v>DLR-017</x:v>
      </x:c>
      <x:c r="D578" s="12" t="str">
        <x:v>VinFast Quốc Oai</x:v>
      </x:c>
      <x:c r="E578" s="12" t="str">
        <x:v>VinFast</x:v>
      </x:c>
      <x:c r="F578" s="12" t="str">
        <x:v>VF 6</x:v>
      </x:c>
      <x:c r="G578" s="12" t="n">
        <x:v>6</x:v>
      </x:c>
      <x:c r="H578" s="12" t="n">
        <x:v>683.3</x:v>
      </x:c>
      <x:c r="I578" s="12" t="n">
        <x:v>4.1</x:v>
      </x:c>
      <x:c r="J578" s="16" t="n">
        <x:v>0.016771867741113982</x:v>
      </x:c>
      <x:c r="K578" s="12" t="n">
        <x:v>3.85</x:v>
      </x:c>
      <x:c r="L578" s="12" t="n">
        <x:f>I578-K578</x:f>
        <x:v>0.24999999999999956</x:v>
      </x:c>
      <x:c r="M578" s="16" t="n">
        <x:f>IFERROR(L578/I578,0)</x:f>
        <x:v>0.060975609756097456</x:v>
      </x:c>
    </x:row>
    <x:row r="579">
      <x:c r="A579" s="12" t="str">
        <x:v>SALE-00578</x:v>
      </x:c>
      <x:c r="B579" s="14" t="n">
        <x:v>46023</x:v>
      </x:c>
      <x:c r="C579" s="12" t="str">
        <x:v>DLR-017</x:v>
      </x:c>
      <x:c r="D579" s="12" t="str">
        <x:v>VinFast Quốc Oai</x:v>
      </x:c>
      <x:c r="E579" s="12" t="str">
        <x:v>VinFast</x:v>
      </x:c>
      <x:c r="F579" s="12" t="str">
        <x:v>VF 7</x:v>
      </x:c>
      <x:c r="G579" s="12" t="n">
        <x:v>8</x:v>
      </x:c>
      <x:c r="H579" s="12" t="n">
        <x:v>826.2</x:v>
      </x:c>
      <x:c r="I579" s="12" t="n">
        <x:v>6.61</x:v>
      </x:c>
      <x:c r="J579" s="16" t="n">
        <x:v>0.04510731110918423</x:v>
      </x:c>
      <x:c r="K579" s="12" t="n">
        <x:v>6.2</x:v>
      </x:c>
      <x:c r="L579" s="12" t="n">
        <x:f>I579-K579</x:f>
        <x:v>0.41000000000000014</x:v>
      </x:c>
      <x:c r="M579" s="16" t="n">
        <x:f>IFERROR(L579/I579,0)</x:f>
        <x:v>0.06202723146747354</x:v>
      </x:c>
    </x:row>
    <x:row r="580">
      <x:c r="A580" s="12" t="str">
        <x:v>SALE-00579</x:v>
      </x:c>
      <x:c r="B580" s="14" t="n">
        <x:v>46023</x:v>
      </x:c>
      <x:c r="C580" s="12" t="str">
        <x:v>DLR-017</x:v>
      </x:c>
      <x:c r="D580" s="12" t="str">
        <x:v>VinFast Quốc Oai</x:v>
      </x:c>
      <x:c r="E580" s="12" t="str">
        <x:v>VinFast</x:v>
      </x:c>
      <x:c r="F580" s="12" t="str">
        <x:v>VF 8</x:v>
      </x:c>
      <x:c r="G580" s="12" t="n">
        <x:v>6</x:v>
      </x:c>
      <x:c r="H580" s="12" t="n">
        <x:v>958.7</x:v>
      </x:c>
      <x:c r="I580" s="12" t="n">
        <x:v>5.75</x:v>
      </x:c>
      <x:c r="J580" s="16" t="n">
        <x:v>0.025349534816146217</x:v>
      </x:c>
      <x:c r="K580" s="12" t="n">
        <x:v>5.24</x:v>
      </x:c>
      <x:c r="L580" s="12" t="n">
        <x:f>I580-K580</x:f>
        <x:v>0.5099999999999998</x:v>
      </x:c>
      <x:c r="M580" s="16" t="n">
        <x:f>IFERROR(L580/I580,0)</x:f>
        <x:v>0.08869565217391301</x:v>
      </x:c>
    </x:row>
    <x:row r="581">
      <x:c r="A581" s="12" t="str">
        <x:v>SALE-00580</x:v>
      </x:c>
      <x:c r="B581" s="14" t="n">
        <x:v>46023</x:v>
      </x:c>
      <x:c r="C581" s="12" t="str">
        <x:v>DLR-017</x:v>
      </x:c>
      <x:c r="D581" s="12" t="str">
        <x:v>VinFast Quốc Oai</x:v>
      </x:c>
      <x:c r="E581" s="12" t="str">
        <x:v>VinFast</x:v>
      </x:c>
      <x:c r="F581" s="12" t="str">
        <x:v>VF 9</x:v>
      </x:c>
      <x:c r="G581" s="12" t="n">
        <x:v>7</x:v>
      </x:c>
      <x:c r="H581" s="12" t="n">
        <x:v>1478.7</x:v>
      </x:c>
      <x:c r="I581" s="12" t="n">
        <x:v>10.35</x:v>
      </x:c>
      <x:c r="J581" s="16" t="n">
        <x:v>0.038009415930817046</x:v>
      </x:c>
      <x:c r="K581" s="12" t="n">
        <x:v>9.39</x:v>
      </x:c>
      <x:c r="L581" s="12" t="n">
        <x:f>I581-K581</x:f>
        <x:v>0.9599999999999991</x:v>
      </x:c>
      <x:c r="M581" s="16" t="n">
        <x:f>IFERROR(L581/I581,0)</x:f>
        <x:v>0.09275362318840571</x:v>
      </x:c>
    </x:row>
    <x:row r="582">
      <x:c r="A582" s="12" t="str">
        <x:v>SALE-00581</x:v>
      </x:c>
      <x:c r="B582" s="14" t="n">
        <x:v>46054</x:v>
      </x:c>
      <x:c r="C582" s="12" t="str">
        <x:v>DLR-017</x:v>
      </x:c>
      <x:c r="D582" s="12" t="str">
        <x:v>VinFast Quốc Oai</x:v>
      </x:c>
      <x:c r="E582" s="12" t="str">
        <x:v>VinFast</x:v>
      </x:c>
      <x:c r="F582" s="12" t="str">
        <x:v>VF 3</x:v>
      </x:c>
      <x:c r="G582" s="12" t="n">
        <x:v>6</x:v>
      </x:c>
      <x:c r="H582" s="12" t="n">
        <x:v>315.6</x:v>
      </x:c>
      <x:c r="I582" s="12" t="n">
        <x:v>1.89</x:v>
      </x:c>
      <x:c r="J582" s="16" t="n">
        <x:v>0.03854359826160589</x:v>
      </x:c>
      <x:c r="K582" s="12" t="n">
        <x:v>1.72</x:v>
      </x:c>
      <x:c r="L582" s="12" t="n">
        <x:f>I582-K582</x:f>
        <x:v>0.16999999999999993</x:v>
      </x:c>
      <x:c r="M582" s="16" t="n">
        <x:f>IFERROR(L582/I582,0)</x:f>
        <x:v>0.08994708994708991</x:v>
      </x:c>
    </x:row>
    <x:row r="583">
      <x:c r="A583" s="12" t="str">
        <x:v>SALE-00582</x:v>
      </x:c>
      <x:c r="B583" s="14" t="n">
        <x:v>46054</x:v>
      </x:c>
      <x:c r="C583" s="12" t="str">
        <x:v>DLR-017</x:v>
      </x:c>
      <x:c r="D583" s="12" t="str">
        <x:v>VinFast Quốc Oai</x:v>
      </x:c>
      <x:c r="E583" s="12" t="str">
        <x:v>VinFast</x:v>
      </x:c>
      <x:c r="F583" s="12" t="str">
        <x:v>VF 5</x:v>
      </x:c>
      <x:c r="G583" s="12" t="n">
        <x:v>6</x:v>
      </x:c>
      <x:c r="H583" s="12" t="n">
        <x:v>498.3</x:v>
      </x:c>
      <x:c r="I583" s="12" t="n">
        <x:v>2.99</x:v>
      </x:c>
      <x:c r="J583" s="16" t="n">
        <x:v>0.01918197432024247</x:v>
      </x:c>
      <x:c r="K583" s="12" t="n">
        <x:v>2.71</x:v>
      </x:c>
      <x:c r="L583" s="12" t="n">
        <x:f>I583-K583</x:f>
        <x:v>0.28000000000000025</x:v>
      </x:c>
      <x:c r="M583" s="16" t="n">
        <x:f>IFERROR(L583/I583,0)</x:f>
        <x:v>0.09364548494983285</x:v>
      </x:c>
    </x:row>
    <x:row r="584">
      <x:c r="A584" s="12" t="str">
        <x:v>SALE-00583</x:v>
      </x:c>
      <x:c r="B584" s="14" t="n">
        <x:v>46054</x:v>
      </x:c>
      <x:c r="C584" s="12" t="str">
        <x:v>DLR-017</x:v>
      </x:c>
      <x:c r="D584" s="12" t="str">
        <x:v>VinFast Quốc Oai</x:v>
      </x:c>
      <x:c r="E584" s="12" t="str">
        <x:v>VinFast</x:v>
      </x:c>
      <x:c r="F584" s="12" t="str">
        <x:v>VF 6</x:v>
      </x:c>
      <x:c r="G584" s="12" t="n">
        <x:v>10</x:v>
      </x:c>
      <x:c r="H584" s="12" t="n">
        <x:v>654.1</x:v>
      </x:c>
      <x:c r="I584" s="12" t="n">
        <x:v>6.54</x:v>
      </x:c>
      <x:c r="J584" s="16" t="n">
        <x:v>0.05262704632584772</x:v>
      </x:c>
      <x:c r="K584" s="12" t="n">
        <x:v>5.81</x:v>
      </x:c>
      <x:c r="L584" s="12" t="n">
        <x:f>I584-K584</x:f>
        <x:v>0.7300000000000004</x:v>
      </x:c>
      <x:c r="M584" s="16" t="n">
        <x:f>IFERROR(L584/I584,0)</x:f>
        <x:v>0.11162079510703371</x:v>
      </x:c>
    </x:row>
    <x:row r="585">
      <x:c r="A585" s="12" t="str">
        <x:v>SALE-00584</x:v>
      </x:c>
      <x:c r="B585" s="14" t="n">
        <x:v>46054</x:v>
      </x:c>
      <x:c r="C585" s="12" t="str">
        <x:v>DLR-017</x:v>
      </x:c>
      <x:c r="D585" s="12" t="str">
        <x:v>VinFast Quốc Oai</x:v>
      </x:c>
      <x:c r="E585" s="12" t="str">
        <x:v>VinFast</x:v>
      </x:c>
      <x:c r="F585" s="12" t="str">
        <x:v>VF 7</x:v>
      </x:c>
      <x:c r="G585" s="12" t="n">
        <x:v>6</x:v>
      </x:c>
      <x:c r="H585" s="12" t="n">
        <x:v>830</x:v>
      </x:c>
      <x:c r="I585" s="12" t="n">
        <x:v>4.98</x:v>
      </x:c>
      <x:c r="J585" s="16" t="n">
        <x:v>0.02327469304833258</x:v>
      </x:c>
      <x:c r="K585" s="12" t="n">
        <x:v>4.53</x:v>
      </x:c>
      <x:c r="L585" s="12" t="n">
        <x:f>I585-K585</x:f>
        <x:v>0.4500000000000002</x:v>
      </x:c>
      <x:c r="M585" s="16" t="n">
        <x:f>IFERROR(L585/I585,0)</x:f>
        <x:v>0.09036144578313256</x:v>
      </x:c>
    </x:row>
    <x:row r="586">
      <x:c r="A586" s="12" t="str">
        <x:v>SALE-00585</x:v>
      </x:c>
      <x:c r="B586" s="14" t="n">
        <x:v>46054</x:v>
      </x:c>
      <x:c r="C586" s="12" t="str">
        <x:v>DLR-017</x:v>
      </x:c>
      <x:c r="D586" s="12" t="str">
        <x:v>VinFast Quốc Oai</x:v>
      </x:c>
      <x:c r="E586" s="12" t="str">
        <x:v>VinFast</x:v>
      </x:c>
      <x:c r="F586" s="12" t="str">
        <x:v>VF 8</x:v>
      </x:c>
      <x:c r="G586" s="12" t="n">
        <x:v>7</x:v>
      </x:c>
      <x:c r="H586" s="12" t="n">
        <x:v>993.6</x:v>
      </x:c>
      <x:c r="I586" s="12" t="n">
        <x:v>6.96</x:v>
      </x:c>
      <x:c r="J586" s="16" t="n">
        <x:v>0.042870530620946645</x:v>
      </x:c>
      <x:c r="K586" s="12" t="n">
        <x:v>6.25</x:v>
      </x:c>
      <x:c r="L586" s="12" t="n">
        <x:f>I586-K586</x:f>
        <x:v>0.71</x:v>
      </x:c>
      <x:c r="M586" s="16" t="n">
        <x:f>IFERROR(L586/I586,0)</x:f>
        <x:v>0.10201149425287356</x:v>
      </x:c>
    </x:row>
    <x:row r="587">
      <x:c r="A587" s="12" t="str">
        <x:v>SALE-00586</x:v>
      </x:c>
      <x:c r="B587" s="14" t="n">
        <x:v>46054</x:v>
      </x:c>
      <x:c r="C587" s="12" t="str">
        <x:v>DLR-017</x:v>
      </x:c>
      <x:c r="D587" s="12" t="str">
        <x:v>VinFast Quốc Oai</x:v>
      </x:c>
      <x:c r="E587" s="12" t="str">
        <x:v>VinFast</x:v>
      </x:c>
      <x:c r="F587" s="12" t="str">
        <x:v>VF 9</x:v>
      </x:c>
      <x:c r="G587" s="12" t="n">
        <x:v>6</x:v>
      </x:c>
      <x:c r="H587" s="12" t="n">
        <x:v>1506.2</x:v>
      </x:c>
      <x:c r="I587" s="12" t="n">
        <x:v>9.04</x:v>
      </x:c>
      <x:c r="J587" s="16" t="n">
        <x:v>0.01960341066795144</x:v>
      </x:c>
      <x:c r="K587" s="12" t="n">
        <x:v>8.41</x:v>
      </x:c>
      <x:c r="L587" s="12" t="n">
        <x:f>I587-K587</x:f>
        <x:v>0.629999999999999</x:v>
      </x:c>
      <x:c r="M587" s="16" t="n">
        <x:f>IFERROR(L587/I587,0)</x:f>
        <x:v>0.06969026548672556</x:v>
      </x:c>
    </x:row>
    <x:row r="588">
      <x:c r="A588" s="12" t="str">
        <x:v>SALE-00587</x:v>
      </x:c>
      <x:c r="B588" s="14" t="n">
        <x:v>46082</x:v>
      </x:c>
      <x:c r="C588" s="12" t="str">
        <x:v>DLR-017</x:v>
      </x:c>
      <x:c r="D588" s="12" t="str">
        <x:v>VinFast Quốc Oai</x:v>
      </x:c>
      <x:c r="E588" s="12" t="str">
        <x:v>VinFast</x:v>
      </x:c>
      <x:c r="F588" s="12" t="str">
        <x:v>VF 3</x:v>
      </x:c>
      <x:c r="G588" s="12" t="n">
        <x:v>8</x:v>
      </x:c>
      <x:c r="H588" s="12" t="n">
        <x:v>313.2</x:v>
      </x:c>
      <x:c r="I588" s="12" t="n">
        <x:v>2.51</x:v>
      </x:c>
      <x:c r="J588" s="16" t="n">
        <x:v>0.02157416371402813</x:v>
      </x:c>
      <x:c r="K588" s="12" t="n">
        <x:v>2.35</x:v>
      </x:c>
      <x:c r="L588" s="12" t="n">
        <x:f>I588-K588</x:f>
        <x:v>0.1599999999999997</x:v>
      </x:c>
      <x:c r="M588" s="16" t="n">
        <x:f>IFERROR(L588/I588,0)</x:f>
        <x:v>0.06374501992031861</x:v>
      </x:c>
    </x:row>
    <x:row r="589">
      <x:c r="A589" s="12" t="str">
        <x:v>SALE-00588</x:v>
      </x:c>
      <x:c r="B589" s="14" t="n">
        <x:v>46082</x:v>
      </x:c>
      <x:c r="C589" s="12" t="str">
        <x:v>DLR-017</x:v>
      </x:c>
      <x:c r="D589" s="12" t="str">
        <x:v>VinFast Quốc Oai</x:v>
      </x:c>
      <x:c r="E589" s="12" t="str">
        <x:v>VinFast</x:v>
      </x:c>
      <x:c r="F589" s="12" t="str">
        <x:v>VF 5</x:v>
      </x:c>
      <x:c r="G589" s="12" t="n">
        <x:v>6</x:v>
      </x:c>
      <x:c r="H589" s="12" t="n">
        <x:v>504.6</x:v>
      </x:c>
      <x:c r="I589" s="12" t="n">
        <x:v>3.03</x:v>
      </x:c>
      <x:c r="J589" s="16" t="n">
        <x:v>0.021405428448614372</x:v>
      </x:c>
      <x:c r="K589" s="12" t="n">
        <x:v>2.77</x:v>
      </x:c>
      <x:c r="L589" s="12" t="n">
        <x:f>I589-K589</x:f>
        <x:v>0.2599999999999998</x:v>
      </x:c>
      <x:c r="M589" s="16" t="n">
        <x:f>IFERROR(L589/I589,0)</x:f>
        <x:v>0.08580858085808575</x:v>
      </x:c>
    </x:row>
    <x:row r="590">
      <x:c r="A590" s="12" t="str">
        <x:v>SALE-00589</x:v>
      </x:c>
      <x:c r="B590" s="14" t="n">
        <x:v>46082</x:v>
      </x:c>
      <x:c r="C590" s="12" t="str">
        <x:v>DLR-017</x:v>
      </x:c>
      <x:c r="D590" s="12" t="str">
        <x:v>VinFast Quốc Oai</x:v>
      </x:c>
      <x:c r="E590" s="12" t="str">
        <x:v>VinFast</x:v>
      </x:c>
      <x:c r="F590" s="12" t="str">
        <x:v>VF 6</x:v>
      </x:c>
      <x:c r="G590" s="12" t="n">
        <x:v>10</x:v>
      </x:c>
      <x:c r="H590" s="12" t="n">
        <x:v>660.4</x:v>
      </x:c>
      <x:c r="I590" s="12" t="n">
        <x:v>6.6</x:v>
      </x:c>
      <x:c r="J590" s="16" t="n">
        <x:v>0.031201897451210114</x:v>
      </x:c>
      <x:c r="K590" s="12" t="n">
        <x:v>5.88</x:v>
      </x:c>
      <x:c r="L590" s="12" t="n">
        <x:f>I590-K590</x:f>
        <x:v>0.7199999999999998</x:v>
      </x:c>
      <x:c r="M590" s="16" t="n">
        <x:f>IFERROR(L590/I590,0)</x:f>
        <x:v>0.10909090909090906</x:v>
      </x:c>
    </x:row>
    <x:row r="591">
      <x:c r="A591" s="12" t="str">
        <x:v>SALE-00590</x:v>
      </x:c>
      <x:c r="B591" s="14" t="n">
        <x:v>46082</x:v>
      </x:c>
      <x:c r="C591" s="12" t="str">
        <x:v>DLR-017</x:v>
      </x:c>
      <x:c r="D591" s="12" t="str">
        <x:v>VinFast Quốc Oai</x:v>
      </x:c>
      <x:c r="E591" s="12" t="str">
        <x:v>VinFast</x:v>
      </x:c>
      <x:c r="F591" s="12" t="str">
        <x:v>VF 7</x:v>
      </x:c>
      <x:c r="G591" s="12" t="n">
        <x:v>8</x:v>
      </x:c>
      <x:c r="H591" s="12" t="n">
        <x:v>828.4</x:v>
      </x:c>
      <x:c r="I591" s="12" t="n">
        <x:v>6.63</x:v>
      </x:c>
      <x:c r="J591" s="16" t="n">
        <x:v>0.016167690973695623</x:v>
      </x:c>
      <x:c r="K591" s="12" t="n">
        <x:v>6.08</x:v>
      </x:c>
      <x:c r="L591" s="12" t="n">
        <x:f>I591-K591</x:f>
        <x:v>0.5499999999999998</x:v>
      </x:c>
      <x:c r="M591" s="16" t="n">
        <x:f>IFERROR(L591/I591,0)</x:f>
        <x:v>0.08295625942684763</x:v>
      </x:c>
    </x:row>
    <x:row r="592">
      <x:c r="A592" s="12" t="str">
        <x:v>SALE-00591</x:v>
      </x:c>
      <x:c r="B592" s="14" t="n">
        <x:v>46082</x:v>
      </x:c>
      <x:c r="C592" s="12" t="str">
        <x:v>DLR-017</x:v>
      </x:c>
      <x:c r="D592" s="12" t="str">
        <x:v>VinFast Quốc Oai</x:v>
      </x:c>
      <x:c r="E592" s="12" t="str">
        <x:v>VinFast</x:v>
      </x:c>
      <x:c r="F592" s="12" t="str">
        <x:v>VF 8</x:v>
      </x:c>
      <x:c r="G592" s="12" t="n">
        <x:v>6</x:v>
      </x:c>
      <x:c r="H592" s="12" t="n">
        <x:v>1006.1</x:v>
      </x:c>
      <x:c r="I592" s="12" t="n">
        <x:v>6.04</x:v>
      </x:c>
      <x:c r="J592" s="16" t="n">
        <x:v>0.030553431214228283</x:v>
      </x:c>
      <x:c r="K592" s="12" t="n">
        <x:v>5.57</x:v>
      </x:c>
      <x:c r="L592" s="12" t="n">
        <x:f>I592-K592</x:f>
        <x:v>0.46999999999999975</x:v>
      </x:c>
      <x:c r="M592" s="16" t="n">
        <x:f>IFERROR(L592/I592,0)</x:f>
        <x:v>0.0778145695364238</x:v>
      </x:c>
    </x:row>
    <x:row r="593">
      <x:c r="A593" s="12" t="str">
        <x:v>SALE-00592</x:v>
      </x:c>
      <x:c r="B593" s="14" t="n">
        <x:v>46082</x:v>
      </x:c>
      <x:c r="C593" s="12" t="str">
        <x:v>DLR-017</x:v>
      </x:c>
      <x:c r="D593" s="12" t="str">
        <x:v>VinFast Quốc Oai</x:v>
      </x:c>
      <x:c r="E593" s="12" t="str">
        <x:v>VinFast</x:v>
      </x:c>
      <x:c r="F593" s="12" t="str">
        <x:v>VF 9</x:v>
      </x:c>
      <x:c r="G593" s="12" t="n">
        <x:v>6</x:v>
      </x:c>
      <x:c r="H593" s="12" t="n">
        <x:v>1499.3</x:v>
      </x:c>
      <x:c r="I593" s="12" t="n">
        <x:v>9</x:v>
      </x:c>
      <x:c r="J593" s="16" t="n">
        <x:v>0.047349191545250434</x:v>
      </x:c>
      <x:c r="K593" s="12" t="n">
        <x:v>7.95</x:v>
      </x:c>
      <x:c r="L593" s="12" t="n">
        <x:f>I593-K593</x:f>
        <x:v>1.0499999999999998</x:v>
      </x:c>
      <x:c r="M593" s="16" t="n">
        <x:f>IFERROR(L593/I593,0)</x:f>
        <x:v>0.11666666666666664</x:v>
      </x:c>
    </x:row>
    <x:row r="594">
      <x:c r="A594" s="12" t="str">
        <x:v>SALE-00593</x:v>
      </x:c>
      <x:c r="B594" s="14" t="n">
        <x:v>46113</x:v>
      </x:c>
      <x:c r="C594" s="12" t="str">
        <x:v>DLR-017</x:v>
      </x:c>
      <x:c r="D594" s="12" t="str">
        <x:v>VinFast Quốc Oai</x:v>
      </x:c>
      <x:c r="E594" s="12" t="str">
        <x:v>VinFast</x:v>
      </x:c>
      <x:c r="F594" s="12" t="str">
        <x:v>VF 3</x:v>
      </x:c>
      <x:c r="G594" s="12" t="n">
        <x:v>5</x:v>
      </x:c>
      <x:c r="H594" s="12" t="n">
        <x:v>318.1</x:v>
      </x:c>
      <x:c r="I594" s="12" t="n">
        <x:v>1.59</x:v>
      </x:c>
      <x:c r="J594" s="16" t="n">
        <x:v>0.022478393425283735</x:v>
      </x:c>
      <x:c r="K594" s="12" t="n">
        <x:v>1.43</x:v>
      </x:c>
      <x:c r="L594" s="12" t="n">
        <x:f>I594-K594</x:f>
        <x:v>0.16000000000000014</x:v>
      </x:c>
      <x:c r="M594" s="16" t="n">
        <x:f>IFERROR(L594/I594,0)</x:f>
        <x:v>0.10062893081761015</x:v>
      </x:c>
    </x:row>
    <x:row r="595">
      <x:c r="A595" s="12" t="str">
        <x:v>SALE-00594</x:v>
      </x:c>
      <x:c r="B595" s="14" t="n">
        <x:v>46113</x:v>
      </x:c>
      <x:c r="C595" s="12" t="str">
        <x:v>DLR-017</x:v>
      </x:c>
      <x:c r="D595" s="12" t="str">
        <x:v>VinFast Quốc Oai</x:v>
      </x:c>
      <x:c r="E595" s="12" t="str">
        <x:v>VinFast</x:v>
      </x:c>
      <x:c r="F595" s="12" t="str">
        <x:v>VF 5</x:v>
      </x:c>
      <x:c r="G595" s="12" t="n">
        <x:v>7</x:v>
      </x:c>
      <x:c r="H595" s="12" t="n">
        <x:v>508.4</x:v>
      </x:c>
      <x:c r="I595" s="12" t="n">
        <x:v>3.56</x:v>
      </x:c>
      <x:c r="J595" s="16" t="n">
        <x:v>0.049505461898292295</x:v>
      </x:c>
      <x:c r="K595" s="12" t="n">
        <x:v>3.24</x:v>
      </x:c>
      <x:c r="L595" s="12" t="n">
        <x:f>I595-K595</x:f>
        <x:v>0.31999999999999984</x:v>
      </x:c>
      <x:c r="M595" s="16" t="n">
        <x:f>IFERROR(L595/I595,0)</x:f>
        <x:v>0.08988764044943816</x:v>
      </x:c>
    </x:row>
    <x:row r="596">
      <x:c r="A596" s="12" t="str">
        <x:v>SALE-00595</x:v>
      </x:c>
      <x:c r="B596" s="14" t="n">
        <x:v>46113</x:v>
      </x:c>
      <x:c r="C596" s="12" t="str">
        <x:v>DLR-017</x:v>
      </x:c>
      <x:c r="D596" s="12" t="str">
        <x:v>VinFast Quốc Oai</x:v>
      </x:c>
      <x:c r="E596" s="12" t="str">
        <x:v>VinFast</x:v>
      </x:c>
      <x:c r="F596" s="12" t="str">
        <x:v>VF 6</x:v>
      </x:c>
      <x:c r="G596" s="12" t="n">
        <x:v>9</x:v>
      </x:c>
      <x:c r="H596" s="12" t="n">
        <x:v>680.6</x:v>
      </x:c>
      <x:c r="I596" s="12" t="n">
        <x:v>6.13</x:v>
      </x:c>
      <x:c r="J596" s="16" t="n">
        <x:v>0.03945233684556007</x:v>
      </x:c>
      <x:c r="K596" s="12" t="n">
        <x:v>5.61</x:v>
      </x:c>
      <x:c r="L596" s="12" t="n">
        <x:f>I596-K596</x:f>
        <x:v>0.5199999999999996</x:v>
      </x:c>
      <x:c r="M596" s="16" t="n">
        <x:f>IFERROR(L596/I596,0)</x:f>
        <x:v>0.08482871125611739</x:v>
      </x:c>
    </x:row>
    <x:row r="597">
      <x:c r="A597" s="12" t="str">
        <x:v>SALE-00596</x:v>
      </x:c>
      <x:c r="B597" s="14" t="n">
        <x:v>46113</x:v>
      </x:c>
      <x:c r="C597" s="12" t="str">
        <x:v>DLR-017</x:v>
      </x:c>
      <x:c r="D597" s="12" t="str">
        <x:v>VinFast Quốc Oai</x:v>
      </x:c>
      <x:c r="E597" s="12" t="str">
        <x:v>VinFast</x:v>
      </x:c>
      <x:c r="F597" s="12" t="str">
        <x:v>VF 7</x:v>
      </x:c>
      <x:c r="G597" s="12" t="n">
        <x:v>7</x:v>
      </x:c>
      <x:c r="H597" s="12" t="n">
        <x:v>856.5</x:v>
      </x:c>
      <x:c r="I597" s="12" t="n">
        <x:v>6</x:v>
      </x:c>
      <x:c r="J597" s="16" t="n">
        <x:v>0.039694507173457</x:v>
      </x:c>
      <x:c r="K597" s="12" t="n">
        <x:v>5.57</x:v>
      </x:c>
      <x:c r="L597" s="12" t="n">
        <x:f>I597-K597</x:f>
        <x:v>0.4299999999999997</x:v>
      </x:c>
      <x:c r="M597" s="16" t="n">
        <x:f>IFERROR(L597/I597,0)</x:f>
        <x:v>0.07166666666666661</x:v>
      </x:c>
    </x:row>
    <x:row r="598">
      <x:c r="A598" s="12" t="str">
        <x:v>SALE-00597</x:v>
      </x:c>
      <x:c r="B598" s="14" t="n">
        <x:v>46113</x:v>
      </x:c>
      <x:c r="C598" s="12" t="str">
        <x:v>DLR-017</x:v>
      </x:c>
      <x:c r="D598" s="12" t="str">
        <x:v>VinFast Quốc Oai</x:v>
      </x:c>
      <x:c r="E598" s="12" t="str">
        <x:v>VinFast</x:v>
      </x:c>
      <x:c r="F598" s="12" t="str">
        <x:v>VF 8</x:v>
      </x:c>
      <x:c r="G598" s="12" t="n">
        <x:v>9</x:v>
      </x:c>
      <x:c r="H598" s="12" t="n">
        <x:v>982.1</x:v>
      </x:c>
      <x:c r="I598" s="12" t="n">
        <x:v>8.84</x:v>
      </x:c>
      <x:c r="J598" s="16" t="n">
        <x:v>0.03957938062851678</x:v>
      </x:c>
      <x:c r="K598" s="12" t="n">
        <x:v>7.82</x:v>
      </x:c>
      <x:c r="L598" s="12" t="n">
        <x:f>I598-K598</x:f>
        <x:v>1.0199999999999996</x:v>
      </x:c>
      <x:c r="M598" s="16" t="n">
        <x:f>IFERROR(L598/I598,0)</x:f>
        <x:v>0.11538461538461534</x:v>
      </x:c>
    </x:row>
    <x:row r="599">
      <x:c r="A599" s="12" t="str">
        <x:v>SALE-00598</x:v>
      </x:c>
      <x:c r="B599" s="14" t="n">
        <x:v>46113</x:v>
      </x:c>
      <x:c r="C599" s="12" t="str">
        <x:v>DLR-017</x:v>
      </x:c>
      <x:c r="D599" s="12" t="str">
        <x:v>VinFast Quốc Oai</x:v>
      </x:c>
      <x:c r="E599" s="12" t="str">
        <x:v>VinFast</x:v>
      </x:c>
      <x:c r="F599" s="12" t="str">
        <x:v>VF 9</x:v>
      </x:c>
      <x:c r="G599" s="12" t="n">
        <x:v>5</x:v>
      </x:c>
      <x:c r="H599" s="12" t="n">
        <x:v>1423.2</x:v>
      </x:c>
      <x:c r="I599" s="12" t="n">
        <x:v>7.12</x:v>
      </x:c>
      <x:c r="J599" s="16" t="n">
        <x:v>0.027215200101419958</x:v>
      </x:c>
      <x:c r="K599" s="12" t="n">
        <x:v>6.34</x:v>
      </x:c>
      <x:c r="L599" s="12" t="n">
        <x:f>I599-K599</x:f>
        <x:v>0.7800000000000002</x:v>
      </x:c>
      <x:c r="M599" s="16" t="n">
        <x:f>IFERROR(L599/I599,0)</x:f>
        <x:v>0.10955056179775284</x:v>
      </x:c>
    </x:row>
    <x:row r="600">
      <x:c r="A600" s="12" t="str">
        <x:v>SALE-00599</x:v>
      </x:c>
      <x:c r="B600" s="14" t="n">
        <x:v>46143</x:v>
      </x:c>
      <x:c r="C600" s="12" t="str">
        <x:v>DLR-017</x:v>
      </x:c>
      <x:c r="D600" s="12" t="str">
        <x:v>VinFast Quốc Oai</x:v>
      </x:c>
      <x:c r="E600" s="12" t="str">
        <x:v>VinFast</x:v>
      </x:c>
      <x:c r="F600" s="12" t="str">
        <x:v>VF 3</x:v>
      </x:c>
      <x:c r="G600" s="12" t="n">
        <x:v>9</x:v>
      </x:c>
      <x:c r="H600" s="12" t="n">
        <x:v>309</x:v>
      </x:c>
      <x:c r="I600" s="12" t="n">
        <x:v>2.78</x:v>
      </x:c>
      <x:c r="J600" s="16" t="n">
        <x:v>0.031729564248450345</x:v>
      </x:c>
      <x:c r="K600" s="12" t="n">
        <x:v>2.47</x:v>
      </x:c>
      <x:c r="L600" s="12" t="n">
        <x:f>I600-K600</x:f>
        <x:v>0.3099999999999996</x:v>
      </x:c>
      <x:c r="M600" s="16" t="n">
        <x:f>IFERROR(L600/I600,0)</x:f>
        <x:v>0.11151079136690634</x:v>
      </x:c>
    </x:row>
    <x:row r="601">
      <x:c r="A601" s="12" t="str">
        <x:v>SALE-00600</x:v>
      </x:c>
      <x:c r="B601" s="14" t="n">
        <x:v>46143</x:v>
      </x:c>
      <x:c r="C601" s="12" t="str">
        <x:v>DLR-017</x:v>
      </x:c>
      <x:c r="D601" s="12" t="str">
        <x:v>VinFast Quốc Oai</x:v>
      </x:c>
      <x:c r="E601" s="12" t="str">
        <x:v>VinFast</x:v>
      </x:c>
      <x:c r="F601" s="12" t="str">
        <x:v>VF 5</x:v>
      </x:c>
      <x:c r="G601" s="12" t="n">
        <x:v>7</x:v>
      </x:c>
      <x:c r="H601" s="12" t="n">
        <x:v>505.1</x:v>
      </x:c>
      <x:c r="I601" s="12" t="n">
        <x:v>3.54</x:v>
      </x:c>
      <x:c r="J601" s="16" t="n">
        <x:v>0.04042006568234541</x:v>
      </x:c>
      <x:c r="K601" s="12" t="n">
        <x:v>3.26</x:v>
      </x:c>
      <x:c r="L601" s="12" t="n">
        <x:f>I601-K601</x:f>
        <x:v>0.28000000000000025</x:v>
      </x:c>
      <x:c r="M601" s="16" t="n">
        <x:f>IFERROR(L601/I601,0)</x:f>
        <x:v>0.07909604519774019</x:v>
      </x:c>
    </x:row>
    <x:row r="602">
      <x:c r="A602" s="12" t="str">
        <x:v>SALE-00601</x:v>
      </x:c>
      <x:c r="B602" s="14" t="n">
        <x:v>46143</x:v>
      </x:c>
      <x:c r="C602" s="12" t="str">
        <x:v>DLR-017</x:v>
      </x:c>
      <x:c r="D602" s="12" t="str">
        <x:v>VinFast Quốc Oai</x:v>
      </x:c>
      <x:c r="E602" s="12" t="str">
        <x:v>VinFast</x:v>
      </x:c>
      <x:c r="F602" s="12" t="str">
        <x:v>VF 6</x:v>
      </x:c>
      <x:c r="G602" s="12" t="n">
        <x:v>9</x:v>
      </x:c>
      <x:c r="H602" s="12" t="n">
        <x:v>702.8</x:v>
      </x:c>
      <x:c r="I602" s="12" t="n">
        <x:v>6.32</x:v>
      </x:c>
      <x:c r="J602" s="16" t="n">
        <x:v>0.037196503033299896</x:v>
      </x:c>
      <x:c r="K602" s="12" t="n">
        <x:v>5.75</x:v>
      </x:c>
      <x:c r="L602" s="12" t="n">
        <x:f>I602-K602</x:f>
        <x:v>0.5700000000000003</x:v>
      </x:c>
      <x:c r="M602" s="16" t="n">
        <x:f>IFERROR(L602/I602,0)</x:f>
        <x:v>0.09018987341772156</x:v>
      </x:c>
    </x:row>
    <x:row r="603">
      <x:c r="A603" s="12" t="str">
        <x:v>SALE-00602</x:v>
      </x:c>
      <x:c r="B603" s="14" t="n">
        <x:v>46143</x:v>
      </x:c>
      <x:c r="C603" s="12" t="str">
        <x:v>DLR-017</x:v>
      </x:c>
      <x:c r="D603" s="12" t="str">
        <x:v>VinFast Quốc Oai</x:v>
      </x:c>
      <x:c r="E603" s="12" t="str">
        <x:v>VinFast</x:v>
      </x:c>
      <x:c r="F603" s="12" t="str">
        <x:v>VF 7</x:v>
      </x:c>
      <x:c r="G603" s="12" t="n">
        <x:v>6</x:v>
      </x:c>
      <x:c r="H603" s="12" t="n">
        <x:v>820.4</x:v>
      </x:c>
      <x:c r="I603" s="12" t="n">
        <x:v>4.92</x:v>
      </x:c>
      <x:c r="J603" s="16" t="n">
        <x:v>0.033040038829866045</x:v>
      </x:c>
      <x:c r="K603" s="12" t="n">
        <x:v>4.35</x:v>
      </x:c>
      <x:c r="L603" s="12" t="n">
        <x:f>I603-K603</x:f>
        <x:v>0.5700000000000003</x:v>
      </x:c>
      <x:c r="M603" s="16" t="n">
        <x:f>IFERROR(L603/I603,0)</x:f>
        <x:v>0.11585365853658543</x:v>
      </x:c>
    </x:row>
    <x:row r="604">
      <x:c r="A604" s="12" t="str">
        <x:v>SALE-00603</x:v>
      </x:c>
      <x:c r="B604" s="14" t="n">
        <x:v>46143</x:v>
      </x:c>
      <x:c r="C604" s="12" t="str">
        <x:v>DLR-017</x:v>
      </x:c>
      <x:c r="D604" s="12" t="str">
        <x:v>VinFast Quốc Oai</x:v>
      </x:c>
      <x:c r="E604" s="12" t="str">
        <x:v>VinFast</x:v>
      </x:c>
      <x:c r="F604" s="12" t="str">
        <x:v>VF 8</x:v>
      </x:c>
      <x:c r="G604" s="12" t="n">
        <x:v>7</x:v>
      </x:c>
      <x:c r="H604" s="12" t="n">
        <x:v>958.6</x:v>
      </x:c>
      <x:c r="I604" s="12" t="n">
        <x:v>6.71</x:v>
      </x:c>
      <x:c r="J604" s="16" t="n">
        <x:v>0.020461388586499835</x:v>
      </x:c>
      <x:c r="K604" s="12" t="n">
        <x:v>6.23</x:v>
      </x:c>
      <x:c r="L604" s="12" t="n">
        <x:f>I604-K604</x:f>
        <x:v>0.47999999999999954</x:v>
      </x:c>
      <x:c r="M604" s="16" t="n">
        <x:f>IFERROR(L604/I604,0)</x:f>
        <x:v>0.07153502235469442</x:v>
      </x:c>
    </x:row>
    <x:row r="605">
      <x:c r="A605" s="12" t="str">
        <x:v>SALE-00604</x:v>
      </x:c>
      <x:c r="B605" s="14" t="n">
        <x:v>46143</x:v>
      </x:c>
      <x:c r="C605" s="12" t="str">
        <x:v>DLR-017</x:v>
      </x:c>
      <x:c r="D605" s="12" t="str">
        <x:v>VinFast Quốc Oai</x:v>
      </x:c>
      <x:c r="E605" s="12" t="str">
        <x:v>VinFast</x:v>
      </x:c>
      <x:c r="F605" s="12" t="str">
        <x:v>VF 9</x:v>
      </x:c>
      <x:c r="G605" s="12" t="n">
        <x:v>11</x:v>
      </x:c>
      <x:c r="H605" s="12" t="n">
        <x:v>1469.7</x:v>
      </x:c>
      <x:c r="I605" s="12" t="n">
        <x:v>16.17</x:v>
      </x:c>
      <x:c r="J605" s="16" t="n">
        <x:v>0.034798793914656144</x:v>
      </x:c>
      <x:c r="K605" s="12" t="n">
        <x:v>14.89</x:v>
      </x:c>
      <x:c r="L605" s="12" t="n">
        <x:f>I605-K605</x:f>
        <x:v>1.2800000000000011</x:v>
      </x:c>
      <x:c r="M605" s="16" t="n">
        <x:f>IFERROR(L605/I605,0)</x:f>
        <x:v>0.0791589363017935</x:v>
      </x:c>
    </x:row>
    <x:row r="606">
      <x:c r="A606" s="12" t="str">
        <x:v>SALE-00605</x:v>
      </x:c>
      <x:c r="B606" s="14" t="n">
        <x:v>46174</x:v>
      </x:c>
      <x:c r="C606" s="12" t="str">
        <x:v>DLR-017</x:v>
      </x:c>
      <x:c r="D606" s="12" t="str">
        <x:v>VinFast Quốc Oai</x:v>
      </x:c>
      <x:c r="E606" s="12" t="str">
        <x:v>VinFast</x:v>
      </x:c>
      <x:c r="F606" s="12" t="str">
        <x:v>VF 3</x:v>
      </x:c>
      <x:c r="G606" s="12" t="n">
        <x:v>8</x:v>
      </x:c>
      <x:c r="H606" s="12" t="n">
        <x:v>317.3</x:v>
      </x:c>
      <x:c r="I606" s="12" t="n">
        <x:v>2.54</x:v>
      </x:c>
      <x:c r="J606" s="16" t="n">
        <x:v>0.03454798047758743</x:v>
      </x:c>
      <x:c r="K606" s="12" t="n">
        <x:v>2.25</x:v>
      </x:c>
      <x:c r="L606" s="12" t="n">
        <x:f>I606-K606</x:f>
        <x:v>0.29000000000000004</x:v>
      </x:c>
      <x:c r="M606" s="16" t="n">
        <x:f>IFERROR(L606/I606,0)</x:f>
        <x:v>0.11417322834645671</x:v>
      </x:c>
    </x:row>
    <x:row r="607">
      <x:c r="A607" s="12" t="str">
        <x:v>SALE-00606</x:v>
      </x:c>
      <x:c r="B607" s="14" t="n">
        <x:v>46174</x:v>
      </x:c>
      <x:c r="C607" s="12" t="str">
        <x:v>DLR-017</x:v>
      </x:c>
      <x:c r="D607" s="12" t="str">
        <x:v>VinFast Quốc Oai</x:v>
      </x:c>
      <x:c r="E607" s="12" t="str">
        <x:v>VinFast</x:v>
      </x:c>
      <x:c r="F607" s="12" t="str">
        <x:v>VF 5</x:v>
      </x:c>
      <x:c r="G607" s="12" t="n">
        <x:v>5</x:v>
      </x:c>
      <x:c r="H607" s="12" t="n">
        <x:v>529.5</x:v>
      </x:c>
      <x:c r="I607" s="12" t="n">
        <x:v>2.65</x:v>
      </x:c>
      <x:c r="J607" s="16" t="n">
        <x:v>0.026683596382348265</x:v>
      </x:c>
      <x:c r="K607" s="12" t="n">
        <x:v>2.37</x:v>
      </x:c>
      <x:c r="L607" s="12" t="n">
        <x:f>I607-K607</x:f>
        <x:v>0.2799999999999998</x:v>
      </x:c>
      <x:c r="M607" s="16" t="n">
        <x:f>IFERROR(L607/I607,0)</x:f>
        <x:v>0.1056603773584905</x:v>
      </x:c>
    </x:row>
    <x:row r="608">
      <x:c r="A608" s="12" t="str">
        <x:v>SALE-00607</x:v>
      </x:c>
      <x:c r="B608" s="14" t="n">
        <x:v>46174</x:v>
      </x:c>
      <x:c r="C608" s="12" t="str">
        <x:v>DLR-017</x:v>
      </x:c>
      <x:c r="D608" s="12" t="str">
        <x:v>VinFast Quốc Oai</x:v>
      </x:c>
      <x:c r="E608" s="12" t="str">
        <x:v>VinFast</x:v>
      </x:c>
      <x:c r="F608" s="12" t="str">
        <x:v>VF 6</x:v>
      </x:c>
      <x:c r="G608" s="12" t="n">
        <x:v>8</x:v>
      </x:c>
      <x:c r="H608" s="12" t="n">
        <x:v>656.9</x:v>
      </x:c>
      <x:c r="I608" s="12" t="n">
        <x:v>5.26</x:v>
      </x:c>
      <x:c r="J608" s="16" t="n">
        <x:v>0.03329285549093797</x:v>
      </x:c>
      <x:c r="K608" s="12" t="n">
        <x:v>4.86</x:v>
      </x:c>
      <x:c r="L608" s="12" t="n">
        <x:f>I608-K608</x:f>
        <x:v>0.39999999999999947</x:v>
      </x:c>
      <x:c r="M608" s="16" t="n">
        <x:f>IFERROR(L608/I608,0)</x:f>
        <x:v>0.07604562737642576</x:v>
      </x:c>
    </x:row>
    <x:row r="609">
      <x:c r="A609" s="12" t="str">
        <x:v>SALE-00608</x:v>
      </x:c>
      <x:c r="B609" s="14" t="n">
        <x:v>46174</x:v>
      </x:c>
      <x:c r="C609" s="12" t="str">
        <x:v>DLR-017</x:v>
      </x:c>
      <x:c r="D609" s="12" t="str">
        <x:v>VinFast Quốc Oai</x:v>
      </x:c>
      <x:c r="E609" s="12" t="str">
        <x:v>VinFast</x:v>
      </x:c>
      <x:c r="F609" s="12" t="str">
        <x:v>VF 7</x:v>
      </x:c>
      <x:c r="G609" s="12" t="n">
        <x:v>10</x:v>
      </x:c>
      <x:c r="H609" s="12" t="n">
        <x:v>836.4</x:v>
      </x:c>
      <x:c r="I609" s="12" t="n">
        <x:v>8.36</x:v>
      </x:c>
      <x:c r="J609" s="16" t="n">
        <x:v>0.019528439811680925</x:v>
      </x:c>
      <x:c r="K609" s="12" t="n">
        <x:v>7.42</x:v>
      </x:c>
      <x:c r="L609" s="12" t="n">
        <x:f>I609-K609</x:f>
        <x:v>0.9399999999999995</x:v>
      </x:c>
      <x:c r="M609" s="16" t="n">
        <x:f>IFERROR(L609/I609,0)</x:f>
        <x:v>0.11244019138755976</x:v>
      </x:c>
    </x:row>
    <x:row r="610">
      <x:c r="A610" s="12" t="str">
        <x:v>SALE-00609</x:v>
      </x:c>
      <x:c r="B610" s="14" t="n">
        <x:v>46174</x:v>
      </x:c>
      <x:c r="C610" s="12" t="str">
        <x:v>DLR-017</x:v>
      </x:c>
      <x:c r="D610" s="12" t="str">
        <x:v>VinFast Quốc Oai</x:v>
      </x:c>
      <x:c r="E610" s="12" t="str">
        <x:v>VinFast</x:v>
      </x:c>
      <x:c r="F610" s="12" t="str">
        <x:v>VF 8</x:v>
      </x:c>
      <x:c r="G610" s="12" t="n">
        <x:v>10</x:v>
      </x:c>
      <x:c r="H610" s="12" t="n">
        <x:v>1025</x:v>
      </x:c>
      <x:c r="I610" s="12" t="n">
        <x:v>10.25</x:v>
      </x:c>
      <x:c r="J610" s="16" t="n">
        <x:v>0.029674470884216837</x:v>
      </x:c>
      <x:c r="K610" s="12" t="n">
        <x:v>9.53</x:v>
      </x:c>
      <x:c r="L610" s="12" t="n">
        <x:f>I610-K610</x:f>
        <x:v>0.7200000000000006</x:v>
      </x:c>
      <x:c r="M610" s="16" t="n">
        <x:f>IFERROR(L610/I610,0)</x:f>
        <x:v>0.07024390243902445</x:v>
      </x:c>
    </x:row>
    <x:row r="611">
      <x:c r="A611" s="12" t="str">
        <x:v>SALE-00610</x:v>
      </x:c>
      <x:c r="B611" s="14" t="n">
        <x:v>46174</x:v>
      </x:c>
      <x:c r="C611" s="12" t="str">
        <x:v>DLR-017</x:v>
      </x:c>
      <x:c r="D611" s="12" t="str">
        <x:v>VinFast Quốc Oai</x:v>
      </x:c>
      <x:c r="E611" s="12" t="str">
        <x:v>VinFast</x:v>
      </x:c>
      <x:c r="F611" s="12" t="str">
        <x:v>VF 9</x:v>
      </x:c>
      <x:c r="G611" s="12" t="n">
        <x:v>5</x:v>
      </x:c>
      <x:c r="H611" s="12" t="n">
        <x:v>1495.3</x:v>
      </x:c>
      <x:c r="I611" s="12" t="n">
        <x:v>7.48</x:v>
      </x:c>
      <x:c r="J611" s="16" t="n">
        <x:v>0.03685413098887859</x:v>
      </x:c>
      <x:c r="K611" s="12" t="n">
        <x:v>7.02</x:v>
      </x:c>
      <x:c r="L611" s="12" t="n">
        <x:f>I611-K611</x:f>
        <x:v>0.46000000000000085</x:v>
      </x:c>
      <x:c r="M611" s="16" t="n">
        <x:f>IFERROR(L611/I611,0)</x:f>
        <x:v>0.06149732620320867</x:v>
      </x:c>
    </x:row>
    <x:row r="612">
      <x:c r="A612" s="12" t="str">
        <x:v>SALE-00611</x:v>
      </x:c>
      <x:c r="B612" s="14" t="n">
        <x:v>46204</x:v>
      </x:c>
      <x:c r="C612" s="12" t="str">
        <x:v>DLR-017</x:v>
      </x:c>
      <x:c r="D612" s="12" t="str">
        <x:v>VinFast Quốc Oai</x:v>
      </x:c>
      <x:c r="E612" s="12" t="str">
        <x:v>VinFast</x:v>
      </x:c>
      <x:c r="F612" s="12" t="str">
        <x:v>VF 3</x:v>
      </x:c>
      <x:c r="G612" s="12" t="n">
        <x:v>6</x:v>
      </x:c>
      <x:c r="H612" s="12" t="n">
        <x:v>317</x:v>
      </x:c>
      <x:c r="I612" s="12" t="n">
        <x:v>1.9</x:v>
      </x:c>
      <x:c r="J612" s="16" t="n">
        <x:v>0.04505381978974689</x:v>
      </x:c>
      <x:c r="K612" s="12" t="n">
        <x:v>1.71</x:v>
      </x:c>
      <x:c r="L612" s="12" t="n">
        <x:f>I612-K612</x:f>
        <x:v>0.18999999999999995</x:v>
      </x:c>
      <x:c r="M612" s="16" t="n">
        <x:f>IFERROR(L612/I612,0)</x:f>
        <x:v>0.09999999999999998</x:v>
      </x:c>
    </x:row>
    <x:row r="613">
      <x:c r="A613" s="12" t="str">
        <x:v>SALE-00612</x:v>
      </x:c>
      <x:c r="B613" s="14" t="n">
        <x:v>46204</x:v>
      </x:c>
      <x:c r="C613" s="12" t="str">
        <x:v>DLR-017</x:v>
      </x:c>
      <x:c r="D613" s="12" t="str">
        <x:v>VinFast Quốc Oai</x:v>
      </x:c>
      <x:c r="E613" s="12" t="str">
        <x:v>VinFast</x:v>
      </x:c>
      <x:c r="F613" s="12" t="str">
        <x:v>VF 5</x:v>
      </x:c>
      <x:c r="G613" s="12" t="n">
        <x:v>12</x:v>
      </x:c>
      <x:c r="H613" s="12" t="n">
        <x:v>516.3</x:v>
      </x:c>
      <x:c r="I613" s="12" t="n">
        <x:v>6.2</x:v>
      </x:c>
      <x:c r="J613" s="16" t="n">
        <x:v>0.02894307907289255</x:v>
      </x:c>
      <x:c r="K613" s="12" t="n">
        <x:v>5.76</x:v>
      </x:c>
      <x:c r="L613" s="12" t="n">
        <x:f>I613-K613</x:f>
        <x:v>0.4400000000000004</x:v>
      </x:c>
      <x:c r="M613" s="16" t="n">
        <x:f>IFERROR(L613/I613,0)</x:f>
        <x:v>0.07096774193548393</x:v>
      </x:c>
    </x:row>
    <x:row r="614">
      <x:c r="A614" s="12" t="str">
        <x:v>SALE-00613</x:v>
      </x:c>
      <x:c r="B614" s="14" t="n">
        <x:v>46204</x:v>
      </x:c>
      <x:c r="C614" s="12" t="str">
        <x:v>DLR-017</x:v>
      </x:c>
      <x:c r="D614" s="12" t="str">
        <x:v>VinFast Quốc Oai</x:v>
      </x:c>
      <x:c r="E614" s="12" t="str">
        <x:v>VinFast</x:v>
      </x:c>
      <x:c r="F614" s="12" t="str">
        <x:v>VF 6</x:v>
      </x:c>
      <x:c r="G614" s="12" t="n">
        <x:v>8</x:v>
      </x:c>
      <x:c r="H614" s="12" t="n">
        <x:v>702.4</x:v>
      </x:c>
      <x:c r="I614" s="12" t="n">
        <x:v>5.62</x:v>
      </x:c>
      <x:c r="J614" s="16" t="n">
        <x:v>0.04602526599523095</x:v>
      </x:c>
      <x:c r="K614" s="12" t="n">
        <x:v>5.03</x:v>
      </x:c>
      <x:c r="L614" s="12" t="n">
        <x:f>I614-K614</x:f>
        <x:v>0.5899999999999999</x:v>
      </x:c>
      <x:c r="M614" s="16" t="n">
        <x:f>IFERROR(L614/I614,0)</x:f>
        <x:v>0.10498220640569392</x:v>
      </x:c>
    </x:row>
    <x:row r="615">
      <x:c r="A615" s="12" t="str">
        <x:v>SALE-00614</x:v>
      </x:c>
      <x:c r="B615" s="14" t="n">
        <x:v>46204</x:v>
      </x:c>
      <x:c r="C615" s="12" t="str">
        <x:v>DLR-017</x:v>
      </x:c>
      <x:c r="D615" s="12" t="str">
        <x:v>VinFast Quốc Oai</x:v>
      </x:c>
      <x:c r="E615" s="12" t="str">
        <x:v>VinFast</x:v>
      </x:c>
      <x:c r="F615" s="12" t="str">
        <x:v>VF 7</x:v>
      </x:c>
      <x:c r="G615" s="12" t="n">
        <x:v>11</x:v>
      </x:c>
      <x:c r="H615" s="12" t="n">
        <x:v>839</x:v>
      </x:c>
      <x:c r="I615" s="12" t="n">
        <x:v>9.23</x:v>
      </x:c>
      <x:c r="J615" s="16" t="n">
        <x:v>0.029025233644559587</x:v>
      </x:c>
      <x:c r="K615" s="12" t="n">
        <x:v>8.51</x:v>
      </x:c>
      <x:c r="L615" s="12" t="n">
        <x:f>I615-K615</x:f>
        <x:v>0.7200000000000006</x:v>
      </x:c>
      <x:c r="M615" s="16" t="n">
        <x:f>IFERROR(L615/I615,0)</x:f>
        <x:v>0.07800650054171188</x:v>
      </x:c>
    </x:row>
    <x:row r="616">
      <x:c r="A616" s="12" t="str">
        <x:v>SALE-00615</x:v>
      </x:c>
      <x:c r="B616" s="14" t="n">
        <x:v>46204</x:v>
      </x:c>
      <x:c r="C616" s="12" t="str">
        <x:v>DLR-017</x:v>
      </x:c>
      <x:c r="D616" s="12" t="str">
        <x:v>VinFast Quốc Oai</x:v>
      </x:c>
      <x:c r="E616" s="12" t="str">
        <x:v>VinFast</x:v>
      </x:c>
      <x:c r="F616" s="12" t="str">
        <x:v>VF 8</x:v>
      </x:c>
      <x:c r="G616" s="12" t="n">
        <x:v>9</x:v>
      </x:c>
      <x:c r="H616" s="12" t="n">
        <x:v>971.4</x:v>
      </x:c>
      <x:c r="I616" s="12" t="n">
        <x:v>8.74</x:v>
      </x:c>
      <x:c r="J616" s="16" t="n">
        <x:v>0.020569398637071044</x:v>
      </x:c>
      <x:c r="K616" s="12" t="n">
        <x:v>7.8</x:v>
      </x:c>
      <x:c r="L616" s="12" t="n">
        <x:f>I616-K616</x:f>
        <x:v>0.9400000000000004</x:v>
      </x:c>
      <x:c r="M616" s="16" t="n">
        <x:f>IFERROR(L616/I616,0)</x:f>
        <x:v>0.10755148741418769</x:v>
      </x:c>
    </x:row>
    <x:row r="617">
      <x:c r="A617" s="12" t="str">
        <x:v>SALE-00616</x:v>
      </x:c>
      <x:c r="B617" s="14" t="n">
        <x:v>46204</x:v>
      </x:c>
      <x:c r="C617" s="12" t="str">
        <x:v>DLR-017</x:v>
      </x:c>
      <x:c r="D617" s="12" t="str">
        <x:v>VinFast Quốc Oai</x:v>
      </x:c>
      <x:c r="E617" s="12" t="str">
        <x:v>VinFast</x:v>
      </x:c>
      <x:c r="F617" s="12" t="str">
        <x:v>VF 9</x:v>
      </x:c>
      <x:c r="G617" s="12" t="n">
        <x:v>6</x:v>
      </x:c>
      <x:c r="H617" s="12" t="n">
        <x:v>1416.2</x:v>
      </x:c>
      <x:c r="I617" s="12" t="n">
        <x:v>8.5</x:v>
      </x:c>
      <x:c r="J617" s="16" t="n">
        <x:v>0.029032619158113237</x:v>
      </x:c>
      <x:c r="K617" s="12" t="n">
        <x:v>7.62</x:v>
      </x:c>
      <x:c r="L617" s="12" t="n">
        <x:f>I617-K617</x:f>
        <x:v>0.8799999999999999</x:v>
      </x:c>
      <x:c r="M617" s="16" t="n">
        <x:f>IFERROR(L617/I617,0)</x:f>
        <x:v>0.10352941176470587</x:v>
      </x:c>
    </x:row>
    <x:row r="618">
      <x:c r="A618" s="12" t="str">
        <x:v>SALE-00617</x:v>
      </x:c>
      <x:c r="B618" s="14" t="n">
        <x:v>46023</x:v>
      </x:c>
      <x:c r="C618" s="12" t="str">
        <x:v>DLR-018</x:v>
      </x:c>
      <x:c r="D618" s="12" t="str">
        <x:v>OMODA &amp; JAECOO HTA Nam Từ Liêm</x:v>
      </x:c>
      <x:c r="E618" s="12" t="str">
        <x:v>OMODA &amp; JAECOO</x:v>
      </x:c>
      <x:c r="F618" s="12" t="str">
        <x:v>OMODA C5</x:v>
      </x:c>
      <x:c r="G618" s="12" t="n">
        <x:v>7</x:v>
      </x:c>
      <x:c r="H618" s="12" t="n">
        <x:v>586.8</x:v>
      </x:c>
      <x:c r="I618" s="12" t="n">
        <x:v>4.11</x:v>
      </x:c>
      <x:c r="J618" s="16" t="n">
        <x:v>0.026573329738597745</x:v>
      </x:c>
      <x:c r="K618" s="12" t="n">
        <x:v>3.68</x:v>
      </x:c>
      <x:c r="L618" s="12" t="n">
        <x:f>I618-K618</x:f>
        <x:v>0.43000000000000016</x:v>
      </x:c>
      <x:c r="M618" s="16" t="n">
        <x:f>IFERROR(L618/I618,0)</x:f>
        <x:v>0.10462287104622874</x:v>
      </x:c>
    </x:row>
    <x:row r="619">
      <x:c r="A619" s="12" t="str">
        <x:v>SALE-00618</x:v>
      </x:c>
      <x:c r="B619" s="14" t="n">
        <x:v>46023</x:v>
      </x:c>
      <x:c r="C619" s="12" t="str">
        <x:v>DLR-018</x:v>
      </x:c>
      <x:c r="D619" s="12" t="str">
        <x:v>OMODA &amp; JAECOO HTA Nam Từ Liêm</x:v>
      </x:c>
      <x:c r="E619" s="12" t="str">
        <x:v>OMODA &amp; JAECOO</x:v>
      </x:c>
      <x:c r="F619" s="12" t="str">
        <x:v>JAECOO J7</x:v>
      </x:c>
      <x:c r="G619" s="12" t="n">
        <x:v>10</x:v>
      </x:c>
      <x:c r="H619" s="12" t="n">
        <x:v>814.1</x:v>
      </x:c>
      <x:c r="I619" s="12" t="n">
        <x:v>8.14</x:v>
      </x:c>
      <x:c r="J619" s="16" t="n">
        <x:v>0.0421719726369324</x:v>
      </x:c>
      <x:c r="K619" s="12" t="n">
        <x:v>7.21</x:v>
      </x:c>
      <x:c r="L619" s="12" t="n">
        <x:f>I619-K619</x:f>
        <x:v>0.9300000000000006</x:v>
      </x:c>
      <x:c r="M619" s="16" t="n">
        <x:f>IFERROR(L619/I619,0)</x:f>
        <x:v>0.11425061425061432</x:v>
      </x:c>
    </x:row>
    <x:row r="620">
      <x:c r="A620" s="12" t="str">
        <x:v>SALE-00619</x:v>
      </x:c>
      <x:c r="B620" s="14" t="n">
        <x:v>46054</x:v>
      </x:c>
      <x:c r="C620" s="12" t="str">
        <x:v>DLR-018</x:v>
      </x:c>
      <x:c r="D620" s="12" t="str">
        <x:v>OMODA &amp; JAECOO HTA Nam Từ Liêm</x:v>
      </x:c>
      <x:c r="E620" s="12" t="str">
        <x:v>OMODA &amp; JAECOO</x:v>
      </x:c>
      <x:c r="F620" s="12" t="str">
        <x:v>OMODA C5</x:v>
      </x:c>
      <x:c r="G620" s="12" t="n">
        <x:v>11</x:v>
      </x:c>
      <x:c r="H620" s="12" t="n">
        <x:v>590.7</x:v>
      </x:c>
      <x:c r="I620" s="12" t="n">
        <x:v>6.5</x:v>
      </x:c>
      <x:c r="J620" s="16" t="n">
        <x:v>0.05175074847319301</x:v>
      </x:c>
      <x:c r="K620" s="12" t="n">
        <x:v>6.1</x:v>
      </x:c>
      <x:c r="L620" s="12" t="n">
        <x:f>I620-K620</x:f>
        <x:v>0.40000000000000036</x:v>
      </x:c>
      <x:c r="M620" s="16" t="n">
        <x:f>IFERROR(L620/I620,0)</x:f>
        <x:v>0.06153846153846159</x:v>
      </x:c>
    </x:row>
    <x:row r="621">
      <x:c r="A621" s="12" t="str">
        <x:v>SALE-00620</x:v>
      </x:c>
      <x:c r="B621" s="14" t="n">
        <x:v>46054</x:v>
      </x:c>
      <x:c r="C621" s="12" t="str">
        <x:v>DLR-018</x:v>
      </x:c>
      <x:c r="D621" s="12" t="str">
        <x:v>OMODA &amp; JAECOO HTA Nam Từ Liêm</x:v>
      </x:c>
      <x:c r="E621" s="12" t="str">
        <x:v>OMODA &amp; JAECOO</x:v>
      </x:c>
      <x:c r="F621" s="12" t="str">
        <x:v>JAECOO J7</x:v>
      </x:c>
      <x:c r="G621" s="12" t="n">
        <x:v>11</x:v>
      </x:c>
      <x:c r="H621" s="12" t="n">
        <x:v>759.2</x:v>
      </x:c>
      <x:c r="I621" s="12" t="n">
        <x:v>8.35</x:v>
      </x:c>
      <x:c r="J621" s="16" t="n">
        <x:v>0.04964315179964627</x:v>
      </x:c>
      <x:c r="K621" s="12" t="n">
        <x:v>7.47</x:v>
      </x:c>
      <x:c r="L621" s="12" t="n">
        <x:f>I621-K621</x:f>
        <x:v>0.8799999999999999</x:v>
      </x:c>
      <x:c r="M621" s="16" t="n">
        <x:f>IFERROR(L621/I621,0)</x:f>
        <x:v>0.10538922155688622</x:v>
      </x:c>
    </x:row>
    <x:row r="622">
      <x:c r="A622" s="12" t="str">
        <x:v>SALE-00621</x:v>
      </x:c>
      <x:c r="B622" s="14" t="n">
        <x:v>46082</x:v>
      </x:c>
      <x:c r="C622" s="12" t="str">
        <x:v>DLR-018</x:v>
      </x:c>
      <x:c r="D622" s="12" t="str">
        <x:v>OMODA &amp; JAECOO HTA Nam Từ Liêm</x:v>
      </x:c>
      <x:c r="E622" s="12" t="str">
        <x:v>OMODA &amp; JAECOO</x:v>
      </x:c>
      <x:c r="F622" s="12" t="str">
        <x:v>OMODA C5</x:v>
      </x:c>
      <x:c r="G622" s="12" t="n">
        <x:v>10</x:v>
      </x:c>
      <x:c r="H622" s="12" t="n">
        <x:v>592.7</x:v>
      </x:c>
      <x:c r="I622" s="12" t="n">
        <x:v>5.93</x:v>
      </x:c>
      <x:c r="J622" s="16" t="n">
        <x:v>0.04545894349919428</x:v>
      </x:c>
      <x:c r="K622" s="12" t="n">
        <x:v>5.46</x:v>
      </x:c>
      <x:c r="L622" s="12" t="n">
        <x:f>I622-K622</x:f>
        <x:v>0.46999999999999975</x:v>
      </x:c>
      <x:c r="M622" s="16" t="n">
        <x:f>IFERROR(L622/I622,0)</x:f>
        <x:v>0.0792580101180438</x:v>
      </x:c>
    </x:row>
    <x:row r="623">
      <x:c r="A623" s="12" t="str">
        <x:v>SALE-00622</x:v>
      </x:c>
      <x:c r="B623" s="14" t="n">
        <x:v>46082</x:v>
      </x:c>
      <x:c r="C623" s="12" t="str">
        <x:v>DLR-018</x:v>
      </x:c>
      <x:c r="D623" s="12" t="str">
        <x:v>OMODA &amp; JAECOO HTA Nam Từ Liêm</x:v>
      </x:c>
      <x:c r="E623" s="12" t="str">
        <x:v>OMODA &amp; JAECOO</x:v>
      </x:c>
      <x:c r="F623" s="12" t="str">
        <x:v>JAECOO J7</x:v>
      </x:c>
      <x:c r="G623" s="12" t="n">
        <x:v>9</x:v>
      </x:c>
      <x:c r="H623" s="12" t="n">
        <x:v>788</x:v>
      </x:c>
      <x:c r="I623" s="12" t="n">
        <x:v>7.09</x:v>
      </x:c>
      <x:c r="J623" s="16" t="n">
        <x:v>0.025748686083499436</x:v>
      </x:c>
      <x:c r="K623" s="12" t="n">
        <x:v>6.42</x:v>
      </x:c>
      <x:c r="L623" s="12" t="n">
        <x:f>I623-K623</x:f>
        <x:v>0.6699999999999999</x:v>
      </x:c>
      <x:c r="M623" s="16" t="n">
        <x:f>IFERROR(L623/I623,0)</x:f>
        <x:v>0.09449929478138222</x:v>
      </x:c>
    </x:row>
    <x:row r="624">
      <x:c r="A624" s="12" t="str">
        <x:v>SALE-00623</x:v>
      </x:c>
      <x:c r="B624" s="14" t="n">
        <x:v>46113</x:v>
      </x:c>
      <x:c r="C624" s="12" t="str">
        <x:v>DLR-018</x:v>
      </x:c>
      <x:c r="D624" s="12" t="str">
        <x:v>OMODA &amp; JAECOO HTA Nam Từ Liêm</x:v>
      </x:c>
      <x:c r="E624" s="12" t="str">
        <x:v>OMODA &amp; JAECOO</x:v>
      </x:c>
      <x:c r="F624" s="12" t="str">
        <x:v>OMODA C5</x:v>
      </x:c>
      <x:c r="G624" s="12" t="n">
        <x:v>9</x:v>
      </x:c>
      <x:c r="H624" s="12" t="n">
        <x:v>583.5</x:v>
      </x:c>
      <x:c r="I624" s="12" t="n">
        <x:v>5.25</x:v>
      </x:c>
      <x:c r="J624" s="16" t="n">
        <x:v>0.05020500325229294</x:v>
      </x:c>
      <x:c r="K624" s="12" t="n">
        <x:v>4.65</x:v>
      </x:c>
      <x:c r="L624" s="12" t="n">
        <x:f>I624-K624</x:f>
        <x:v>0.5999999999999996</x:v>
      </x:c>
      <x:c r="M624" s="16" t="n">
        <x:f>IFERROR(L624/I624,0)</x:f>
        <x:v>0.11428571428571421</x:v>
      </x:c>
    </x:row>
    <x:row r="625">
      <x:c r="A625" s="12" t="str">
        <x:v>SALE-00624</x:v>
      </x:c>
      <x:c r="B625" s="14" t="n">
        <x:v>46113</x:v>
      </x:c>
      <x:c r="C625" s="12" t="str">
        <x:v>DLR-018</x:v>
      </x:c>
      <x:c r="D625" s="12" t="str">
        <x:v>OMODA &amp; JAECOO HTA Nam Từ Liêm</x:v>
      </x:c>
      <x:c r="E625" s="12" t="str">
        <x:v>OMODA &amp; JAECOO</x:v>
      </x:c>
      <x:c r="F625" s="12" t="str">
        <x:v>JAECOO J7</x:v>
      </x:c>
      <x:c r="G625" s="12" t="n">
        <x:v>9</x:v>
      </x:c>
      <x:c r="H625" s="12" t="n">
        <x:v>768.8</x:v>
      </x:c>
      <x:c r="I625" s="12" t="n">
        <x:v>6.92</x:v>
      </x:c>
      <x:c r="J625" s="16" t="n">
        <x:v>0.052453444563543006</x:v>
      </x:c>
      <x:c r="K625" s="12" t="n">
        <x:v>6.24</x:v>
      </x:c>
      <x:c r="L625" s="12" t="n">
        <x:f>I625-K625</x:f>
        <x:v>0.6799999999999997</x:v>
      </x:c>
      <x:c r="M625" s="16" t="n">
        <x:f>IFERROR(L625/I625,0)</x:f>
        <x:v>0.09826589595375719</x:v>
      </x:c>
    </x:row>
    <x:row r="626">
      <x:c r="A626" s="12" t="str">
        <x:v>SALE-00625</x:v>
      </x:c>
      <x:c r="B626" s="14" t="n">
        <x:v>46143</x:v>
      </x:c>
      <x:c r="C626" s="12" t="str">
        <x:v>DLR-018</x:v>
      </x:c>
      <x:c r="D626" s="12" t="str">
        <x:v>OMODA &amp; JAECOO HTA Nam Từ Liêm</x:v>
      </x:c>
      <x:c r="E626" s="12" t="str">
        <x:v>OMODA &amp; JAECOO</x:v>
      </x:c>
      <x:c r="F626" s="12" t="str">
        <x:v>OMODA C5</x:v>
      </x:c>
      <x:c r="G626" s="12" t="n">
        <x:v>13</x:v>
      </x:c>
      <x:c r="H626" s="12" t="n">
        <x:v>569.1</x:v>
      </x:c>
      <x:c r="I626" s="12" t="n">
        <x:v>7.4</x:v>
      </x:c>
      <x:c r="J626" s="16" t="n">
        <x:v>0.01509892340567939</x:v>
      </x:c>
      <x:c r="K626" s="12" t="n">
        <x:v>6.85</x:v>
      </x:c>
      <x:c r="L626" s="12" t="n">
        <x:f>I626-K626</x:f>
        <x:v>0.5500000000000007</x:v>
      </x:c>
      <x:c r="M626" s="16" t="n">
        <x:f>IFERROR(L626/I626,0)</x:f>
        <x:v>0.07432432432432441</x:v>
      </x:c>
    </x:row>
    <x:row r="627">
      <x:c r="A627" s="12" t="str">
        <x:v>SALE-00626</x:v>
      </x:c>
      <x:c r="B627" s="14" t="n">
        <x:v>46143</x:v>
      </x:c>
      <x:c r="C627" s="12" t="str">
        <x:v>DLR-018</x:v>
      </x:c>
      <x:c r="D627" s="12" t="str">
        <x:v>OMODA &amp; JAECOO HTA Nam Từ Liêm</x:v>
      </x:c>
      <x:c r="E627" s="12" t="str">
        <x:v>OMODA &amp; JAECOO</x:v>
      </x:c>
      <x:c r="F627" s="12" t="str">
        <x:v>JAECOO J7</x:v>
      </x:c>
      <x:c r="G627" s="12" t="n">
        <x:v>11</x:v>
      </x:c>
      <x:c r="H627" s="12" t="n">
        <x:v>797.8</x:v>
      </x:c>
      <x:c r="I627" s="12" t="n">
        <x:v>8.78</x:v>
      </x:c>
      <x:c r="J627" s="16" t="n">
        <x:v>0.03333797026718871</x:v>
      </x:c>
      <x:c r="K627" s="12" t="n">
        <x:v>8.07</x:v>
      </x:c>
      <x:c r="L627" s="12" t="n">
        <x:f>I627-K627</x:f>
        <x:v>0.7099999999999991</x:v>
      </x:c>
      <x:c r="M627" s="16" t="n">
        <x:f>IFERROR(L627/I627,0)</x:f>
        <x:v>0.08086560364464683</x:v>
      </x:c>
    </x:row>
    <x:row r="628">
      <x:c r="A628" s="12" t="str">
        <x:v>SALE-00627</x:v>
      </x:c>
      <x:c r="B628" s="14" t="n">
        <x:v>46174</x:v>
      </x:c>
      <x:c r="C628" s="12" t="str">
        <x:v>DLR-018</x:v>
      </x:c>
      <x:c r="D628" s="12" t="str">
        <x:v>OMODA &amp; JAECOO HTA Nam Từ Liêm</x:v>
      </x:c>
      <x:c r="E628" s="12" t="str">
        <x:v>OMODA &amp; JAECOO</x:v>
      </x:c>
      <x:c r="F628" s="12" t="str">
        <x:v>OMODA C5</x:v>
      </x:c>
      <x:c r="G628" s="12" t="n">
        <x:v>8</x:v>
      </x:c>
      <x:c r="H628" s="12" t="n">
        <x:v>556.6</x:v>
      </x:c>
      <x:c r="I628" s="12" t="n">
        <x:v>4.45</x:v>
      </x:c>
      <x:c r="J628" s="16" t="n">
        <x:v>0.036376978575502594</x:v>
      </x:c>
      <x:c r="K628" s="12" t="n">
        <x:v>3.98</x:v>
      </x:c>
      <x:c r="L628" s="12" t="n">
        <x:f>I628-K628</x:f>
        <x:v>0.4700000000000002</x:v>
      </x:c>
      <x:c r="M628" s="16" t="n">
        <x:f>IFERROR(L628/I628,0)</x:f>
        <x:v>0.10561797752808992</x:v>
      </x:c>
    </x:row>
    <x:row r="629">
      <x:c r="A629" s="12" t="str">
        <x:v>SALE-00628</x:v>
      </x:c>
      <x:c r="B629" s="14" t="n">
        <x:v>46174</x:v>
      </x:c>
      <x:c r="C629" s="12" t="str">
        <x:v>DLR-018</x:v>
      </x:c>
      <x:c r="D629" s="12" t="str">
        <x:v>OMODA &amp; JAECOO HTA Nam Từ Liêm</x:v>
      </x:c>
      <x:c r="E629" s="12" t="str">
        <x:v>OMODA &amp; JAECOO</x:v>
      </x:c>
      <x:c r="F629" s="12" t="str">
        <x:v>JAECOO J7</x:v>
      </x:c>
      <x:c r="G629" s="12" t="n">
        <x:v>9</x:v>
      </x:c>
      <x:c r="H629" s="12" t="n">
        <x:v>764.6</x:v>
      </x:c>
      <x:c r="I629" s="12" t="n">
        <x:v>6.88</x:v>
      </x:c>
      <x:c r="J629" s="16" t="n">
        <x:v>0.0257414735325769</x:v>
      </x:c>
      <x:c r="K629" s="12" t="n">
        <x:v>6.4</x:v>
      </x:c>
      <x:c r="L629" s="12" t="n">
        <x:f>I629-K629</x:f>
        <x:v>0.47999999999999954</x:v>
      </x:c>
      <x:c r="M629" s="16" t="n">
        <x:f>IFERROR(L629/I629,0)</x:f>
        <x:v>0.06976744186046505</x:v>
      </x:c>
    </x:row>
    <x:row r="630">
      <x:c r="A630" s="12" t="str">
        <x:v>SALE-00629</x:v>
      </x:c>
      <x:c r="B630" s="14" t="n">
        <x:v>46204</x:v>
      </x:c>
      <x:c r="C630" s="12" t="str">
        <x:v>DLR-018</x:v>
      </x:c>
      <x:c r="D630" s="12" t="str">
        <x:v>OMODA &amp; JAECOO HTA Nam Từ Liêm</x:v>
      </x:c>
      <x:c r="E630" s="12" t="str">
        <x:v>OMODA &amp; JAECOO</x:v>
      </x:c>
      <x:c r="F630" s="12" t="str">
        <x:v>OMODA C5</x:v>
      </x:c>
      <x:c r="G630" s="12" t="n">
        <x:v>9</x:v>
      </x:c>
      <x:c r="H630" s="12" t="n">
        <x:v>580.9</x:v>
      </x:c>
      <x:c r="I630" s="12" t="n">
        <x:v>5.23</x:v>
      </x:c>
      <x:c r="J630" s="16" t="n">
        <x:v>0.03764568443668561</x:v>
      </x:c>
      <x:c r="K630" s="12" t="n">
        <x:v>4.75</x:v>
      </x:c>
      <x:c r="L630" s="12" t="n">
        <x:f>I630-K630</x:f>
        <x:v>0.4800000000000004</x:v>
      </x:c>
      <x:c r="M630" s="16" t="n">
        <x:f>IFERROR(L630/I630,0)</x:f>
        <x:v>0.09177820267686432</x:v>
      </x:c>
    </x:row>
    <x:row r="631">
      <x:c r="A631" s="12" t="str">
        <x:v>SALE-00630</x:v>
      </x:c>
      <x:c r="B631" s="14" t="n">
        <x:v>46204</x:v>
      </x:c>
      <x:c r="C631" s="12" t="str">
        <x:v>DLR-018</x:v>
      </x:c>
      <x:c r="D631" s="12" t="str">
        <x:v>OMODA &amp; JAECOO HTA Nam Từ Liêm</x:v>
      </x:c>
      <x:c r="E631" s="12" t="str">
        <x:v>OMODA &amp; JAECOO</x:v>
      </x:c>
      <x:c r="F631" s="12" t="str">
        <x:v>JAECOO J7</x:v>
      </x:c>
      <x:c r="G631" s="12" t="n">
        <x:v>9</x:v>
      </x:c>
      <x:c r="H631" s="12" t="n">
        <x:v>794.7</x:v>
      </x:c>
      <x:c r="I631" s="12" t="n">
        <x:v>7.15</x:v>
      </x:c>
      <x:c r="J631" s="16" t="n">
        <x:v>0.016936370446068917</x:v>
      </x:c>
      <x:c r="K631" s="12" t="n">
        <x:v>6.34</x:v>
      </x:c>
      <x:c r="L631" s="12" t="n">
        <x:f>I631-K631</x:f>
        <x:v>0.8100000000000005</x:v>
      </x:c>
      <x:c r="M631" s="16" t="n">
        <x:f>IFERROR(L631/I631,0)</x:f>
        <x:v>0.11328671328671334</x:v>
      </x:c>
    </x:row>
    <x:row r="632">
      <x:c r="A632" s="12" t="str">
        <x:v>SALE-00631</x:v>
      </x:c>
      <x:c r="B632" s="14" t="n">
        <x:v>46023</x:v>
      </x:c>
      <x:c r="C632" s="12" t="str">
        <x:v>DLR-019</x:v>
      </x:c>
      <x:c r="D632" s="12" t="str">
        <x:v>OMODA &amp; JAECOO HTA Việt Trì</x:v>
      </x:c>
      <x:c r="E632" s="12" t="str">
        <x:v>OMODA &amp; JAECOO</x:v>
      </x:c>
      <x:c r="F632" s="12" t="str">
        <x:v>OMODA C5</x:v>
      </x:c>
      <x:c r="G632" s="12" t="n">
        <x:v>9</x:v>
      </x:c>
      <x:c r="H632" s="12" t="n">
        <x:v>559.5</x:v>
      </x:c>
      <x:c r="I632" s="12" t="n">
        <x:v>5.04</x:v>
      </x:c>
      <x:c r="J632" s="16" t="n">
        <x:v>0.04930606399714455</x:v>
      </x:c>
      <x:c r="K632" s="12" t="n">
        <x:v>4.56</x:v>
      </x:c>
      <x:c r="L632" s="12" t="n">
        <x:f>I632-K632</x:f>
        <x:v>0.4800000000000004</x:v>
      </x:c>
      <x:c r="M632" s="16" t="n">
        <x:f>IFERROR(L632/I632,0)</x:f>
        <x:v>0.09523809523809532</x:v>
      </x:c>
    </x:row>
    <x:row r="633">
      <x:c r="A633" s="12" t="str">
        <x:v>SALE-00632</x:v>
      </x:c>
      <x:c r="B633" s="14" t="n">
        <x:v>46023</x:v>
      </x:c>
      <x:c r="C633" s="12" t="str">
        <x:v>DLR-019</x:v>
      </x:c>
      <x:c r="D633" s="12" t="str">
        <x:v>OMODA &amp; JAECOO HTA Việt Trì</x:v>
      </x:c>
      <x:c r="E633" s="12" t="str">
        <x:v>OMODA &amp; JAECOO</x:v>
      </x:c>
      <x:c r="F633" s="12" t="str">
        <x:v>JAECOO J7</x:v>
      </x:c>
      <x:c r="G633" s="12" t="n">
        <x:v>6</x:v>
      </x:c>
      <x:c r="H633" s="12" t="n">
        <x:v>812.3</x:v>
      </x:c>
      <x:c r="I633" s="12" t="n">
        <x:v>4.87</x:v>
      </x:c>
      <x:c r="J633" s="16" t="n">
        <x:v>0.02309272825589599</x:v>
      </x:c>
      <x:c r="K633" s="12" t="n">
        <x:v>4.49</x:v>
      </x:c>
      <x:c r="L633" s="12" t="n">
        <x:f>I633-K633</x:f>
        <x:v>0.3799999999999999</x:v>
      </x:c>
      <x:c r="M633" s="16" t="n">
        <x:f>IFERROR(L633/I633,0)</x:f>
        <x:v>0.07802874743326486</x:v>
      </x:c>
    </x:row>
    <x:row r="634">
      <x:c r="A634" s="12" t="str">
        <x:v>SALE-00633</x:v>
      </x:c>
      <x:c r="B634" s="14" t="n">
        <x:v>46054</x:v>
      </x:c>
      <x:c r="C634" s="12" t="str">
        <x:v>DLR-019</x:v>
      </x:c>
      <x:c r="D634" s="12" t="str">
        <x:v>OMODA &amp; JAECOO HTA Việt Trì</x:v>
      </x:c>
      <x:c r="E634" s="12" t="str">
        <x:v>OMODA &amp; JAECOO</x:v>
      </x:c>
      <x:c r="F634" s="12" t="str">
        <x:v>OMODA C5</x:v>
      </x:c>
      <x:c r="G634" s="12" t="n">
        <x:v>7</x:v>
      </x:c>
      <x:c r="H634" s="12" t="n">
        <x:v>584.3</x:v>
      </x:c>
      <x:c r="I634" s="12" t="n">
        <x:v>4.09</x:v>
      </x:c>
      <x:c r="J634" s="16" t="n">
        <x:v>0.021359098516232775</x:v>
      </x:c>
      <x:c r="K634" s="12" t="n">
        <x:v>3.83</x:v>
      </x:c>
      <x:c r="L634" s="12" t="n">
        <x:f>I634-K634</x:f>
        <x:v>0.2599999999999998</x:v>
      </x:c>
      <x:c r="M634" s="16" t="n">
        <x:f>IFERROR(L634/I634,0)</x:f>
        <x:v>0.06356968215158919</x:v>
      </x:c>
    </x:row>
    <x:row r="635">
      <x:c r="A635" s="12" t="str">
        <x:v>SALE-00634</x:v>
      </x:c>
      <x:c r="B635" s="14" t="n">
        <x:v>46054</x:v>
      </x:c>
      <x:c r="C635" s="12" t="str">
        <x:v>DLR-019</x:v>
      </x:c>
      <x:c r="D635" s="12" t="str">
        <x:v>OMODA &amp; JAECOO HTA Việt Trì</x:v>
      </x:c>
      <x:c r="E635" s="12" t="str">
        <x:v>OMODA &amp; JAECOO</x:v>
      </x:c>
      <x:c r="F635" s="12" t="str">
        <x:v>JAECOO J7</x:v>
      </x:c>
      <x:c r="G635" s="12" t="n">
        <x:v>8</x:v>
      </x:c>
      <x:c r="H635" s="12" t="n">
        <x:v>792.9</x:v>
      </x:c>
      <x:c r="I635" s="12" t="n">
        <x:v>6.34</x:v>
      </x:c>
      <x:c r="J635" s="16" t="n">
        <x:v>0.025015571141964354</x:v>
      </x:c>
      <x:c r="K635" s="12" t="n">
        <x:v>5.72</x:v>
      </x:c>
      <x:c r="L635" s="12" t="n">
        <x:f>I635-K635</x:f>
        <x:v>0.6200000000000001</x:v>
      </x:c>
      <x:c r="M635" s="16" t="n">
        <x:f>IFERROR(L635/I635,0)</x:f>
        <x:v>0.09779179810725554</x:v>
      </x:c>
    </x:row>
    <x:row r="636">
      <x:c r="A636" s="12" t="str">
        <x:v>SALE-00635</x:v>
      </x:c>
      <x:c r="B636" s="14" t="n">
        <x:v>46082</x:v>
      </x:c>
      <x:c r="C636" s="12" t="str">
        <x:v>DLR-019</x:v>
      </x:c>
      <x:c r="D636" s="12" t="str">
        <x:v>OMODA &amp; JAECOO HTA Việt Trì</x:v>
      </x:c>
      <x:c r="E636" s="12" t="str">
        <x:v>OMODA &amp; JAECOO</x:v>
      </x:c>
      <x:c r="F636" s="12" t="str">
        <x:v>OMODA C5</x:v>
      </x:c>
      <x:c r="G636" s="12" t="n">
        <x:v>13</x:v>
      </x:c>
      <x:c r="H636" s="12" t="n">
        <x:v>561.5</x:v>
      </x:c>
      <x:c r="I636" s="12" t="n">
        <x:v>7.3</x:v>
      </x:c>
      <x:c r="J636" s="16" t="n">
        <x:v>0.03085366267728933</x:v>
      </x:c>
      <x:c r="K636" s="12" t="n">
        <x:v>6.56</x:v>
      </x:c>
      <x:c r="L636" s="12" t="n">
        <x:f>I636-K636</x:f>
        <x:v>0.7400000000000002</x:v>
      </x:c>
      <x:c r="M636" s="16" t="n">
        <x:f>IFERROR(L636/I636,0)</x:f>
        <x:v>0.10136986301369866</x:v>
      </x:c>
    </x:row>
    <x:row r="637">
      <x:c r="A637" s="12" t="str">
        <x:v>SALE-00636</x:v>
      </x:c>
      <x:c r="B637" s="14" t="n">
        <x:v>46082</x:v>
      </x:c>
      <x:c r="C637" s="12" t="str">
        <x:v>DLR-019</x:v>
      </x:c>
      <x:c r="D637" s="12" t="str">
        <x:v>OMODA &amp; JAECOO HTA Việt Trì</x:v>
      </x:c>
      <x:c r="E637" s="12" t="str">
        <x:v>OMODA &amp; JAECOO</x:v>
      </x:c>
      <x:c r="F637" s="12" t="str">
        <x:v>JAECOO J7</x:v>
      </x:c>
      <x:c r="G637" s="12" t="n">
        <x:v>12</x:v>
      </x:c>
      <x:c r="H637" s="12" t="n">
        <x:v>766</x:v>
      </x:c>
      <x:c r="I637" s="12" t="n">
        <x:v>9.19</x:v>
      </x:c>
      <x:c r="J637" s="16" t="n">
        <x:v>0.0412194091353414</x:v>
      </x:c>
      <x:c r="K637" s="12" t="n">
        <x:v>8.48</x:v>
      </x:c>
      <x:c r="L637" s="12" t="n">
        <x:f>I637-K637</x:f>
        <x:v>0.7099999999999991</x:v>
      </x:c>
      <x:c r="M637" s="16" t="n">
        <x:f>IFERROR(L637/I637,0)</x:f>
        <x:v>0.07725788900979316</x:v>
      </x:c>
    </x:row>
    <x:row r="638">
      <x:c r="A638" s="12" t="str">
        <x:v>SALE-00637</x:v>
      </x:c>
      <x:c r="B638" s="14" t="n">
        <x:v>46113</x:v>
      </x:c>
      <x:c r="C638" s="12" t="str">
        <x:v>DLR-019</x:v>
      </x:c>
      <x:c r="D638" s="12" t="str">
        <x:v>OMODA &amp; JAECOO HTA Việt Trì</x:v>
      </x:c>
      <x:c r="E638" s="12" t="str">
        <x:v>OMODA &amp; JAECOO</x:v>
      </x:c>
      <x:c r="F638" s="12" t="str">
        <x:v>OMODA C5</x:v>
      </x:c>
      <x:c r="G638" s="12" t="n">
        <x:v>6</x:v>
      </x:c>
      <x:c r="H638" s="12" t="n">
        <x:v>576.1</x:v>
      </x:c>
      <x:c r="I638" s="12" t="n">
        <x:v>3.46</x:v>
      </x:c>
      <x:c r="J638" s="16" t="n">
        <x:v>0.020307991681599462</x:v>
      </x:c>
      <x:c r="K638" s="12" t="n">
        <x:v>3.09</x:v>
      </x:c>
      <x:c r="L638" s="12" t="n">
        <x:f>I638-K638</x:f>
        <x:v>0.3700000000000001</x:v>
      </x:c>
      <x:c r="M638" s="16" t="n">
        <x:f>IFERROR(L638/I638,0)</x:f>
        <x:v>0.10693641618497113</x:v>
      </x:c>
    </x:row>
    <x:row r="639">
      <x:c r="A639" s="12" t="str">
        <x:v>SALE-00638</x:v>
      </x:c>
      <x:c r="B639" s="14" t="n">
        <x:v>46113</x:v>
      </x:c>
      <x:c r="C639" s="12" t="str">
        <x:v>DLR-019</x:v>
      </x:c>
      <x:c r="D639" s="12" t="str">
        <x:v>OMODA &amp; JAECOO HTA Việt Trì</x:v>
      </x:c>
      <x:c r="E639" s="12" t="str">
        <x:v>OMODA &amp; JAECOO</x:v>
      </x:c>
      <x:c r="F639" s="12" t="str">
        <x:v>JAECOO J7</x:v>
      </x:c>
      <x:c r="G639" s="12" t="n">
        <x:v>12</x:v>
      </x:c>
      <x:c r="H639" s="12" t="n">
        <x:v>751.7</x:v>
      </x:c>
      <x:c r="I639" s="12" t="n">
        <x:v>9.02</x:v>
      </x:c>
      <x:c r="J639" s="16" t="n">
        <x:v>0.04282388429152195</x:v>
      </x:c>
      <x:c r="K639" s="12" t="n">
        <x:v>8.38</x:v>
      </x:c>
      <x:c r="L639" s="12" t="n">
        <x:f>I639-K639</x:f>
        <x:v>0.6399999999999988</x:v>
      </x:c>
      <x:c r="M639" s="16" t="n">
        <x:f>IFERROR(L639/I639,0)</x:f>
        <x:v>0.07095343680709522</x:v>
      </x:c>
    </x:row>
    <x:row r="640">
      <x:c r="A640" s="12" t="str">
        <x:v>SALE-00639</x:v>
      </x:c>
      <x:c r="B640" s="14" t="n">
        <x:v>46143</x:v>
      </x:c>
      <x:c r="C640" s="12" t="str">
        <x:v>DLR-019</x:v>
      </x:c>
      <x:c r="D640" s="12" t="str">
        <x:v>OMODA &amp; JAECOO HTA Việt Trì</x:v>
      </x:c>
      <x:c r="E640" s="12" t="str">
        <x:v>OMODA &amp; JAECOO</x:v>
      </x:c>
      <x:c r="F640" s="12" t="str">
        <x:v>OMODA C5</x:v>
      </x:c>
      <x:c r="G640" s="12" t="n">
        <x:v>15</x:v>
      </x:c>
      <x:c r="H640" s="12" t="n">
        <x:v>573.6</x:v>
      </x:c>
      <x:c r="I640" s="12" t="n">
        <x:v>8.6</x:v>
      </x:c>
      <x:c r="J640" s="16" t="n">
        <x:v>0.020287006043702434</x:v>
      </x:c>
      <x:c r="K640" s="12" t="n">
        <x:v>7.61</x:v>
      </x:c>
      <x:c r="L640" s="12" t="n">
        <x:f>I640-K640</x:f>
        <x:v>0.9899999999999993</x:v>
      </x:c>
      <x:c r="M640" s="16" t="n">
        <x:f>IFERROR(L640/I640,0)</x:f>
        <x:v>0.11511627906976737</x:v>
      </x:c>
    </x:row>
    <x:row r="641">
      <x:c r="A641" s="12" t="str">
        <x:v>SALE-00640</x:v>
      </x:c>
      <x:c r="B641" s="14" t="n">
        <x:v>46143</x:v>
      </x:c>
      <x:c r="C641" s="12" t="str">
        <x:v>DLR-019</x:v>
      </x:c>
      <x:c r="D641" s="12" t="str">
        <x:v>OMODA &amp; JAECOO HTA Việt Trì</x:v>
      </x:c>
      <x:c r="E641" s="12" t="str">
        <x:v>OMODA &amp; JAECOO</x:v>
      </x:c>
      <x:c r="F641" s="12" t="str">
        <x:v>JAECOO J7</x:v>
      </x:c>
      <x:c r="G641" s="12" t="n">
        <x:v>10</x:v>
      </x:c>
      <x:c r="H641" s="12" t="n">
        <x:v>797.8</x:v>
      </x:c>
      <x:c r="I641" s="12" t="n">
        <x:v>7.98</x:v>
      </x:c>
      <x:c r="J641" s="16" t="n">
        <x:v>0.019097086817980266</x:v>
      </x:c>
      <x:c r="K641" s="12" t="n">
        <x:v>7.17</x:v>
      </x:c>
      <x:c r="L641" s="12" t="n">
        <x:f>I641-K641</x:f>
        <x:v>0.8100000000000005</x:v>
      </x:c>
      <x:c r="M641" s="16" t="n">
        <x:f>IFERROR(L641/I641,0)</x:f>
        <x:v>0.1015037593984963</x:v>
      </x:c>
    </x:row>
    <x:row r="642">
      <x:c r="A642" s="12" t="str">
        <x:v>SALE-00641</x:v>
      </x:c>
      <x:c r="B642" s="14" t="n">
        <x:v>46174</x:v>
      </x:c>
      <x:c r="C642" s="12" t="str">
        <x:v>DLR-019</x:v>
      </x:c>
      <x:c r="D642" s="12" t="str">
        <x:v>OMODA &amp; JAECOO HTA Việt Trì</x:v>
      </x:c>
      <x:c r="E642" s="12" t="str">
        <x:v>OMODA &amp; JAECOO</x:v>
      </x:c>
      <x:c r="F642" s="12" t="str">
        <x:v>OMODA C5</x:v>
      </x:c>
      <x:c r="G642" s="12" t="n">
        <x:v>15</x:v>
      </x:c>
      <x:c r="H642" s="12" t="n">
        <x:v>560.1</x:v>
      </x:c>
      <x:c r="I642" s="12" t="n">
        <x:v>8.4</x:v>
      </x:c>
      <x:c r="J642" s="16" t="n">
        <x:v>0.04593841934602497</x:v>
      </x:c>
      <x:c r="K642" s="12" t="n">
        <x:v>7.77</x:v>
      </x:c>
      <x:c r="L642" s="12" t="n">
        <x:f>I642-K642</x:f>
        <x:v>0.6300000000000008</x:v>
      </x:c>
      <x:c r="M642" s="16" t="n">
        <x:f>IFERROR(L642/I642,0)</x:f>
        <x:v>0.0750000000000001</x:v>
      </x:c>
    </x:row>
    <x:row r="643">
      <x:c r="A643" s="12" t="str">
        <x:v>SALE-00642</x:v>
      </x:c>
      <x:c r="B643" s="14" t="n">
        <x:v>46174</x:v>
      </x:c>
      <x:c r="C643" s="12" t="str">
        <x:v>DLR-019</x:v>
      </x:c>
      <x:c r="D643" s="12" t="str">
        <x:v>OMODA &amp; JAECOO HTA Việt Trì</x:v>
      </x:c>
      <x:c r="E643" s="12" t="str">
        <x:v>OMODA &amp; JAECOO</x:v>
      </x:c>
      <x:c r="F643" s="12" t="str">
        <x:v>JAECOO J7</x:v>
      </x:c>
      <x:c r="G643" s="12" t="n">
        <x:v>8</x:v>
      </x:c>
      <x:c r="H643" s="12" t="n">
        <x:v>814.5</x:v>
      </x:c>
      <x:c r="I643" s="12" t="n">
        <x:v>6.52</x:v>
      </x:c>
      <x:c r="J643" s="16" t="n">
        <x:v>0.020714122673395754</x:v>
      </x:c>
      <x:c r="K643" s="12" t="n">
        <x:v>5.94</x:v>
      </x:c>
      <x:c r="L643" s="12" t="n">
        <x:f>I643-K643</x:f>
        <x:v>0.5799999999999992</x:v>
      </x:c>
      <x:c r="M643" s="16" t="n">
        <x:f>IFERROR(L643/I643,0)</x:f>
        <x:v>0.0889570552147238</x:v>
      </x:c>
    </x:row>
    <x:row r="644">
      <x:c r="A644" s="12" t="str">
        <x:v>SALE-00643</x:v>
      </x:c>
      <x:c r="B644" s="14" t="n">
        <x:v>46204</x:v>
      </x:c>
      <x:c r="C644" s="12" t="str">
        <x:v>DLR-019</x:v>
      </x:c>
      <x:c r="D644" s="12" t="str">
        <x:v>OMODA &amp; JAECOO HTA Việt Trì</x:v>
      </x:c>
      <x:c r="E644" s="12" t="str">
        <x:v>OMODA &amp; JAECOO</x:v>
      </x:c>
      <x:c r="F644" s="12" t="str">
        <x:v>OMODA C5</x:v>
      </x:c>
      <x:c r="G644" s="12" t="n">
        <x:v>7</x:v>
      </x:c>
      <x:c r="H644" s="12" t="n">
        <x:v>584.3</x:v>
      </x:c>
      <x:c r="I644" s="12" t="n">
        <x:v>4.09</x:v>
      </x:c>
      <x:c r="J644" s="16" t="n">
        <x:v>0.03260397683119408</x:v>
      </x:c>
      <x:c r="K644" s="12" t="n">
        <x:v>3.78</x:v>
      </x:c>
      <x:c r="L644" s="12" t="n">
        <x:f>I644-K644</x:f>
        <x:v>0.31000000000000005</x:v>
      </x:c>
      <x:c r="M644" s="16" t="n">
        <x:f>IFERROR(L644/I644,0)</x:f>
        <x:v>0.07579462102689488</x:v>
      </x:c>
    </x:row>
    <x:row r="645">
      <x:c r="A645" s="12" t="str">
        <x:v>SALE-00644</x:v>
      </x:c>
      <x:c r="B645" s="14" t="n">
        <x:v>46204</x:v>
      </x:c>
      <x:c r="C645" s="12" t="str">
        <x:v>DLR-019</x:v>
      </x:c>
      <x:c r="D645" s="12" t="str">
        <x:v>OMODA &amp; JAECOO HTA Việt Trì</x:v>
      </x:c>
      <x:c r="E645" s="12" t="str">
        <x:v>OMODA &amp; JAECOO</x:v>
      </x:c>
      <x:c r="F645" s="12" t="str">
        <x:v>JAECOO J7</x:v>
      </x:c>
      <x:c r="G645" s="12" t="n">
        <x:v>13</x:v>
      </x:c>
      <x:c r="H645" s="12" t="n">
        <x:v>760.7</x:v>
      </x:c>
      <x:c r="I645" s="12" t="n">
        <x:v>9.89</x:v>
      </x:c>
      <x:c r="J645" s="16" t="n">
        <x:v>0.03146839577438712</x:v>
      </x:c>
      <x:c r="K645" s="12" t="n">
        <x:v>9.11</x:v>
      </x:c>
      <x:c r="L645" s="12" t="n">
        <x:f>I645-K645</x:f>
        <x:v>0.7800000000000011</x:v>
      </x:c>
      <x:c r="M645" s="16" t="n">
        <x:f>IFERROR(L645/I645,0)</x:f>
        <x:v>0.07886754297269981</x:v>
      </x:c>
    </x:row>
    <x:row r="646">
      <x:c r="A646" s="12" t="str">
        <x:v>SALE-00645</x:v>
      </x:c>
      <x:c r="B646" s="14" t="n">
        <x:v>46023</x:v>
      </x:c>
      <x:c r="C646" s="12" t="str">
        <x:v>DLR-020</x:v>
      </x:c>
      <x:c r="D646" s="12" t="str">
        <x:v>Wuling HTA Long Biên</x:v>
      </x:c>
      <x:c r="E646" s="12" t="str">
        <x:v>Wuling</x:v>
      </x:c>
      <x:c r="F646" s="12" t="str">
        <x:v>Mini EV</x:v>
      </x:c>
      <x:c r="G646" s="12" t="n">
        <x:v>9</x:v>
      </x:c>
      <x:c r="H646" s="12" t="n">
        <x:v>186.8</x:v>
      </x:c>
      <x:c r="I646" s="12" t="n">
        <x:v>1.68</x:v>
      </x:c>
      <x:c r="J646" s="16" t="n">
        <x:v>0.0450978258619181</x:v>
      </x:c>
      <x:c r="K646" s="12" t="n">
        <x:v>1.54</x:v>
      </x:c>
      <x:c r="L646" s="12" t="n">
        <x:f>I646-K646</x:f>
        <x:v>0.1399999999999999</x:v>
      </x:c>
      <x:c r="M646" s="16" t="n">
        <x:f>IFERROR(L646/I646,0)</x:f>
        <x:v>0.08333333333333327</x:v>
      </x:c>
    </x:row>
    <x:row r="647">
      <x:c r="A647" s="12" t="str">
        <x:v>SALE-00646</x:v>
      </x:c>
      <x:c r="B647" s="14" t="n">
        <x:v>46023</x:v>
      </x:c>
      <x:c r="C647" s="12" t="str">
        <x:v>DLR-020</x:v>
      </x:c>
      <x:c r="D647" s="12" t="str">
        <x:v>Wuling HTA Long Biên</x:v>
      </x:c>
      <x:c r="E647" s="12" t="str">
        <x:v>Wuling</x:v>
      </x:c>
      <x:c r="F647" s="12" t="str">
        <x:v>Bingo</x:v>
      </x:c>
      <x:c r="G647" s="12" t="n">
        <x:v>13</x:v>
      </x:c>
      <x:c r="H647" s="12" t="n">
        <x:v>405.8</x:v>
      </x:c>
      <x:c r="I647" s="12" t="n">
        <x:v>5.28</x:v>
      </x:c>
      <x:c r="J647" s="16" t="n">
        <x:v>0.027580146727286772</x:v>
      </x:c>
      <x:c r="K647" s="12" t="n">
        <x:v>4.69</x:v>
      </x:c>
      <x:c r="L647" s="12" t="n">
        <x:f>I647-K647</x:f>
        <x:v>0.5899999999999999</x:v>
      </x:c>
      <x:c r="M647" s="16" t="n">
        <x:f>IFERROR(L647/I647,0)</x:f>
        <x:v>0.11174242424242421</x:v>
      </x:c>
    </x:row>
    <x:row r="648">
      <x:c r="A648" s="12" t="str">
        <x:v>SALE-00647</x:v>
      </x:c>
      <x:c r="B648" s="14" t="n">
        <x:v>46054</x:v>
      </x:c>
      <x:c r="C648" s="12" t="str">
        <x:v>DLR-020</x:v>
      </x:c>
      <x:c r="D648" s="12" t="str">
        <x:v>Wuling HTA Long Biên</x:v>
      </x:c>
      <x:c r="E648" s="12" t="str">
        <x:v>Wuling</x:v>
      </x:c>
      <x:c r="F648" s="12" t="str">
        <x:v>Mini EV</x:v>
      </x:c>
      <x:c r="G648" s="12" t="n">
        <x:v>12</x:v>
      </x:c>
      <x:c r="H648" s="12" t="n">
        <x:v>186.5</x:v>
      </x:c>
      <x:c r="I648" s="12" t="n">
        <x:v>2.24</x:v>
      </x:c>
      <x:c r="J648" s="16" t="n">
        <x:v>0.03713586527138921</x:v>
      </x:c>
      <x:c r="K648" s="12" t="n">
        <x:v>2.05</x:v>
      </x:c>
      <x:c r="L648" s="12" t="n">
        <x:f>I648-K648</x:f>
        <x:v>0.1900000000000004</x:v>
      </x:c>
      <x:c r="M648" s="16" t="n">
        <x:f>IFERROR(L648/I648,0)</x:f>
        <x:v>0.08482142857142874</x:v>
      </x:c>
    </x:row>
    <x:row r="649">
      <x:c r="A649" s="12" t="str">
        <x:v>SALE-00648</x:v>
      </x:c>
      <x:c r="B649" s="14" t="n">
        <x:v>46054</x:v>
      </x:c>
      <x:c r="C649" s="12" t="str">
        <x:v>DLR-020</x:v>
      </x:c>
      <x:c r="D649" s="12" t="str">
        <x:v>Wuling HTA Long Biên</x:v>
      </x:c>
      <x:c r="E649" s="12" t="str">
        <x:v>Wuling</x:v>
      </x:c>
      <x:c r="F649" s="12" t="str">
        <x:v>Bingo</x:v>
      </x:c>
      <x:c r="G649" s="12" t="n">
        <x:v>16</x:v>
      </x:c>
      <x:c r="H649" s="12" t="n">
        <x:v>399.9</x:v>
      </x:c>
      <x:c r="I649" s="12" t="n">
        <x:v>6.4</x:v>
      </x:c>
      <x:c r="J649" s="16" t="n">
        <x:v>0.04261904300058615</x:v>
      </x:c>
      <x:c r="K649" s="12" t="n">
        <x:v>5.96</x:v>
      </x:c>
      <x:c r="L649" s="12" t="n">
        <x:f>I649-K649</x:f>
        <x:v>0.4400000000000004</x:v>
      </x:c>
      <x:c r="M649" s="16" t="n">
        <x:f>IFERROR(L649/I649,0)</x:f>
        <x:v>0.06875000000000006</x:v>
      </x:c>
    </x:row>
    <x:row r="650">
      <x:c r="A650" s="12" t="str">
        <x:v>SALE-00649</x:v>
      </x:c>
      <x:c r="B650" s="14" t="n">
        <x:v>46082</x:v>
      </x:c>
      <x:c r="C650" s="12" t="str">
        <x:v>DLR-020</x:v>
      </x:c>
      <x:c r="D650" s="12" t="str">
        <x:v>Wuling HTA Long Biên</x:v>
      </x:c>
      <x:c r="E650" s="12" t="str">
        <x:v>Wuling</x:v>
      </x:c>
      <x:c r="F650" s="12" t="str">
        <x:v>Mini EV</x:v>
      </x:c>
      <x:c r="G650" s="12" t="n">
        <x:v>17</x:v>
      </x:c>
      <x:c r="H650" s="12" t="n">
        <x:v>189.9</x:v>
      </x:c>
      <x:c r="I650" s="12" t="n">
        <x:v>3.23</x:v>
      </x:c>
      <x:c r="J650" s="16" t="n">
        <x:v>0.035709965111889494</x:v>
      </x:c>
      <x:c r="K650" s="12" t="n">
        <x:v>2.94</x:v>
      </x:c>
      <x:c r="L650" s="12" t="n">
        <x:f>I650-K650</x:f>
        <x:v>0.29000000000000004</x:v>
      </x:c>
      <x:c r="M650" s="16" t="n">
        <x:f>IFERROR(L650/I650,0)</x:f>
        <x:v>0.08978328173374614</x:v>
      </x:c>
    </x:row>
    <x:row r="651">
      <x:c r="A651" s="12" t="str">
        <x:v>SALE-00650</x:v>
      </x:c>
      <x:c r="B651" s="14" t="n">
        <x:v>46082</x:v>
      </x:c>
      <x:c r="C651" s="12" t="str">
        <x:v>DLR-020</x:v>
      </x:c>
      <x:c r="D651" s="12" t="str">
        <x:v>Wuling HTA Long Biên</x:v>
      </x:c>
      <x:c r="E651" s="12" t="str">
        <x:v>Wuling</x:v>
      </x:c>
      <x:c r="F651" s="12" t="str">
        <x:v>Bingo</x:v>
      </x:c>
      <x:c r="G651" s="12" t="n">
        <x:v>18</x:v>
      </x:c>
      <x:c r="H651" s="12" t="n">
        <x:v>384.5</x:v>
      </x:c>
      <x:c r="I651" s="12" t="n">
        <x:v>6.92</x:v>
      </x:c>
      <x:c r="J651" s="16" t="n">
        <x:v>0.017182765240610118</x:v>
      </x:c>
      <x:c r="K651" s="12" t="n">
        <x:v>6.46</x:v>
      </x:c>
      <x:c r="L651" s="12" t="n">
        <x:f>I651-K651</x:f>
        <x:v>0.45999999999999996</x:v>
      </x:c>
      <x:c r="M651" s="16" t="n">
        <x:f>IFERROR(L651/I651,0)</x:f>
        <x:v>0.06647398843930635</x:v>
      </x:c>
    </x:row>
    <x:row r="652">
      <x:c r="A652" s="12" t="str">
        <x:v>SALE-00651</x:v>
      </x:c>
      <x:c r="B652" s="14" t="n">
        <x:v>46113</x:v>
      </x:c>
      <x:c r="C652" s="12" t="str">
        <x:v>DLR-020</x:v>
      </x:c>
      <x:c r="D652" s="12" t="str">
        <x:v>Wuling HTA Long Biên</x:v>
      </x:c>
      <x:c r="E652" s="12" t="str">
        <x:v>Wuling</x:v>
      </x:c>
      <x:c r="F652" s="12" t="str">
        <x:v>Mini EV</x:v>
      </x:c>
      <x:c r="G652" s="12" t="n">
        <x:v>21</x:v>
      </x:c>
      <x:c r="H652" s="12" t="n">
        <x:v>193</x:v>
      </x:c>
      <x:c r="I652" s="12" t="n">
        <x:v>4.05</x:v>
      </x:c>
      <x:c r="J652" s="16" t="n">
        <x:v>0.01950974650415234</x:v>
      </x:c>
      <x:c r="K652" s="12" t="n">
        <x:v>3.69</x:v>
      </x:c>
      <x:c r="L652" s="12" t="n">
        <x:f>I652-K652</x:f>
        <x:v>0.3599999999999999</x:v>
      </x:c>
      <x:c r="M652" s="16" t="n">
        <x:f>IFERROR(L652/I652,0)</x:f>
        <x:v>0.08888888888888886</x:v>
      </x:c>
    </x:row>
    <x:row r="653">
      <x:c r="A653" s="12" t="str">
        <x:v>SALE-00652</x:v>
      </x:c>
      <x:c r="B653" s="14" t="n">
        <x:v>46113</x:v>
      </x:c>
      <x:c r="C653" s="12" t="str">
        <x:v>DLR-020</x:v>
      </x:c>
      <x:c r="D653" s="12" t="str">
        <x:v>Wuling HTA Long Biên</x:v>
      </x:c>
      <x:c r="E653" s="12" t="str">
        <x:v>Wuling</x:v>
      </x:c>
      <x:c r="F653" s="12" t="str">
        <x:v>Bingo</x:v>
      </x:c>
      <x:c r="G653" s="12" t="n">
        <x:v>17</x:v>
      </x:c>
      <x:c r="H653" s="12" t="n">
        <x:v>391.9</x:v>
      </x:c>
      <x:c r="I653" s="12" t="n">
        <x:v>6.66</x:v>
      </x:c>
      <x:c r="J653" s="16" t="n">
        <x:v>0.05410787791373343</x:v>
      </x:c>
      <x:c r="K653" s="12" t="n">
        <x:v>6.26</x:v>
      </x:c>
      <x:c r="L653" s="12" t="n">
        <x:f>I653-K653</x:f>
        <x:v>0.40000000000000036</x:v>
      </x:c>
      <x:c r="M653" s="16" t="n">
        <x:f>IFERROR(L653/I653,0)</x:f>
        <x:v>0.060060060060060115</x:v>
      </x:c>
    </x:row>
    <x:row r="654">
      <x:c r="A654" s="12" t="str">
        <x:v>SALE-00653</x:v>
      </x:c>
      <x:c r="B654" s="14" t="n">
        <x:v>46143</x:v>
      </x:c>
      <x:c r="C654" s="12" t="str">
        <x:v>DLR-020</x:v>
      </x:c>
      <x:c r="D654" s="12" t="str">
        <x:v>Wuling HTA Long Biên</x:v>
      </x:c>
      <x:c r="E654" s="12" t="str">
        <x:v>Wuling</x:v>
      </x:c>
      <x:c r="F654" s="12" t="str">
        <x:v>Mini EV</x:v>
      </x:c>
      <x:c r="G654" s="12" t="n">
        <x:v>22</x:v>
      </x:c>
      <x:c r="H654" s="12" t="n">
        <x:v>187.3</x:v>
      </x:c>
      <x:c r="I654" s="12" t="n">
        <x:v>4.12</x:v>
      </x:c>
      <x:c r="J654" s="16" t="n">
        <x:v>0.0494325601574699</x:v>
      </x:c>
      <x:c r="K654" s="12" t="n">
        <x:v>3.77</x:v>
      </x:c>
      <x:c r="L654" s="12" t="n">
        <x:f>I654-K654</x:f>
        <x:v>0.3500000000000001</x:v>
      </x:c>
      <x:c r="M654" s="16" t="n">
        <x:f>IFERROR(L654/I654,0)</x:f>
        <x:v>0.08495145631067963</x:v>
      </x:c>
    </x:row>
    <x:row r="655">
      <x:c r="A655" s="12" t="str">
        <x:v>SALE-00654</x:v>
      </x:c>
      <x:c r="B655" s="14" t="n">
        <x:v>46143</x:v>
      </x:c>
      <x:c r="C655" s="12" t="str">
        <x:v>DLR-020</x:v>
      </x:c>
      <x:c r="D655" s="12" t="str">
        <x:v>Wuling HTA Long Biên</x:v>
      </x:c>
      <x:c r="E655" s="12" t="str">
        <x:v>Wuling</x:v>
      </x:c>
      <x:c r="F655" s="12" t="str">
        <x:v>Bingo</x:v>
      </x:c>
      <x:c r="G655" s="12" t="n">
        <x:v>14</x:v>
      </x:c>
      <x:c r="H655" s="12" t="n">
        <x:v>396.9</x:v>
      </x:c>
      <x:c r="I655" s="12" t="n">
        <x:v>5.56</x:v>
      </x:c>
      <x:c r="J655" s="16" t="n">
        <x:v>0.04550903751582343</x:v>
      </x:c>
      <x:c r="K655" s="12" t="n">
        <x:v>5.21</x:v>
      </x:c>
      <x:c r="L655" s="12" t="n">
        <x:f>I655-K655</x:f>
        <x:v>0.34999999999999964</x:v>
      </x:c>
      <x:c r="M655" s="16" t="n">
        <x:f>IFERROR(L655/I655,0)</x:f>
        <x:v>0.06294964028776973</x:v>
      </x:c>
    </x:row>
    <x:row r="656">
      <x:c r="A656" s="12" t="str">
        <x:v>SALE-00655</x:v>
      </x:c>
      <x:c r="B656" s="14" t="n">
        <x:v>46174</x:v>
      </x:c>
      <x:c r="C656" s="12" t="str">
        <x:v>DLR-020</x:v>
      </x:c>
      <x:c r="D656" s="12" t="str">
        <x:v>Wuling HTA Long Biên</x:v>
      </x:c>
      <x:c r="E656" s="12" t="str">
        <x:v>Wuling</x:v>
      </x:c>
      <x:c r="F656" s="12" t="str">
        <x:v>Mini EV</x:v>
      </x:c>
      <x:c r="G656" s="12" t="n">
        <x:v>20</x:v>
      </x:c>
      <x:c r="H656" s="12" t="n">
        <x:v>185.4</x:v>
      </x:c>
      <x:c r="I656" s="12" t="n">
        <x:v>3.71</x:v>
      </x:c>
      <x:c r="J656" s="16" t="n">
        <x:v>0.017701302770910688</x:v>
      </x:c>
      <x:c r="K656" s="12" t="n">
        <x:v>3.32</x:v>
      </x:c>
      <x:c r="L656" s="12" t="n">
        <x:f>I656-K656</x:f>
        <x:v>0.3900000000000001</x:v>
      </x:c>
      <x:c r="M656" s="16" t="n">
        <x:f>IFERROR(L656/I656,0)</x:f>
        <x:v>0.10512129380053911</x:v>
      </x:c>
    </x:row>
    <x:row r="657">
      <x:c r="A657" s="12" t="str">
        <x:v>SALE-00656</x:v>
      </x:c>
      <x:c r="B657" s="14" t="n">
        <x:v>46174</x:v>
      </x:c>
      <x:c r="C657" s="12" t="str">
        <x:v>DLR-020</x:v>
      </x:c>
      <x:c r="D657" s="12" t="str">
        <x:v>Wuling HTA Long Biên</x:v>
      </x:c>
      <x:c r="E657" s="12" t="str">
        <x:v>Wuling</x:v>
      </x:c>
      <x:c r="F657" s="12" t="str">
        <x:v>Bingo</x:v>
      </x:c>
      <x:c r="G657" s="12" t="n">
        <x:v>10</x:v>
      </x:c>
      <x:c r="H657" s="12" t="n">
        <x:v>377</x:v>
      </x:c>
      <x:c r="I657" s="12" t="n">
        <x:v>3.77</x:v>
      </x:c>
      <x:c r="J657" s="16" t="n">
        <x:v>0.04657159995972365</x:v>
      </x:c>
      <x:c r="K657" s="12" t="n">
        <x:v>3.43</x:v>
      </x:c>
      <x:c r="L657" s="12" t="n">
        <x:f>I657-K657</x:f>
        <x:v>0.33999999999999986</x:v>
      </x:c>
      <x:c r="M657" s="16" t="n">
        <x:f>IFERROR(L657/I657,0)</x:f>
        <x:v>0.09018567639257291</x:v>
      </x:c>
    </x:row>
    <x:row r="658">
      <x:c r="A658" s="12" t="str">
        <x:v>SALE-00657</x:v>
      </x:c>
      <x:c r="B658" s="14" t="n">
        <x:v>46204</x:v>
      </x:c>
      <x:c r="C658" s="12" t="str">
        <x:v>DLR-020</x:v>
      </x:c>
      <x:c r="D658" s="12" t="str">
        <x:v>Wuling HTA Long Biên</x:v>
      </x:c>
      <x:c r="E658" s="12" t="str">
        <x:v>Wuling</x:v>
      </x:c>
      <x:c r="F658" s="12" t="str">
        <x:v>Mini EV</x:v>
      </x:c>
      <x:c r="G658" s="12" t="n">
        <x:v>19</x:v>
      </x:c>
      <x:c r="H658" s="12" t="n">
        <x:v>193.1</x:v>
      </x:c>
      <x:c r="I658" s="12" t="n">
        <x:v>3.67</x:v>
      </x:c>
      <x:c r="J658" s="16" t="n">
        <x:v>0.03161727977501608</x:v>
      </x:c>
      <x:c r="K658" s="12" t="n">
        <x:v>3.38</x:v>
      </x:c>
      <x:c r="L658" s="12" t="n">
        <x:f>I658-K658</x:f>
        <x:v>0.29000000000000004</x:v>
      </x:c>
      <x:c r="M658" s="16" t="n">
        <x:f>IFERROR(L658/I658,0)</x:f>
        <x:v>0.0790190735694823</x:v>
      </x:c>
    </x:row>
    <x:row r="659">
      <x:c r="A659" s="12" t="str">
        <x:v>SALE-00658</x:v>
      </x:c>
      <x:c r="B659" s="14" t="n">
        <x:v>46204</x:v>
      </x:c>
      <x:c r="C659" s="12" t="str">
        <x:v>DLR-020</x:v>
      </x:c>
      <x:c r="D659" s="12" t="str">
        <x:v>Wuling HTA Long Biên</x:v>
      </x:c>
      <x:c r="E659" s="12" t="str">
        <x:v>Wuling</x:v>
      </x:c>
      <x:c r="F659" s="12" t="str">
        <x:v>Bingo</x:v>
      </x:c>
      <x:c r="G659" s="12" t="n">
        <x:v>11</x:v>
      </x:c>
      <x:c r="H659" s="12" t="n">
        <x:v>392.2</x:v>
      </x:c>
      <x:c r="I659" s="12" t="n">
        <x:v>4.31</x:v>
      </x:c>
      <x:c r="J659" s="16" t="n">
        <x:v>0.03964188222666992</x:v>
      </x:c>
      <x:c r="K659" s="12" t="n">
        <x:v>3.87</x:v>
      </x:c>
      <x:c r="L659" s="12" t="n">
        <x:f>I659-K659</x:f>
        <x:v>0.4399999999999995</x:v>
      </x:c>
      <x:c r="M659" s="16" t="n">
        <x:f>IFERROR(L659/I659,0)</x:f>
        <x:v>0.10208816705336417</x:v>
      </x:c>
    </x:row>
  </x:sheetData>
  <x:pageMargins left="0.7" right="0.7" top="0.75" bottom="0.75" header="0.3" footer="0.3"/>
  <x:tableParts count="1">
    <x:tablePart xmlns:r="http://schemas.openxmlformats.org/officeDocument/2006/relationships" r:id="Rf10dba72cf06499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34" hidden="0" customWidth="1"/>
    <x:col min="5" max="5" width="20" hidden="0" customWidth="1"/>
    <x:col min="6" max="6" width="20" hidden="0" customWidth="1"/>
    <x:col min="7" max="7" width="12" hidden="0" customWidth="1"/>
    <x:col min="8" max="8" width="15" hidden="0" customWidth="1"/>
    <x:col min="9" max="9" width="16" hidden="0" customWidth="1"/>
    <x:col min="10" max="10" width="16" hidden="0" customWidth="1"/>
    <x:col min="11" max="11" width="20" hidden="0" customWidth="1"/>
    <x:col min="12" max="12" width="16" hidden="0" customWidth="1"/>
  </x:cols>
  <x:sheetData>
    <x:row r="1">
      <x:c r="A1" s="6" t="str">
        <x:v>Mã tồn kho</x:v>
      </x:c>
      <x:c r="B1" s="6" t="str">
        <x:v>Ngày báo cáo</x:v>
      </x:c>
      <x:c r="C1" s="6" t="str">
        <x:v>Mã đại lý</x:v>
      </x:c>
      <x:c r="D1" s="6" t="str">
        <x:v>Đại lý</x:v>
      </x:c>
      <x:c r="E1" s="6" t="str">
        <x:v>Thương hiệu</x:v>
      </x:c>
      <x:c r="F1" s="6" t="str">
        <x:v>Mẫu xe</x:v>
      </x:c>
      <x:c r="G1" s="6" t="str">
        <x:v>Số xe tồn</x:v>
      </x:c>
      <x:c r="H1" s="6" t="str">
        <x:v>Bán TB/tháng</x:v>
      </x:c>
      <x:c r="I1" s="6" t="str">
        <x:v>Số ngày tồn kho</x:v>
      </x:c>
      <x:c r="J1" s="6" t="str">
        <x:v>Xe tồn &gt;90 ngày</x:v>
      </x:c>
      <x:c r="K1" s="6" t="str">
        <x:v>Giá trị tồn kho (tỷ)</x:v>
      </x:c>
      <x:c r="L1" s="6" t="str">
        <x:v>Trạng thái</x:v>
      </x:c>
    </x:row>
    <x:row r="2">
      <x:c r="A2" s="12" t="str">
        <x:v>INV-0001</x:v>
      </x:c>
      <x:c r="B2" s="18" t="n">
        <x:v>46234</x:v>
      </x:c>
      <x:c r="C2" s="12" t="str">
        <x:v>DLR-001</x:v>
      </x:c>
      <x:c r="D2" s="12" t="str">
        <x:v>Hà Thành Ford</x:v>
      </x:c>
      <x:c r="E2" s="12" t="str">
        <x:v>Ford</x:v>
      </x:c>
      <x:c r="F2" s="12" t="str">
        <x:v>Ranger</x:v>
      </x:c>
      <x:c r="G2" s="12" t="n">
        <x:v>18</x:v>
      </x:c>
      <x:c r="H2" s="12" t="n">
        <x:v>15</x:v>
      </x:c>
      <x:c r="I2" s="20" t="n">
        <x:f>IFERROR(G2/H2*30,0)</x:f>
        <x:v>36</x:v>
      </x:c>
      <x:c r="J2" s="12" t="n">
        <x:v>2</x:v>
      </x:c>
      <x:c r="K2" s="12" t="n">
        <x:v>12.5</x:v>
      </x:c>
      <x:c r="L2" s="12" t="str">
        <x:v>Bình thường</x:v>
      </x:c>
    </x:row>
    <x:row r="3">
      <x:c r="A3" s="12" t="str">
        <x:v>INV-0002</x:v>
      </x:c>
      <x:c r="B3" s="18" t="n">
        <x:v>46234</x:v>
      </x:c>
      <x:c r="C3" s="12" t="str">
        <x:v>DLR-001</x:v>
      </x:c>
      <x:c r="D3" s="12" t="str">
        <x:v>Hà Thành Ford</x:v>
      </x:c>
      <x:c r="E3" s="12" t="str">
        <x:v>Ford</x:v>
      </x:c>
      <x:c r="F3" s="12" t="str">
        <x:v>Everest</x:v>
      </x:c>
      <x:c r="G3" s="12" t="n">
        <x:v>25</x:v>
      </x:c>
      <x:c r="H3" s="12" t="n">
        <x:v>13</x:v>
      </x:c>
      <x:c r="I3" s="20" t="n">
        <x:f>IFERROR(G3/H3*30,0)</x:f>
        <x:v>57.69230769230769</x:v>
      </x:c>
      <x:c r="J3" s="12" t="n">
        <x:v>6</x:v>
      </x:c>
      <x:c r="K3" s="12" t="n">
        <x:v>25.76</x:v>
      </x:c>
      <x:c r="L3" s="12" t="str">
        <x:v>Cảnh báo</x:v>
      </x:c>
    </x:row>
    <x:row r="4">
      <x:c r="A4" s="12" t="str">
        <x:v>INV-0003</x:v>
      </x:c>
      <x:c r="B4" s="18" t="n">
        <x:v>46234</x:v>
      </x:c>
      <x:c r="C4" s="12" t="str">
        <x:v>DLR-001</x:v>
      </x:c>
      <x:c r="D4" s="12" t="str">
        <x:v>Hà Thành Ford</x:v>
      </x:c>
      <x:c r="E4" s="12" t="str">
        <x:v>Ford</x:v>
      </x:c>
      <x:c r="F4" s="12" t="str">
        <x:v>Territory</x:v>
      </x:c>
      <x:c r="G4" s="12" t="n">
        <x:v>29</x:v>
      </x:c>
      <x:c r="H4" s="12" t="n">
        <x:v>7</x:v>
      </x:c>
      <x:c r="I4" s="20" t="n">
        <x:f>IFERROR(G4/H4*30,0)</x:f>
        <x:v>124.28571428571429</x:v>
      </x:c>
      <x:c r="J4" s="12" t="n">
        <x:v>7</x:v>
      </x:c>
      <x:c r="K4" s="12" t="n">
        <x:v>21.88</x:v>
      </x:c>
      <x:c r="L4" s="12" t="str">
        <x:v>Cảnh báo</x:v>
      </x:c>
    </x:row>
    <x:row r="5">
      <x:c r="A5" s="12" t="str">
        <x:v>INV-0004</x:v>
      </x:c>
      <x:c r="B5" s="18" t="n">
        <x:v>46234</x:v>
      </x:c>
      <x:c r="C5" s="12" t="str">
        <x:v>DLR-001</x:v>
      </x:c>
      <x:c r="D5" s="12" t="str">
        <x:v>Hà Thành Ford</x:v>
      </x:c>
      <x:c r="E5" s="12" t="str">
        <x:v>Ford</x:v>
      </x:c>
      <x:c r="F5" s="12" t="str">
        <x:v>Explorer</x:v>
      </x:c>
      <x:c r="G5" s="12" t="n">
        <x:v>37</x:v>
      </x:c>
      <x:c r="H5" s="12" t="n">
        <x:v>10</x:v>
      </x:c>
      <x:c r="I5" s="20" t="n">
        <x:f>IFERROR(G5/H5*30,0)</x:f>
        <x:v>111</x:v>
      </x:c>
      <x:c r="J5" s="12" t="n">
        <x:v>5</x:v>
      </x:c>
      <x:c r="K5" s="12" t="n">
        <x:v>71.48</x:v>
      </x:c>
      <x:c r="L5" s="12" t="str">
        <x:v>Theo dõi</x:v>
      </x:c>
    </x:row>
    <x:row r="6">
      <x:c r="A6" s="12" t="str">
        <x:v>INV-0005</x:v>
      </x:c>
      <x:c r="B6" s="18" t="n">
        <x:v>46234</x:v>
      </x:c>
      <x:c r="C6" s="12" t="str">
        <x:v>DLR-002</x:v>
      </x:c>
      <x:c r="D6" s="12" t="str">
        <x:v>Hà Thành Ford - Mỹ Đình</x:v>
      </x:c>
      <x:c r="E6" s="12" t="str">
        <x:v>Ford</x:v>
      </x:c>
      <x:c r="F6" s="12" t="str">
        <x:v>Ranger</x:v>
      </x:c>
      <x:c r="G6" s="12" t="n">
        <x:v>9</x:v>
      </x:c>
      <x:c r="H6" s="12" t="n">
        <x:v>12</x:v>
      </x:c>
      <x:c r="I6" s="20" t="n">
        <x:f>IFERROR(G6/H6*30,0)</x:f>
        <x:v>22.5</x:v>
      </x:c>
      <x:c r="J6" s="12" t="n">
        <x:v>1</x:v>
      </x:c>
      <x:c r="K6" s="12" t="n">
        <x:v>6.25</x:v>
      </x:c>
      <x:c r="L6" s="12" t="str">
        <x:v>Cảnh báo</x:v>
      </x:c>
    </x:row>
    <x:row r="7">
      <x:c r="A7" s="12" t="str">
        <x:v>INV-0006</x:v>
      </x:c>
      <x:c r="B7" s="18" t="n">
        <x:v>46234</x:v>
      </x:c>
      <x:c r="C7" s="12" t="str">
        <x:v>DLR-002</x:v>
      </x:c>
      <x:c r="D7" s="12" t="str">
        <x:v>Hà Thành Ford - Mỹ Đình</x:v>
      </x:c>
      <x:c r="E7" s="12" t="str">
        <x:v>Ford</x:v>
      </x:c>
      <x:c r="F7" s="12" t="str">
        <x:v>Everest</x:v>
      </x:c>
      <x:c r="G7" s="12" t="n">
        <x:v>22</x:v>
      </x:c>
      <x:c r="H7" s="12" t="n">
        <x:v>14</x:v>
      </x:c>
      <x:c r="I7" s="20" t="n">
        <x:f>IFERROR(G7/H7*30,0)</x:f>
        <x:v>47.14285714285714</x:v>
      </x:c>
      <x:c r="J7" s="12" t="n">
        <x:v>2</x:v>
      </x:c>
      <x:c r="K7" s="12" t="n">
        <x:v>22.67</x:v>
      </x:c>
      <x:c r="L7" s="12" t="str">
        <x:v>Cảnh báo</x:v>
      </x:c>
    </x:row>
    <x:row r="8">
      <x:c r="A8" s="12" t="str">
        <x:v>INV-0007</x:v>
      </x:c>
      <x:c r="B8" s="18" t="n">
        <x:v>46234</x:v>
      </x:c>
      <x:c r="C8" s="12" t="str">
        <x:v>DLR-002</x:v>
      </x:c>
      <x:c r="D8" s="12" t="str">
        <x:v>Hà Thành Ford - Mỹ Đình</x:v>
      </x:c>
      <x:c r="E8" s="12" t="str">
        <x:v>Ford</x:v>
      </x:c>
      <x:c r="F8" s="12" t="str">
        <x:v>Territory</x:v>
      </x:c>
      <x:c r="G8" s="12" t="n">
        <x:v>9</x:v>
      </x:c>
      <x:c r="H8" s="12" t="n">
        <x:v>4</x:v>
      </x:c>
      <x:c r="I8" s="20" t="n">
        <x:f>IFERROR(G8/H8*30,0)</x:f>
        <x:v>67.5</x:v>
      </x:c>
      <x:c r="J8" s="12" t="n">
        <x:v>2</x:v>
      </x:c>
      <x:c r="K8" s="12" t="n">
        <x:v>6.79</x:v>
      </x:c>
      <x:c r="L8" s="12" t="str">
        <x:v>Theo dõi</x:v>
      </x:c>
    </x:row>
    <x:row r="9">
      <x:c r="A9" s="12" t="str">
        <x:v>INV-0008</x:v>
      </x:c>
      <x:c r="B9" s="18" t="n">
        <x:v>46234</x:v>
      </x:c>
      <x:c r="C9" s="12" t="str">
        <x:v>DLR-002</x:v>
      </x:c>
      <x:c r="D9" s="12" t="str">
        <x:v>Hà Thành Ford - Mỹ Đình</x:v>
      </x:c>
      <x:c r="E9" s="12" t="str">
        <x:v>Ford</x:v>
      </x:c>
      <x:c r="F9" s="12" t="str">
        <x:v>Explorer</x:v>
      </x:c>
      <x:c r="G9" s="12" t="n">
        <x:v>17</x:v>
      </x:c>
      <x:c r="H9" s="12" t="n">
        <x:v>14</x:v>
      </x:c>
      <x:c r="I9" s="20" t="n">
        <x:f>IFERROR(G9/H9*30,0)</x:f>
        <x:v>36.42857142857142</x:v>
      </x:c>
      <x:c r="J9" s="12" t="n">
        <x:v>4</x:v>
      </x:c>
      <x:c r="K9" s="12" t="n">
        <x:v>32.84</x:v>
      </x:c>
      <x:c r="L9" s="12" t="str">
        <x:v>Bình thường</x:v>
      </x:c>
    </x:row>
    <x:row r="10">
      <x:c r="A10" s="12" t="str">
        <x:v>INV-0009</x:v>
      </x:c>
      <x:c r="B10" s="18" t="n">
        <x:v>46234</x:v>
      </x:c>
      <x:c r="C10" s="12" t="str">
        <x:v>DLR-003</x:v>
      </x:c>
      <x:c r="D10" s="12" t="str">
        <x:v>Mỹ Đình Ford</x:v>
      </x:c>
      <x:c r="E10" s="12" t="str">
        <x:v>Ford</x:v>
      </x:c>
      <x:c r="F10" s="12" t="str">
        <x:v>Ranger</x:v>
      </x:c>
      <x:c r="G10" s="12" t="n">
        <x:v>18</x:v>
      </x:c>
      <x:c r="H10" s="12" t="n">
        <x:v>18</x:v>
      </x:c>
      <x:c r="I10" s="20" t="n">
        <x:f>IFERROR(G10/H10*30,0)</x:f>
        <x:v>30</x:v>
      </x:c>
      <x:c r="J10" s="12" t="n">
        <x:v>5</x:v>
      </x:c>
      <x:c r="K10" s="12" t="n">
        <x:v>12.5</x:v>
      </x:c>
      <x:c r="L10" s="12" t="str">
        <x:v>Cảnh báo</x:v>
      </x:c>
    </x:row>
    <x:row r="11">
      <x:c r="A11" s="12" t="str">
        <x:v>INV-0010</x:v>
      </x:c>
      <x:c r="B11" s="18" t="n">
        <x:v>46234</x:v>
      </x:c>
      <x:c r="C11" s="12" t="str">
        <x:v>DLR-003</x:v>
      </x:c>
      <x:c r="D11" s="12" t="str">
        <x:v>Mỹ Đình Ford</x:v>
      </x:c>
      <x:c r="E11" s="12" t="str">
        <x:v>Ford</x:v>
      </x:c>
      <x:c r="F11" s="12" t="str">
        <x:v>Everest</x:v>
      </x:c>
      <x:c r="G11" s="12" t="n">
        <x:v>32</x:v>
      </x:c>
      <x:c r="H11" s="12" t="n">
        <x:v>18</x:v>
      </x:c>
      <x:c r="I11" s="20" t="n">
        <x:f>IFERROR(G11/H11*30,0)</x:f>
        <x:v>53.33333333333333</x:v>
      </x:c>
      <x:c r="J11" s="12" t="n">
        <x:v>3</x:v>
      </x:c>
      <x:c r="K11" s="12" t="n">
        <x:v>32.97</x:v>
      </x:c>
      <x:c r="L11" s="12" t="str">
        <x:v>Theo dõi</x:v>
      </x:c>
    </x:row>
    <x:row r="12">
      <x:c r="A12" s="12" t="str">
        <x:v>INV-0011</x:v>
      </x:c>
      <x:c r="B12" s="18" t="n">
        <x:v>46234</x:v>
      </x:c>
      <x:c r="C12" s="12" t="str">
        <x:v>DLR-003</x:v>
      </x:c>
      <x:c r="D12" s="12" t="str">
        <x:v>Mỹ Đình Ford</x:v>
      </x:c>
      <x:c r="E12" s="12" t="str">
        <x:v>Ford</x:v>
      </x:c>
      <x:c r="F12" s="12" t="str">
        <x:v>Territory</x:v>
      </x:c>
      <x:c r="G12" s="12" t="n">
        <x:v>15</x:v>
      </x:c>
      <x:c r="H12" s="12" t="n">
        <x:v>6</x:v>
      </x:c>
      <x:c r="I12" s="20" t="n">
        <x:f>IFERROR(G12/H12*30,0)</x:f>
        <x:v>75</x:v>
      </x:c>
      <x:c r="J12" s="12" t="n">
        <x:v>4</x:v>
      </x:c>
      <x:c r="K12" s="12" t="n">
        <x:v>11.32</x:v>
      </x:c>
      <x:c r="L12" s="12" t="str">
        <x:v>Cảnh báo</x:v>
      </x:c>
    </x:row>
    <x:row r="13">
      <x:c r="A13" s="12" t="str">
        <x:v>INV-0012</x:v>
      </x:c>
      <x:c r="B13" s="18" t="n">
        <x:v>46234</x:v>
      </x:c>
      <x:c r="C13" s="12" t="str">
        <x:v>DLR-003</x:v>
      </x:c>
      <x:c r="D13" s="12" t="str">
        <x:v>Mỹ Đình Ford</x:v>
      </x:c>
      <x:c r="E13" s="12" t="str">
        <x:v>Ford</x:v>
      </x:c>
      <x:c r="F13" s="12" t="str">
        <x:v>Explorer</x:v>
      </x:c>
      <x:c r="G13" s="12" t="n">
        <x:v>25</x:v>
      </x:c>
      <x:c r="H13" s="12" t="n">
        <x:v>13</x:v>
      </x:c>
      <x:c r="I13" s="20" t="n">
        <x:f>IFERROR(G13/H13*30,0)</x:f>
        <x:v>57.69230769230769</x:v>
      </x:c>
      <x:c r="J13" s="12" t="n">
        <x:v>5</x:v>
      </x:c>
      <x:c r="K13" s="12" t="n">
        <x:v>48.3</x:v>
      </x:c>
      <x:c r="L13" s="12" t="str">
        <x:v>Bình thường</x:v>
      </x:c>
    </x:row>
    <x:row r="14">
      <x:c r="A14" s="12" t="str">
        <x:v>INV-0013</x:v>
      </x:c>
      <x:c r="B14" s="18" t="n">
        <x:v>46234</x:v>
      </x:c>
      <x:c r="C14" s="12" t="str">
        <x:v>DLR-004</x:v>
      </x:c>
      <x:c r="D14" s="12" t="str">
        <x:v>Việt Trì Ford</x:v>
      </x:c>
      <x:c r="E14" s="12" t="str">
        <x:v>Ford</x:v>
      </x:c>
      <x:c r="F14" s="12" t="str">
        <x:v>Ranger</x:v>
      </x:c>
      <x:c r="G14" s="12" t="n">
        <x:v>19</x:v>
      </x:c>
      <x:c r="H14" s="12" t="n">
        <x:v>13</x:v>
      </x:c>
      <x:c r="I14" s="20" t="n">
        <x:f>IFERROR(G14/H14*30,0)</x:f>
        <x:v>43.84615384615385</x:v>
      </x:c>
      <x:c r="J14" s="12" t="n">
        <x:v>3</x:v>
      </x:c>
      <x:c r="K14" s="12" t="n">
        <x:v>13.2</x:v>
      </x:c>
      <x:c r="L14" s="12" t="str">
        <x:v>Theo dõi</x:v>
      </x:c>
    </x:row>
    <x:row r="15">
      <x:c r="A15" s="12" t="str">
        <x:v>INV-0014</x:v>
      </x:c>
      <x:c r="B15" s="18" t="n">
        <x:v>46234</x:v>
      </x:c>
      <x:c r="C15" s="12" t="str">
        <x:v>DLR-004</x:v>
      </x:c>
      <x:c r="D15" s="12" t="str">
        <x:v>Việt Trì Ford</x:v>
      </x:c>
      <x:c r="E15" s="12" t="str">
        <x:v>Ford</x:v>
      </x:c>
      <x:c r="F15" s="12" t="str">
        <x:v>Everest</x:v>
      </x:c>
      <x:c r="G15" s="12" t="n">
        <x:v>25</x:v>
      </x:c>
      <x:c r="H15" s="12" t="n">
        <x:v>17</x:v>
      </x:c>
      <x:c r="I15" s="20" t="n">
        <x:f>IFERROR(G15/H15*30,0)</x:f>
        <x:v>44.117647058823536</x:v>
      </x:c>
      <x:c r="J15" s="12" t="n">
        <x:v>6</x:v>
      </x:c>
      <x:c r="K15" s="12" t="n">
        <x:v>25.76</x:v>
      </x:c>
      <x:c r="L15" s="12" t="str">
        <x:v>Bình thường</x:v>
      </x:c>
    </x:row>
    <x:row r="16">
      <x:c r="A16" s="12" t="str">
        <x:v>INV-0015</x:v>
      </x:c>
      <x:c r="B16" s="18" t="n">
        <x:v>46234</x:v>
      </x:c>
      <x:c r="C16" s="12" t="str">
        <x:v>DLR-004</x:v>
      </x:c>
      <x:c r="D16" s="12" t="str">
        <x:v>Việt Trì Ford</x:v>
      </x:c>
      <x:c r="E16" s="12" t="str">
        <x:v>Ford</x:v>
      </x:c>
      <x:c r="F16" s="12" t="str">
        <x:v>Territory</x:v>
      </x:c>
      <x:c r="G16" s="12" t="n">
        <x:v>12</x:v>
      </x:c>
      <x:c r="H16" s="12" t="n">
        <x:v>12</x:v>
      </x:c>
      <x:c r="I16" s="20" t="n">
        <x:f>IFERROR(G16/H16*30,0)</x:f>
        <x:v>30</x:v>
      </x:c>
      <x:c r="J16" s="12" t="n">
        <x:v>1</x:v>
      </x:c>
      <x:c r="K16" s="12" t="n">
        <x:v>9.05</x:v>
      </x:c>
      <x:c r="L16" s="12" t="str">
        <x:v>Bình thường</x:v>
      </x:c>
    </x:row>
    <x:row r="17">
      <x:c r="A17" s="12" t="str">
        <x:v>INV-0016</x:v>
      </x:c>
      <x:c r="B17" s="18" t="n">
        <x:v>46234</x:v>
      </x:c>
      <x:c r="C17" s="12" t="str">
        <x:v>DLR-004</x:v>
      </x:c>
      <x:c r="D17" s="12" t="str">
        <x:v>Việt Trì Ford</x:v>
      </x:c>
      <x:c r="E17" s="12" t="str">
        <x:v>Ford</x:v>
      </x:c>
      <x:c r="F17" s="12" t="str">
        <x:v>Explorer</x:v>
      </x:c>
      <x:c r="G17" s="12" t="n">
        <x:v>13</x:v>
      </x:c>
      <x:c r="H17" s="12" t="n">
        <x:v>11</x:v>
      </x:c>
      <x:c r="I17" s="20" t="n">
        <x:f>IFERROR(G17/H17*30,0)</x:f>
        <x:v>35.45454545454545</x:v>
      </x:c>
      <x:c r="J17" s="12" t="n">
        <x:v>2</x:v>
      </x:c>
      <x:c r="K17" s="12" t="n">
        <x:v>25.12</x:v>
      </x:c>
      <x:c r="L17" s="12" t="str">
        <x:v>Bình thường</x:v>
      </x:c>
    </x:row>
    <x:row r="18">
      <x:c r="A18" s="12" t="str">
        <x:v>INV-0017</x:v>
      </x:c>
      <x:c r="B18" s="18" t="n">
        <x:v>46234</x:v>
      </x:c>
      <x:c r="C18" s="12" t="str">
        <x:v>DLR-005</x:v>
      </x:c>
      <x:c r="D18" s="12" t="str">
        <x:v>BYD HTA Tây Hồ</x:v>
      </x:c>
      <x:c r="E18" s="12" t="str">
        <x:v>BYD</x:v>
      </x:c>
      <x:c r="F18" s="12" t="str">
        <x:v>Dolphin</x:v>
      </x:c>
      <x:c r="G18" s="12" t="n">
        <x:v>13</x:v>
      </x:c>
      <x:c r="H18" s="12" t="n">
        <x:v>21</x:v>
      </x:c>
      <x:c r="I18" s="20" t="n">
        <x:f>IFERROR(G18/H18*30,0)</x:f>
        <x:v>18.571428571428573</x:v>
      </x:c>
      <x:c r="J18" s="12" t="n">
        <x:v>1</x:v>
      </x:c>
      <x:c r="K18" s="12" t="n">
        <x:v>7.88</x:v>
      </x:c>
      <x:c r="L18" s="12" t="str">
        <x:v>Cảnh báo</x:v>
      </x:c>
    </x:row>
    <x:row r="19">
      <x:c r="A19" s="12" t="str">
        <x:v>INV-0018</x:v>
      </x:c>
      <x:c r="B19" s="18" t="n">
        <x:v>46234</x:v>
      </x:c>
      <x:c r="C19" s="12" t="str">
        <x:v>DLR-005</x:v>
      </x:c>
      <x:c r="D19" s="12" t="str">
        <x:v>BYD HTA Tây Hồ</x:v>
      </x:c>
      <x:c r="E19" s="12" t="str">
        <x:v>BYD</x:v>
      </x:c>
      <x:c r="F19" s="12" t="str">
        <x:v>Atto 3</x:v>
      </x:c>
      <x:c r="G19" s="12" t="n">
        <x:v>28</x:v>
      </x:c>
      <x:c r="H19" s="12" t="n">
        <x:v>12</x:v>
      </x:c>
      <x:c r="I19" s="20" t="n">
        <x:f>IFERROR(G19/H19*30,0)</x:f>
        <x:v>70</x:v>
      </x:c>
      <x:c r="J19" s="12" t="n">
        <x:v>4</x:v>
      </x:c>
      <x:c r="K19" s="12" t="n">
        <x:v>19.73</x:v>
      </x:c>
      <x:c r="L19" s="12" t="str">
        <x:v>Theo dõi</x:v>
      </x:c>
    </x:row>
    <x:row r="20">
      <x:c r="A20" s="12" t="str">
        <x:v>INV-0019</x:v>
      </x:c>
      <x:c r="B20" s="18" t="n">
        <x:v>46234</x:v>
      </x:c>
      <x:c r="C20" s="12" t="str">
        <x:v>DLR-005</x:v>
      </x:c>
      <x:c r="D20" s="12" t="str">
        <x:v>BYD HTA Tây Hồ</x:v>
      </x:c>
      <x:c r="E20" s="12" t="str">
        <x:v>BYD</x:v>
      </x:c>
      <x:c r="F20" s="12" t="str">
        <x:v>Seal</x:v>
      </x:c>
      <x:c r="G20" s="12" t="n">
        <x:v>32</x:v>
      </x:c>
      <x:c r="H20" s="12" t="n">
        <x:v>10</x:v>
      </x:c>
      <x:c r="I20" s="20" t="n">
        <x:f>IFERROR(G20/H20*30,0)</x:f>
        <x:v>96</x:v>
      </x:c>
      <x:c r="J20" s="12" t="n">
        <x:v>9</x:v>
      </x:c>
      <x:c r="K20" s="12" t="n">
        <x:v>32.94</x:v>
      </x:c>
      <x:c r="L20" s="12" t="str">
        <x:v>Cảnh báo</x:v>
      </x:c>
    </x:row>
    <x:row r="21">
      <x:c r="A21" s="12" t="str">
        <x:v>INV-0020</x:v>
      </x:c>
      <x:c r="B21" s="18" t="n">
        <x:v>46234</x:v>
      </x:c>
      <x:c r="C21" s="12" t="str">
        <x:v>DLR-005</x:v>
      </x:c>
      <x:c r="D21" s="12" t="str">
        <x:v>BYD HTA Tây Hồ</x:v>
      </x:c>
      <x:c r="E21" s="12" t="str">
        <x:v>BYD</x:v>
      </x:c>
      <x:c r="F21" s="12" t="str">
        <x:v>M6</x:v>
      </x:c>
      <x:c r="G21" s="12" t="n">
        <x:v>18</x:v>
      </x:c>
      <x:c r="H21" s="12" t="n">
        <x:v>13</x:v>
      </x:c>
      <x:c r="I21" s="20" t="n">
        <x:f>IFERROR(G21/H21*30,0)</x:f>
        <x:v>41.53846153846154</x:v>
      </x:c>
      <x:c r="J21" s="12" t="n">
        <x:v>5</x:v>
      </x:c>
      <x:c r="K21" s="12" t="n">
        <x:v>12.52</x:v>
      </x:c>
      <x:c r="L21" s="12" t="str">
        <x:v>Bình thường</x:v>
      </x:c>
    </x:row>
    <x:row r="22">
      <x:c r="A22" s="12" t="str">
        <x:v>INV-0021</x:v>
      </x:c>
      <x:c r="B22" s="18" t="n">
        <x:v>46234</x:v>
      </x:c>
      <x:c r="C22" s="12" t="str">
        <x:v>DLR-006</x:v>
      </x:c>
      <x:c r="D22" s="12" t="str">
        <x:v>BYD HTA Hoàn Kiếm</x:v>
      </x:c>
      <x:c r="E22" s="12" t="str">
        <x:v>BYD</x:v>
      </x:c>
      <x:c r="F22" s="12" t="str">
        <x:v>Dolphin</x:v>
      </x:c>
      <x:c r="G22" s="12" t="n">
        <x:v>17</x:v>
      </x:c>
      <x:c r="H22" s="12" t="n">
        <x:v>17</x:v>
      </x:c>
      <x:c r="I22" s="20" t="n">
        <x:f>IFERROR(G22/H22*30,0)</x:f>
        <x:v>30</x:v>
      </x:c>
      <x:c r="J22" s="12" t="n">
        <x:v>2</x:v>
      </x:c>
      <x:c r="K22" s="12" t="n">
        <x:v>10.31</x:v>
      </x:c>
      <x:c r="L22" s="12" t="str">
        <x:v>Theo dõi</x:v>
      </x:c>
    </x:row>
    <x:row r="23">
      <x:c r="A23" s="12" t="str">
        <x:v>INV-0022</x:v>
      </x:c>
      <x:c r="B23" s="18" t="n">
        <x:v>46234</x:v>
      </x:c>
      <x:c r="C23" s="12" t="str">
        <x:v>DLR-006</x:v>
      </x:c>
      <x:c r="D23" s="12" t="str">
        <x:v>BYD HTA Hoàn Kiếm</x:v>
      </x:c>
      <x:c r="E23" s="12" t="str">
        <x:v>BYD</x:v>
      </x:c>
      <x:c r="F23" s="12" t="str">
        <x:v>Atto 3</x:v>
      </x:c>
      <x:c r="G23" s="12" t="n">
        <x:v>12</x:v>
      </x:c>
      <x:c r="H23" s="12" t="n">
        <x:v>16</x:v>
      </x:c>
      <x:c r="I23" s="20" t="n">
        <x:f>IFERROR(G23/H23*30,0)</x:f>
        <x:v>22.5</x:v>
      </x:c>
      <x:c r="J23" s="12" t="n">
        <x:v>2</x:v>
      </x:c>
      <x:c r="K23" s="12" t="n">
        <x:v>8.46</x:v>
      </x:c>
      <x:c r="L23" s="12" t="str">
        <x:v>Theo dõi</x:v>
      </x:c>
    </x:row>
    <x:row r="24">
      <x:c r="A24" s="12" t="str">
        <x:v>INV-0023</x:v>
      </x:c>
      <x:c r="B24" s="18" t="n">
        <x:v>46234</x:v>
      </x:c>
      <x:c r="C24" s="12" t="str">
        <x:v>DLR-006</x:v>
      </x:c>
      <x:c r="D24" s="12" t="str">
        <x:v>BYD HTA Hoàn Kiếm</x:v>
      </x:c>
      <x:c r="E24" s="12" t="str">
        <x:v>BYD</x:v>
      </x:c>
      <x:c r="F24" s="12" t="str">
        <x:v>Seal</x:v>
      </x:c>
      <x:c r="G24" s="12" t="n">
        <x:v>21</x:v>
      </x:c>
      <x:c r="H24" s="12" t="n">
        <x:v>18</x:v>
      </x:c>
      <x:c r="I24" s="20" t="n">
        <x:f>IFERROR(G24/H24*30,0)</x:f>
        <x:v>35</x:v>
      </x:c>
      <x:c r="J24" s="12" t="n">
        <x:v>2</x:v>
      </x:c>
      <x:c r="K24" s="12" t="n">
        <x:v>21.62</x:v>
      </x:c>
      <x:c r="L24" s="12" t="str">
        <x:v>Bình thường</x:v>
      </x:c>
    </x:row>
    <x:row r="25">
      <x:c r="A25" s="12" t="str">
        <x:v>INV-0024</x:v>
      </x:c>
      <x:c r="B25" s="18" t="n">
        <x:v>46234</x:v>
      </x:c>
      <x:c r="C25" s="12" t="str">
        <x:v>DLR-006</x:v>
      </x:c>
      <x:c r="D25" s="12" t="str">
        <x:v>BYD HTA Hoàn Kiếm</x:v>
      </x:c>
      <x:c r="E25" s="12" t="str">
        <x:v>BYD</x:v>
      </x:c>
      <x:c r="F25" s="12" t="str">
        <x:v>M6</x:v>
      </x:c>
      <x:c r="G25" s="12" t="n">
        <x:v>19</x:v>
      </x:c>
      <x:c r="H25" s="12" t="n">
        <x:v>22</x:v>
      </x:c>
      <x:c r="I25" s="20" t="n">
        <x:f>IFERROR(G25/H25*30,0)</x:f>
        <x:v>25.90909090909091</x:v>
      </x:c>
      <x:c r="J25" s="12" t="n">
        <x:v>5</x:v>
      </x:c>
      <x:c r="K25" s="12" t="n">
        <x:v>13.21</x:v>
      </x:c>
      <x:c r="L25" s="12" t="str">
        <x:v>Bình thường</x:v>
      </x:c>
    </x:row>
    <x:row r="26">
      <x:c r="A26" s="12" t="str">
        <x:v>INV-0025</x:v>
      </x:c>
      <x:c r="B26" s="18" t="n">
        <x:v>46234</x:v>
      </x:c>
      <x:c r="C26" s="12" t="str">
        <x:v>DLR-007</x:v>
      </x:c>
      <x:c r="D26" s="12" t="str">
        <x:v>BYD Hà Đông</x:v>
      </x:c>
      <x:c r="E26" s="12" t="str">
        <x:v>BYD</x:v>
      </x:c>
      <x:c r="F26" s="12" t="str">
        <x:v>Dolphin</x:v>
      </x:c>
      <x:c r="G26" s="12" t="n">
        <x:v>16</x:v>
      </x:c>
      <x:c r="H26" s="12" t="n">
        <x:v>12</x:v>
      </x:c>
      <x:c r="I26" s="20" t="n">
        <x:f>IFERROR(G26/H26*30,0)</x:f>
        <x:v>40</x:v>
      </x:c>
      <x:c r="J26" s="12" t="n">
        <x:v>3</x:v>
      </x:c>
      <x:c r="K26" s="12" t="n">
        <x:v>9.7</x:v>
      </x:c>
      <x:c r="L26" s="12" t="str">
        <x:v>Bình thường</x:v>
      </x:c>
    </x:row>
    <x:row r="27">
      <x:c r="A27" s="12" t="str">
        <x:v>INV-0026</x:v>
      </x:c>
      <x:c r="B27" s="18" t="n">
        <x:v>46234</x:v>
      </x:c>
      <x:c r="C27" s="12" t="str">
        <x:v>DLR-007</x:v>
      </x:c>
      <x:c r="D27" s="12" t="str">
        <x:v>BYD Hà Đông</x:v>
      </x:c>
      <x:c r="E27" s="12" t="str">
        <x:v>BYD</x:v>
      </x:c>
      <x:c r="F27" s="12" t="str">
        <x:v>Atto 3</x:v>
      </x:c>
      <x:c r="G27" s="12" t="n">
        <x:v>22</x:v>
      </x:c>
      <x:c r="H27" s="12" t="n">
        <x:v>11</x:v>
      </x:c>
      <x:c r="I27" s="20" t="n">
        <x:f>IFERROR(G27/H27*30,0)</x:f>
        <x:v>60</x:v>
      </x:c>
      <x:c r="J27" s="12" t="n">
        <x:v>6</x:v>
      </x:c>
      <x:c r="K27" s="12" t="n">
        <x:v>15.5</x:v>
      </x:c>
      <x:c r="L27" s="12" t="str">
        <x:v>Bình thường</x:v>
      </x:c>
    </x:row>
    <x:row r="28">
      <x:c r="A28" s="12" t="str">
        <x:v>INV-0027</x:v>
      </x:c>
      <x:c r="B28" s="18" t="n">
        <x:v>46234</x:v>
      </x:c>
      <x:c r="C28" s="12" t="str">
        <x:v>DLR-007</x:v>
      </x:c>
      <x:c r="D28" s="12" t="str">
        <x:v>BYD Hà Đông</x:v>
      </x:c>
      <x:c r="E28" s="12" t="str">
        <x:v>BYD</x:v>
      </x:c>
      <x:c r="F28" s="12" t="str">
        <x:v>Seal</x:v>
      </x:c>
      <x:c r="G28" s="12" t="n">
        <x:v>7</x:v>
      </x:c>
      <x:c r="H28" s="12" t="n">
        <x:v>10</x:v>
      </x:c>
      <x:c r="I28" s="20" t="n">
        <x:f>IFERROR(G28/H28*30,0)</x:f>
        <x:v>21</x:v>
      </x:c>
      <x:c r="J28" s="12" t="n">
        <x:v>1</x:v>
      </x:c>
      <x:c r="K28" s="12" t="n">
        <x:v>7.21</x:v>
      </x:c>
      <x:c r="L28" s="12" t="str">
        <x:v>Theo dõi</x:v>
      </x:c>
    </x:row>
    <x:row r="29">
      <x:c r="A29" s="12" t="str">
        <x:v>INV-0028</x:v>
      </x:c>
      <x:c r="B29" s="18" t="n">
        <x:v>46234</x:v>
      </x:c>
      <x:c r="C29" s="12" t="str">
        <x:v>DLR-007</x:v>
      </x:c>
      <x:c r="D29" s="12" t="str">
        <x:v>BYD Hà Đông</x:v>
      </x:c>
      <x:c r="E29" s="12" t="str">
        <x:v>BYD</x:v>
      </x:c>
      <x:c r="F29" s="12" t="str">
        <x:v>M6</x:v>
      </x:c>
      <x:c r="G29" s="12" t="n">
        <x:v>20</x:v>
      </x:c>
      <x:c r="H29" s="12" t="n">
        <x:v>13</x:v>
      </x:c>
      <x:c r="I29" s="20" t="n">
        <x:f>IFERROR(G29/H29*30,0)</x:f>
        <x:v>46.15384615384615</x:v>
      </x:c>
      <x:c r="J29" s="12" t="n">
        <x:v>2</x:v>
      </x:c>
      <x:c r="K29" s="12" t="n">
        <x:v>13.91</x:v>
      </x:c>
      <x:c r="L29" s="12" t="str">
        <x:v>Theo dõi</x:v>
      </x:c>
    </x:row>
    <x:row r="30">
      <x:c r="A30" s="12" t="str">
        <x:v>INV-0029</x:v>
      </x:c>
      <x:c r="B30" s="18" t="n">
        <x:v>46234</x:v>
      </x:c>
      <x:c r="C30" s="12" t="str">
        <x:v>DLR-008</x:v>
      </x:c>
      <x:c r="D30" s="12" t="str">
        <x:v>VinFast HTA Nguyễn Văn Linh</x:v>
      </x:c>
      <x:c r="E30" s="12" t="str">
        <x:v>VinFast</x:v>
      </x:c>
      <x:c r="F30" s="12" t="str">
        <x:v>VF 3</x:v>
      </x:c>
      <x:c r="G30" s="12" t="n">
        <x:v>8</x:v>
      </x:c>
      <x:c r="H30" s="12" t="n">
        <x:v>16</x:v>
      </x:c>
      <x:c r="I30" s="20" t="n">
        <x:f>IFERROR(G30/H30*30,0)</x:f>
        <x:v>15</x:v>
      </x:c>
      <x:c r="J30" s="12" t="n">
        <x:v>2</x:v>
      </x:c>
      <x:c r="K30" s="12" t="n">
        <x:v>2.32</x:v>
      </x:c>
      <x:c r="L30" s="12" t="str">
        <x:v>Cảnh báo</x:v>
      </x:c>
    </x:row>
    <x:row r="31">
      <x:c r="A31" s="12" t="str">
        <x:v>INV-0030</x:v>
      </x:c>
      <x:c r="B31" s="18" t="n">
        <x:v>46234</x:v>
      </x:c>
      <x:c r="C31" s="12" t="str">
        <x:v>DLR-008</x:v>
      </x:c>
      <x:c r="D31" s="12" t="str">
        <x:v>VinFast HTA Nguyễn Văn Linh</x:v>
      </x:c>
      <x:c r="E31" s="12" t="str">
        <x:v>VinFast</x:v>
      </x:c>
      <x:c r="F31" s="12" t="str">
        <x:v>VF 5</x:v>
      </x:c>
      <x:c r="G31" s="12" t="n">
        <x:v>16</x:v>
      </x:c>
      <x:c r="H31" s="12" t="n">
        <x:v>9</x:v>
      </x:c>
      <x:c r="I31" s="20" t="n">
        <x:f>IFERROR(G31/H31*30,0)</x:f>
        <x:v>53.33333333333333</x:v>
      </x:c>
      <x:c r="J31" s="12" t="n">
        <x:v>5</x:v>
      </x:c>
      <x:c r="K31" s="12" t="n">
        <x:v>7.79</x:v>
      </x:c>
      <x:c r="L31" s="12" t="str">
        <x:v>Theo dõi</x:v>
      </x:c>
    </x:row>
    <x:row r="32">
      <x:c r="A32" s="12" t="str">
        <x:v>INV-0031</x:v>
      </x:c>
      <x:c r="B32" s="18" t="n">
        <x:v>46234</x:v>
      </x:c>
      <x:c r="C32" s="12" t="str">
        <x:v>DLR-008</x:v>
      </x:c>
      <x:c r="D32" s="12" t="str">
        <x:v>VinFast HTA Nguyễn Văn Linh</x:v>
      </x:c>
      <x:c r="E32" s="12" t="str">
        <x:v>VinFast</x:v>
      </x:c>
      <x:c r="F32" s="12" t="str">
        <x:v>VF 6</x:v>
      </x:c>
      <x:c r="G32" s="12" t="n">
        <x:v>21</x:v>
      </x:c>
      <x:c r="H32" s="12" t="n">
        <x:v>6</x:v>
      </x:c>
      <x:c r="I32" s="20" t="n">
        <x:f>IFERROR(G32/H32*30,0)</x:f>
        <x:v>105</x:v>
      </x:c>
      <x:c r="J32" s="12" t="n">
        <x:v>7</x:v>
      </x:c>
      <x:c r="K32" s="12" t="n">
        <x:v>13.31</x:v>
      </x:c>
      <x:c r="L32" s="12" t="str">
        <x:v>Cảnh báo</x:v>
      </x:c>
    </x:row>
    <x:row r="33">
      <x:c r="A33" s="12" t="str">
        <x:v>INV-0032</x:v>
      </x:c>
      <x:c r="B33" s="18" t="n">
        <x:v>46234</x:v>
      </x:c>
      <x:c r="C33" s="12" t="str">
        <x:v>DLR-008</x:v>
      </x:c>
      <x:c r="D33" s="12" t="str">
        <x:v>VinFast HTA Nguyễn Văn Linh</x:v>
      </x:c>
      <x:c r="E33" s="12" t="str">
        <x:v>VinFast</x:v>
      </x:c>
      <x:c r="F33" s="12" t="str">
        <x:v>VF 7</x:v>
      </x:c>
      <x:c r="G33" s="12" t="n">
        <x:v>16</x:v>
      </x:c>
      <x:c r="H33" s="12" t="n">
        <x:v>6</x:v>
      </x:c>
      <x:c r="I33" s="20" t="n">
        <x:f>IFERROR(G33/H33*30,0)</x:f>
        <x:v>80</x:v>
      </x:c>
      <x:c r="J33" s="12" t="n">
        <x:v>2</x:v>
      </x:c>
      <x:c r="K33" s="12" t="n">
        <x:v>12.51</x:v>
      </x:c>
      <x:c r="L33" s="12" t="str">
        <x:v>Cảnh báo</x:v>
      </x:c>
    </x:row>
    <x:row r="34">
      <x:c r="A34" s="12" t="str">
        <x:v>INV-0033</x:v>
      </x:c>
      <x:c r="B34" s="18" t="n">
        <x:v>46234</x:v>
      </x:c>
      <x:c r="C34" s="12" t="str">
        <x:v>DLR-008</x:v>
      </x:c>
      <x:c r="D34" s="12" t="str">
        <x:v>VinFast HTA Nguyễn Văn Linh</x:v>
      </x:c>
      <x:c r="E34" s="12" t="str">
        <x:v>VinFast</x:v>
      </x:c>
      <x:c r="F34" s="12" t="str">
        <x:v>VF 8</x:v>
      </x:c>
      <x:c r="G34" s="12" t="n">
        <x:v>19</x:v>
      </x:c>
      <x:c r="H34" s="12" t="n">
        <x:v>20</x:v>
      </x:c>
      <x:c r="I34" s="20" t="n">
        <x:f>IFERROR(G34/H34*30,0)</x:f>
        <x:v>28.5</x:v>
      </x:c>
      <x:c r="J34" s="12" t="n">
        <x:v>4</x:v>
      </x:c>
      <x:c r="K34" s="12" t="n">
        <x:v>17.81</x:v>
      </x:c>
      <x:c r="L34" s="12" t="str">
        <x:v>Cảnh báo</x:v>
      </x:c>
    </x:row>
    <x:row r="35">
      <x:c r="A35" s="12" t="str">
        <x:v>INV-0034</x:v>
      </x:c>
      <x:c r="B35" s="18" t="n">
        <x:v>46234</x:v>
      </x:c>
      <x:c r="C35" s="12" t="str">
        <x:v>DLR-008</x:v>
      </x:c>
      <x:c r="D35" s="12" t="str">
        <x:v>VinFast HTA Nguyễn Văn Linh</x:v>
      </x:c>
      <x:c r="E35" s="12" t="str">
        <x:v>VinFast</x:v>
      </x:c>
      <x:c r="F35" s="12" t="str">
        <x:v>VF 9</x:v>
      </x:c>
      <x:c r="G35" s="12" t="n">
        <x:v>10</x:v>
      </x:c>
      <x:c r="H35" s="12" t="n">
        <x:v>7</x:v>
      </x:c>
      <x:c r="I35" s="20" t="n">
        <x:f>IFERROR(G35/H35*30,0)</x:f>
        <x:v>42.85714285714286</x:v>
      </x:c>
      <x:c r="J35" s="12" t="n">
        <x:v>1</x:v>
      </x:c>
      <x:c r="K35" s="12" t="n">
        <x:v>13.79</x:v>
      </x:c>
      <x:c r="L35" s="12" t="str">
        <x:v>Theo dõi</x:v>
      </x:c>
    </x:row>
    <x:row r="36">
      <x:c r="A36" s="12" t="str">
        <x:v>INV-0035</x:v>
      </x:c>
      <x:c r="B36" s="18" t="n">
        <x:v>46234</x:v>
      </x:c>
      <x:c r="C36" s="12" t="str">
        <x:v>DLR-009</x:v>
      </x:c>
      <x:c r="D36" s="12" t="str">
        <x:v>VinFast HTA Đông Anh</x:v>
      </x:c>
      <x:c r="E36" s="12" t="str">
        <x:v>VinFast</x:v>
      </x:c>
      <x:c r="F36" s="12" t="str">
        <x:v>VF 3</x:v>
      </x:c>
      <x:c r="G36" s="12" t="n">
        <x:v>11</x:v>
      </x:c>
      <x:c r="H36" s="12" t="n">
        <x:v>16</x:v>
      </x:c>
      <x:c r="I36" s="20" t="n">
        <x:f>IFERROR(G36/H36*30,0)</x:f>
        <x:v>20.625</x:v>
      </x:c>
      <x:c r="J36" s="12" t="n">
        <x:v>2</x:v>
      </x:c>
      <x:c r="K36" s="12" t="n">
        <x:v>3.19</x:v>
      </x:c>
      <x:c r="L36" s="12" t="str">
        <x:v>Bình thường</x:v>
      </x:c>
    </x:row>
    <x:row r="37">
      <x:c r="A37" s="12" t="str">
        <x:v>INV-0036</x:v>
      </x:c>
      <x:c r="B37" s="18" t="n">
        <x:v>46234</x:v>
      </x:c>
      <x:c r="C37" s="12" t="str">
        <x:v>DLR-009</x:v>
      </x:c>
      <x:c r="D37" s="12" t="str">
        <x:v>VinFast HTA Đông Anh</x:v>
      </x:c>
      <x:c r="E37" s="12" t="str">
        <x:v>VinFast</x:v>
      </x:c>
      <x:c r="F37" s="12" t="str">
        <x:v>VF 5</x:v>
      </x:c>
      <x:c r="G37" s="12" t="n">
        <x:v>16</x:v>
      </x:c>
      <x:c r="H37" s="12" t="n">
        <x:v>11</x:v>
      </x:c>
      <x:c r="I37" s="20" t="n">
        <x:f>IFERROR(G37/H37*30,0)</x:f>
        <x:v>43.63636363636364</x:v>
      </x:c>
      <x:c r="J37" s="12" t="n">
        <x:v>2</x:v>
      </x:c>
      <x:c r="K37" s="12" t="n">
        <x:v>7.79</x:v>
      </x:c>
      <x:c r="L37" s="12" t="str">
        <x:v>Theo dõi</x:v>
      </x:c>
    </x:row>
    <x:row r="38">
      <x:c r="A38" s="12" t="str">
        <x:v>INV-0037</x:v>
      </x:c>
      <x:c r="B38" s="18" t="n">
        <x:v>46234</x:v>
      </x:c>
      <x:c r="C38" s="12" t="str">
        <x:v>DLR-009</x:v>
      </x:c>
      <x:c r="D38" s="12" t="str">
        <x:v>VinFast HTA Đông Anh</x:v>
      </x:c>
      <x:c r="E38" s="12" t="str">
        <x:v>VinFast</x:v>
      </x:c>
      <x:c r="F38" s="12" t="str">
        <x:v>VF 6</x:v>
      </x:c>
      <x:c r="G38" s="12" t="n">
        <x:v>30</x:v>
      </x:c>
      <x:c r="H38" s="12" t="n">
        <x:v>20</x:v>
      </x:c>
      <x:c r="I38" s="20" t="n">
        <x:f>IFERROR(G38/H38*30,0)</x:f>
        <x:v>45</x:v>
      </x:c>
      <x:c r="J38" s="12" t="n">
        <x:v>5</x:v>
      </x:c>
      <x:c r="K38" s="12" t="n">
        <x:v>19.02</x:v>
      </x:c>
      <x:c r="L38" s="12" t="str">
        <x:v>Theo dõi</x:v>
      </x:c>
    </x:row>
    <x:row r="39">
      <x:c r="A39" s="12" t="str">
        <x:v>INV-0038</x:v>
      </x:c>
      <x:c r="B39" s="18" t="n">
        <x:v>46234</x:v>
      </x:c>
      <x:c r="C39" s="12" t="str">
        <x:v>DLR-009</x:v>
      </x:c>
      <x:c r="D39" s="12" t="str">
        <x:v>VinFast HTA Đông Anh</x:v>
      </x:c>
      <x:c r="E39" s="12" t="str">
        <x:v>VinFast</x:v>
      </x:c>
      <x:c r="F39" s="12" t="str">
        <x:v>VF 7</x:v>
      </x:c>
      <x:c r="G39" s="12" t="n">
        <x:v>16</x:v>
      </x:c>
      <x:c r="H39" s="12" t="n">
        <x:v>24</x:v>
      </x:c>
      <x:c r="I39" s="20" t="n">
        <x:f>IFERROR(G39/H39*30,0)</x:f>
        <x:v>20</x:v>
      </x:c>
      <x:c r="J39" s="12" t="n">
        <x:v>2</x:v>
      </x:c>
      <x:c r="K39" s="12" t="n">
        <x:v>12.51</x:v>
      </x:c>
      <x:c r="L39" s="12" t="str">
        <x:v>Cảnh báo</x:v>
      </x:c>
    </x:row>
    <x:row r="40">
      <x:c r="A40" s="12" t="str">
        <x:v>INV-0039</x:v>
      </x:c>
      <x:c r="B40" s="18" t="n">
        <x:v>46234</x:v>
      </x:c>
      <x:c r="C40" s="12" t="str">
        <x:v>DLR-009</x:v>
      </x:c>
      <x:c r="D40" s="12" t="str">
        <x:v>VinFast HTA Đông Anh</x:v>
      </x:c>
      <x:c r="E40" s="12" t="str">
        <x:v>VinFast</x:v>
      </x:c>
      <x:c r="F40" s="12" t="str">
        <x:v>VF 8</x:v>
      </x:c>
      <x:c r="G40" s="12" t="n">
        <x:v>12</x:v>
      </x:c>
      <x:c r="H40" s="12" t="n">
        <x:v>8</x:v>
      </x:c>
      <x:c r="I40" s="20" t="n">
        <x:f>IFERROR(G40/H40*30,0)</x:f>
        <x:v>45</x:v>
      </x:c>
      <x:c r="J40" s="12" t="n">
        <x:v>2</x:v>
      </x:c>
      <x:c r="K40" s="12" t="n">
        <x:v>11.25</x:v>
      </x:c>
      <x:c r="L40" s="12" t="str">
        <x:v>Theo dõi</x:v>
      </x:c>
    </x:row>
    <x:row r="41">
      <x:c r="A41" s="12" t="str">
        <x:v>INV-0040</x:v>
      </x:c>
      <x:c r="B41" s="18" t="n">
        <x:v>46234</x:v>
      </x:c>
      <x:c r="C41" s="12" t="str">
        <x:v>DLR-009</x:v>
      </x:c>
      <x:c r="D41" s="12" t="str">
        <x:v>VinFast HTA Đông Anh</x:v>
      </x:c>
      <x:c r="E41" s="12" t="str">
        <x:v>VinFast</x:v>
      </x:c>
      <x:c r="F41" s="12" t="str">
        <x:v>VF 9</x:v>
      </x:c>
      <x:c r="G41" s="12" t="n">
        <x:v>21</x:v>
      </x:c>
      <x:c r="H41" s="12" t="n">
        <x:v>16</x:v>
      </x:c>
      <x:c r="I41" s="20" t="n">
        <x:f>IFERROR(G41/H41*30,0)</x:f>
        <x:v>39.375</x:v>
      </x:c>
      <x:c r="J41" s="12" t="n">
        <x:v>7</x:v>
      </x:c>
      <x:c r="K41" s="12" t="n">
        <x:v>28.96</x:v>
      </x:c>
      <x:c r="L41" s="12" t="str">
        <x:v>Bình thường</x:v>
      </x:c>
    </x:row>
    <x:row r="42">
      <x:c r="A42" s="12" t="str">
        <x:v>INV-0041</x:v>
      </x:c>
      <x:c r="B42" s="18" t="n">
        <x:v>46234</x:v>
      </x:c>
      <x:c r="C42" s="12" t="str">
        <x:v>DLR-010</x:v>
      </x:c>
      <x:c r="D42" s="12" t="str">
        <x:v>VinFast HTA Đàm Quang Trung</x:v>
      </x:c>
      <x:c r="E42" s="12" t="str">
        <x:v>VinFast</x:v>
      </x:c>
      <x:c r="F42" s="12" t="str">
        <x:v>VF 3</x:v>
      </x:c>
      <x:c r="G42" s="12" t="n">
        <x:v>16</x:v>
      </x:c>
      <x:c r="H42" s="12" t="n">
        <x:v>10</x:v>
      </x:c>
      <x:c r="I42" s="20" t="n">
        <x:f>IFERROR(G42/H42*30,0)</x:f>
        <x:v>48</x:v>
      </x:c>
      <x:c r="J42" s="12" t="n">
        <x:v>5</x:v>
      </x:c>
      <x:c r="K42" s="12" t="n">
        <x:v>4.64</x:v>
      </x:c>
      <x:c r="L42" s="12" t="str">
        <x:v>Bình thường</x:v>
      </x:c>
    </x:row>
    <x:row r="43">
      <x:c r="A43" s="12" t="str">
        <x:v>INV-0042</x:v>
      </x:c>
      <x:c r="B43" s="18" t="n">
        <x:v>46234</x:v>
      </x:c>
      <x:c r="C43" s="12" t="str">
        <x:v>DLR-010</x:v>
      </x:c>
      <x:c r="D43" s="12" t="str">
        <x:v>VinFast HTA Đàm Quang Trung</x:v>
      </x:c>
      <x:c r="E43" s="12" t="str">
        <x:v>VinFast</x:v>
      </x:c>
      <x:c r="F43" s="12" t="str">
        <x:v>VF 5</x:v>
      </x:c>
      <x:c r="G43" s="12" t="n">
        <x:v>10</x:v>
      </x:c>
      <x:c r="H43" s="12" t="n">
        <x:v>13</x:v>
      </x:c>
      <x:c r="I43" s="20" t="n">
        <x:f>IFERROR(G43/H43*30,0)</x:f>
        <x:v>23.076923076923077</x:v>
      </x:c>
      <x:c r="J43" s="12" t="n">
        <x:v>3</x:v>
      </x:c>
      <x:c r="K43" s="12" t="n">
        <x:v>4.87</x:v>
      </x:c>
      <x:c r="L43" s="12" t="str">
        <x:v>Cảnh báo</x:v>
      </x:c>
    </x:row>
    <x:row r="44">
      <x:c r="A44" s="12" t="str">
        <x:v>INV-0043</x:v>
      </x:c>
      <x:c r="B44" s="18" t="n">
        <x:v>46234</x:v>
      </x:c>
      <x:c r="C44" s="12" t="str">
        <x:v>DLR-010</x:v>
      </x:c>
      <x:c r="D44" s="12" t="str">
        <x:v>VinFast HTA Đàm Quang Trung</x:v>
      </x:c>
      <x:c r="E44" s="12" t="str">
        <x:v>VinFast</x:v>
      </x:c>
      <x:c r="F44" s="12" t="str">
        <x:v>VF 6</x:v>
      </x:c>
      <x:c r="G44" s="12" t="n">
        <x:v>19</x:v>
      </x:c>
      <x:c r="H44" s="12" t="n">
        <x:v>7</x:v>
      </x:c>
      <x:c r="I44" s="20" t="n">
        <x:f>IFERROR(G44/H44*30,0)</x:f>
        <x:v>81.42857142857143</x:v>
      </x:c>
      <x:c r="J44" s="12" t="n">
        <x:v>5</x:v>
      </x:c>
      <x:c r="K44" s="12" t="n">
        <x:v>12.04</x:v>
      </x:c>
      <x:c r="L44" s="12" t="str">
        <x:v>Bình thường</x:v>
      </x:c>
    </x:row>
    <x:row r="45">
      <x:c r="A45" s="12" t="str">
        <x:v>INV-0044</x:v>
      </x:c>
      <x:c r="B45" s="18" t="n">
        <x:v>46234</x:v>
      </x:c>
      <x:c r="C45" s="12" t="str">
        <x:v>DLR-010</x:v>
      </x:c>
      <x:c r="D45" s="12" t="str">
        <x:v>VinFast HTA Đàm Quang Trung</x:v>
      </x:c>
      <x:c r="E45" s="12" t="str">
        <x:v>VinFast</x:v>
      </x:c>
      <x:c r="F45" s="12" t="str">
        <x:v>VF 7</x:v>
      </x:c>
      <x:c r="G45" s="12" t="n">
        <x:v>8</x:v>
      </x:c>
      <x:c r="H45" s="12" t="n">
        <x:v>7</x:v>
      </x:c>
      <x:c r="I45" s="20" t="n">
        <x:f>IFERROR(G45/H45*30,0)</x:f>
        <x:v>34.285714285714285</x:v>
      </x:c>
      <x:c r="J45" s="12" t="n">
        <x:v>1</x:v>
      </x:c>
      <x:c r="K45" s="12" t="n">
        <x:v>6.26</x:v>
      </x:c>
      <x:c r="L45" s="12" t="str">
        <x:v>Cảnh báo</x:v>
      </x:c>
    </x:row>
    <x:row r="46">
      <x:c r="A46" s="12" t="str">
        <x:v>INV-0045</x:v>
      </x:c>
      <x:c r="B46" s="18" t="n">
        <x:v>46234</x:v>
      </x:c>
      <x:c r="C46" s="12" t="str">
        <x:v>DLR-010</x:v>
      </x:c>
      <x:c r="D46" s="12" t="str">
        <x:v>VinFast HTA Đàm Quang Trung</x:v>
      </x:c>
      <x:c r="E46" s="12" t="str">
        <x:v>VinFast</x:v>
      </x:c>
      <x:c r="F46" s="12" t="str">
        <x:v>VF 8</x:v>
      </x:c>
      <x:c r="G46" s="12" t="n">
        <x:v>7</x:v>
      </x:c>
      <x:c r="H46" s="12" t="n">
        <x:v>8</x:v>
      </x:c>
      <x:c r="I46" s="20" t="n">
        <x:f>IFERROR(G46/H46*30,0)</x:f>
        <x:v>26.25</x:v>
      </x:c>
      <x:c r="J46" s="12" t="n">
        <x:v>2</x:v>
      </x:c>
      <x:c r="K46" s="12" t="n">
        <x:v>6.56</x:v>
      </x:c>
      <x:c r="L46" s="12" t="str">
        <x:v>Bình thường</x:v>
      </x:c>
    </x:row>
    <x:row r="47">
      <x:c r="A47" s="12" t="str">
        <x:v>INV-0046</x:v>
      </x:c>
      <x:c r="B47" s="18" t="n">
        <x:v>46234</x:v>
      </x:c>
      <x:c r="C47" s="12" t="str">
        <x:v>DLR-010</x:v>
      </x:c>
      <x:c r="D47" s="12" t="str">
        <x:v>VinFast HTA Đàm Quang Trung</x:v>
      </x:c>
      <x:c r="E47" s="12" t="str">
        <x:v>VinFast</x:v>
      </x:c>
      <x:c r="F47" s="12" t="str">
        <x:v>VF 9</x:v>
      </x:c>
      <x:c r="G47" s="12" t="n">
        <x:v>7</x:v>
      </x:c>
      <x:c r="H47" s="12" t="n">
        <x:v>9</x:v>
      </x:c>
      <x:c r="I47" s="20" t="n">
        <x:f>IFERROR(G47/H47*30,0)</x:f>
        <x:v>23.333333333333332</x:v>
      </x:c>
      <x:c r="J47" s="12" t="n">
        <x:v>1</x:v>
      </x:c>
      <x:c r="K47" s="12" t="n">
        <x:v>9.65</x:v>
      </x:c>
      <x:c r="L47" s="12" t="str">
        <x:v>Cảnh báo</x:v>
      </x:c>
    </x:row>
    <x:row r="48">
      <x:c r="A48" s="12" t="str">
        <x:v>INV-0047</x:v>
      </x:c>
      <x:c r="B48" s="18" t="n">
        <x:v>46234</x:v>
      </x:c>
      <x:c r="C48" s="12" t="str">
        <x:v>DLR-011</x:v>
      </x:c>
      <x:c r="D48" s="12" t="str">
        <x:v>VinFast HTA Phạm Văn Đồng</x:v>
      </x:c>
      <x:c r="E48" s="12" t="str">
        <x:v>VinFast</x:v>
      </x:c>
      <x:c r="F48" s="12" t="str">
        <x:v>VF 3</x:v>
      </x:c>
      <x:c r="G48" s="12" t="n">
        <x:v>21</x:v>
      </x:c>
      <x:c r="H48" s="12" t="n">
        <x:v>6</x:v>
      </x:c>
      <x:c r="I48" s="20" t="n">
        <x:f>IFERROR(G48/H48*30,0)</x:f>
        <x:v>105</x:v>
      </x:c>
      <x:c r="J48" s="12" t="n">
        <x:v>2</x:v>
      </x:c>
      <x:c r="K48" s="12" t="n">
        <x:v>6.09</x:v>
      </x:c>
      <x:c r="L48" s="12" t="str">
        <x:v>Bình thường</x:v>
      </x:c>
    </x:row>
    <x:row r="49">
      <x:c r="A49" s="12" t="str">
        <x:v>INV-0048</x:v>
      </x:c>
      <x:c r="B49" s="18" t="n">
        <x:v>46234</x:v>
      </x:c>
      <x:c r="C49" s="12" t="str">
        <x:v>DLR-011</x:v>
      </x:c>
      <x:c r="D49" s="12" t="str">
        <x:v>VinFast HTA Phạm Văn Đồng</x:v>
      </x:c>
      <x:c r="E49" s="12" t="str">
        <x:v>VinFast</x:v>
      </x:c>
      <x:c r="F49" s="12" t="str">
        <x:v>VF 5</x:v>
      </x:c>
      <x:c r="G49" s="12" t="n">
        <x:v>10</x:v>
      </x:c>
      <x:c r="H49" s="12" t="n">
        <x:v>6</x:v>
      </x:c>
      <x:c r="I49" s="20" t="n">
        <x:f>IFERROR(G49/H49*30,0)</x:f>
        <x:v>50</x:v>
      </x:c>
      <x:c r="J49" s="12" t="n">
        <x:v>3</x:v>
      </x:c>
      <x:c r="K49" s="12" t="n">
        <x:v>4.87</x:v>
      </x:c>
      <x:c r="L49" s="12" t="str">
        <x:v>Bình thường</x:v>
      </x:c>
    </x:row>
    <x:row r="50">
      <x:c r="A50" s="12" t="str">
        <x:v>INV-0049</x:v>
      </x:c>
      <x:c r="B50" s="18" t="n">
        <x:v>46234</x:v>
      </x:c>
      <x:c r="C50" s="12" t="str">
        <x:v>DLR-011</x:v>
      </x:c>
      <x:c r="D50" s="12" t="str">
        <x:v>VinFast HTA Phạm Văn Đồng</x:v>
      </x:c>
      <x:c r="E50" s="12" t="str">
        <x:v>VinFast</x:v>
      </x:c>
      <x:c r="F50" s="12" t="str">
        <x:v>VF 6</x:v>
      </x:c>
      <x:c r="G50" s="12" t="n">
        <x:v>11</x:v>
      </x:c>
      <x:c r="H50" s="12" t="n">
        <x:v>17</x:v>
      </x:c>
      <x:c r="I50" s="20" t="n">
        <x:f>IFERROR(G50/H50*30,0)</x:f>
        <x:v>19.411764705882355</x:v>
      </x:c>
      <x:c r="J50" s="12" t="n">
        <x:v>2</x:v>
      </x:c>
      <x:c r="K50" s="12" t="n">
        <x:v>6.97</x:v>
      </x:c>
      <x:c r="L50" s="12" t="str">
        <x:v>Cảnh báo</x:v>
      </x:c>
    </x:row>
    <x:row r="51">
      <x:c r="A51" s="12" t="str">
        <x:v>INV-0050</x:v>
      </x:c>
      <x:c r="B51" s="18" t="n">
        <x:v>46234</x:v>
      </x:c>
      <x:c r="C51" s="12" t="str">
        <x:v>DLR-011</x:v>
      </x:c>
      <x:c r="D51" s="12" t="str">
        <x:v>VinFast HTA Phạm Văn Đồng</x:v>
      </x:c>
      <x:c r="E51" s="12" t="str">
        <x:v>VinFast</x:v>
      </x:c>
      <x:c r="F51" s="12" t="str">
        <x:v>VF 7</x:v>
      </x:c>
      <x:c r="G51" s="12" t="n">
        <x:v>30</x:v>
      </x:c>
      <x:c r="H51" s="12" t="n">
        <x:v>6</x:v>
      </x:c>
      <x:c r="I51" s="20" t="n">
        <x:f>IFERROR(G51/H51*30,0)</x:f>
        <x:v>150</x:v>
      </x:c>
      <x:c r="J51" s="12" t="n">
        <x:v>7</x:v>
      </x:c>
      <x:c r="K51" s="12" t="n">
        <x:v>23.46</x:v>
      </x:c>
      <x:c r="L51" s="12" t="str">
        <x:v>Bình thường</x:v>
      </x:c>
    </x:row>
    <x:row r="52">
      <x:c r="A52" s="12" t="str">
        <x:v>INV-0051</x:v>
      </x:c>
      <x:c r="B52" s="18" t="n">
        <x:v>46234</x:v>
      </x:c>
      <x:c r="C52" s="12" t="str">
        <x:v>DLR-011</x:v>
      </x:c>
      <x:c r="D52" s="12" t="str">
        <x:v>VinFast HTA Phạm Văn Đồng</x:v>
      </x:c>
      <x:c r="E52" s="12" t="str">
        <x:v>VinFast</x:v>
      </x:c>
      <x:c r="F52" s="12" t="str">
        <x:v>VF 8</x:v>
      </x:c>
      <x:c r="G52" s="12" t="n">
        <x:v>8</x:v>
      </x:c>
      <x:c r="H52" s="12" t="n">
        <x:v>6</x:v>
      </x:c>
      <x:c r="I52" s="20" t="n">
        <x:f>IFERROR(G52/H52*30,0)</x:f>
        <x:v>40</x:v>
      </x:c>
      <x:c r="J52" s="12" t="n">
        <x:v>2</x:v>
      </x:c>
      <x:c r="K52" s="12" t="n">
        <x:v>7.5</x:v>
      </x:c>
      <x:c r="L52" s="12" t="str">
        <x:v>Theo dõi</x:v>
      </x:c>
    </x:row>
    <x:row r="53">
      <x:c r="A53" s="12" t="str">
        <x:v>INV-0052</x:v>
      </x:c>
      <x:c r="B53" s="18" t="n">
        <x:v>46234</x:v>
      </x:c>
      <x:c r="C53" s="12" t="str">
        <x:v>DLR-011</x:v>
      </x:c>
      <x:c r="D53" s="12" t="str">
        <x:v>VinFast HTA Phạm Văn Đồng</x:v>
      </x:c>
      <x:c r="E53" s="12" t="str">
        <x:v>VinFast</x:v>
      </x:c>
      <x:c r="F53" s="12" t="str">
        <x:v>VF 9</x:v>
      </x:c>
      <x:c r="G53" s="12" t="n">
        <x:v>27</x:v>
      </x:c>
      <x:c r="H53" s="12" t="n">
        <x:v>6</x:v>
      </x:c>
      <x:c r="I53" s="20" t="n">
        <x:f>IFERROR(G53/H53*30,0)</x:f>
        <x:v>135</x:v>
      </x:c>
      <x:c r="J53" s="12" t="n">
        <x:v>8</x:v>
      </x:c>
      <x:c r="K53" s="12" t="n">
        <x:v>37.24</x:v>
      </x:c>
      <x:c r="L53" s="12" t="str">
        <x:v>Theo dõi</x:v>
      </x:c>
    </x:row>
    <x:row r="54">
      <x:c r="A54" s="12" t="str">
        <x:v>INV-0053</x:v>
      </x:c>
      <x:c r="B54" s="18" t="n">
        <x:v>46234</x:v>
      </x:c>
      <x:c r="C54" s="12" t="str">
        <x:v>DLR-012</x:v>
      </x:c>
      <x:c r="D54" s="12" t="str">
        <x:v>VinFast HTA Võ Chí Công</x:v>
      </x:c>
      <x:c r="E54" s="12" t="str">
        <x:v>VinFast</x:v>
      </x:c>
      <x:c r="F54" s="12" t="str">
        <x:v>VF 3</x:v>
      </x:c>
      <x:c r="G54" s="12" t="n">
        <x:v>13</x:v>
      </x:c>
      <x:c r="H54" s="12" t="n">
        <x:v>25</x:v>
      </x:c>
      <x:c r="I54" s="20" t="n">
        <x:f>IFERROR(G54/H54*30,0)</x:f>
        <x:v>15.600000000000001</x:v>
      </x:c>
      <x:c r="J54" s="12" t="n">
        <x:v>1</x:v>
      </x:c>
      <x:c r="K54" s="12" t="n">
        <x:v>3.77</x:v>
      </x:c>
      <x:c r="L54" s="12" t="str">
        <x:v>Cảnh báo</x:v>
      </x:c>
    </x:row>
    <x:row r="55">
      <x:c r="A55" s="12" t="str">
        <x:v>INV-0054</x:v>
      </x:c>
      <x:c r="B55" s="18" t="n">
        <x:v>46234</x:v>
      </x:c>
      <x:c r="C55" s="12" t="str">
        <x:v>DLR-012</x:v>
      </x:c>
      <x:c r="D55" s="12" t="str">
        <x:v>VinFast HTA Võ Chí Công</x:v>
      </x:c>
      <x:c r="E55" s="12" t="str">
        <x:v>VinFast</x:v>
      </x:c>
      <x:c r="F55" s="12" t="str">
        <x:v>VF 5</x:v>
      </x:c>
      <x:c r="G55" s="12" t="n">
        <x:v>23</x:v>
      </x:c>
      <x:c r="H55" s="12" t="n">
        <x:v>20</x:v>
      </x:c>
      <x:c r="I55" s="20" t="n">
        <x:f>IFERROR(G55/H55*30,0)</x:f>
        <x:v>34.5</x:v>
      </x:c>
      <x:c r="J55" s="12" t="n">
        <x:v>5</x:v>
      </x:c>
      <x:c r="K55" s="12" t="n">
        <x:v>11.19</x:v>
      </x:c>
      <x:c r="L55" s="12" t="str">
        <x:v>Theo dõi</x:v>
      </x:c>
    </x:row>
    <x:row r="56">
      <x:c r="A56" s="12" t="str">
        <x:v>INV-0055</x:v>
      </x:c>
      <x:c r="B56" s="18" t="n">
        <x:v>46234</x:v>
      </x:c>
      <x:c r="C56" s="12" t="str">
        <x:v>DLR-012</x:v>
      </x:c>
      <x:c r="D56" s="12" t="str">
        <x:v>VinFast HTA Võ Chí Công</x:v>
      </x:c>
      <x:c r="E56" s="12" t="str">
        <x:v>VinFast</x:v>
      </x:c>
      <x:c r="F56" s="12" t="str">
        <x:v>VF 6</x:v>
      </x:c>
      <x:c r="G56" s="12" t="n">
        <x:v>31</x:v>
      </x:c>
      <x:c r="H56" s="12" t="n">
        <x:v>9</x:v>
      </x:c>
      <x:c r="I56" s="20" t="n">
        <x:f>IFERROR(G56/H56*30,0)</x:f>
        <x:v>103.33333333333334</x:v>
      </x:c>
      <x:c r="J56" s="12" t="n">
        <x:v>4</x:v>
      </x:c>
      <x:c r="K56" s="12" t="n">
        <x:v>19.65</x:v>
      </x:c>
      <x:c r="L56" s="12" t="str">
        <x:v>Bình thường</x:v>
      </x:c>
    </x:row>
    <x:row r="57">
      <x:c r="A57" s="12" t="str">
        <x:v>INV-0056</x:v>
      </x:c>
      <x:c r="B57" s="18" t="n">
        <x:v>46234</x:v>
      </x:c>
      <x:c r="C57" s="12" t="str">
        <x:v>DLR-012</x:v>
      </x:c>
      <x:c r="D57" s="12" t="str">
        <x:v>VinFast HTA Võ Chí Công</x:v>
      </x:c>
      <x:c r="E57" s="12" t="str">
        <x:v>VinFast</x:v>
      </x:c>
      <x:c r="F57" s="12" t="str">
        <x:v>VF 7</x:v>
      </x:c>
      <x:c r="G57" s="12" t="n">
        <x:v>18</x:v>
      </x:c>
      <x:c r="H57" s="12" t="n">
        <x:v>15</x:v>
      </x:c>
      <x:c r="I57" s="20" t="n">
        <x:f>IFERROR(G57/H57*30,0)</x:f>
        <x:v>36</x:v>
      </x:c>
      <x:c r="J57" s="12" t="n">
        <x:v>2</x:v>
      </x:c>
      <x:c r="K57" s="12" t="n">
        <x:v>14.08</x:v>
      </x:c>
      <x:c r="L57" s="12" t="str">
        <x:v>Cảnh báo</x:v>
      </x:c>
    </x:row>
    <x:row r="58">
      <x:c r="A58" s="12" t="str">
        <x:v>INV-0057</x:v>
      </x:c>
      <x:c r="B58" s="18" t="n">
        <x:v>46234</x:v>
      </x:c>
      <x:c r="C58" s="12" t="str">
        <x:v>DLR-012</x:v>
      </x:c>
      <x:c r="D58" s="12" t="str">
        <x:v>VinFast HTA Võ Chí Công</x:v>
      </x:c>
      <x:c r="E58" s="12" t="str">
        <x:v>VinFast</x:v>
      </x:c>
      <x:c r="F58" s="12" t="str">
        <x:v>VF 8</x:v>
      </x:c>
      <x:c r="G58" s="12" t="n">
        <x:v>29</x:v>
      </x:c>
      <x:c r="H58" s="12" t="n">
        <x:v>11</x:v>
      </x:c>
      <x:c r="I58" s="20" t="n">
        <x:f>IFERROR(G58/H58*30,0)</x:f>
        <x:v>79.0909090909091</x:v>
      </x:c>
      <x:c r="J58" s="12" t="n">
        <x:v>4</x:v>
      </x:c>
      <x:c r="K58" s="12" t="n">
        <x:v>27.19</x:v>
      </x:c>
      <x:c r="L58" s="12" t="str">
        <x:v>Theo dõi</x:v>
      </x:c>
    </x:row>
    <x:row r="59">
      <x:c r="A59" s="12" t="str">
        <x:v>INV-0058</x:v>
      </x:c>
      <x:c r="B59" s="18" t="n">
        <x:v>46234</x:v>
      </x:c>
      <x:c r="C59" s="12" t="str">
        <x:v>DLR-012</x:v>
      </x:c>
      <x:c r="D59" s="12" t="str">
        <x:v>VinFast HTA Võ Chí Công</x:v>
      </x:c>
      <x:c r="E59" s="12" t="str">
        <x:v>VinFast</x:v>
      </x:c>
      <x:c r="F59" s="12" t="str">
        <x:v>VF 9</x:v>
      </x:c>
      <x:c r="G59" s="12" t="n">
        <x:v>37</x:v>
      </x:c>
      <x:c r="H59" s="12" t="n">
        <x:v>15</x:v>
      </x:c>
      <x:c r="I59" s="20" t="n">
        <x:f>IFERROR(G59/H59*30,0)</x:f>
        <x:v>74</x:v>
      </x:c>
      <x:c r="J59" s="12" t="n">
        <x:v>4</x:v>
      </x:c>
      <x:c r="K59" s="12" t="n">
        <x:v>51.03</x:v>
      </x:c>
      <x:c r="L59" s="12" t="str">
        <x:v>Theo dõi</x:v>
      </x:c>
    </x:row>
    <x:row r="60">
      <x:c r="A60" s="12" t="str">
        <x:v>INV-0059</x:v>
      </x:c>
      <x:c r="B60" s="18" t="n">
        <x:v>46234</x:v>
      </x:c>
      <x:c r="C60" s="12" t="str">
        <x:v>DLR-013</x:v>
      </x:c>
      <x:c r="D60" s="12" t="str">
        <x:v>VinFast HTA Ninh Bình</x:v>
      </x:c>
      <x:c r="E60" s="12" t="str">
        <x:v>VinFast</x:v>
      </x:c>
      <x:c r="F60" s="12" t="str">
        <x:v>VF 3</x:v>
      </x:c>
      <x:c r="G60" s="12" t="n">
        <x:v>11</x:v>
      </x:c>
      <x:c r="H60" s="12" t="n">
        <x:v>8</x:v>
      </x:c>
      <x:c r="I60" s="20" t="n">
        <x:f>IFERROR(G60/H60*30,0)</x:f>
        <x:v>41.25</x:v>
      </x:c>
      <x:c r="J60" s="12" t="n">
        <x:v>3</x:v>
      </x:c>
      <x:c r="K60" s="12" t="n">
        <x:v>3.19</x:v>
      </x:c>
      <x:c r="L60" s="12" t="str">
        <x:v>Cảnh báo</x:v>
      </x:c>
    </x:row>
    <x:row r="61">
      <x:c r="A61" s="12" t="str">
        <x:v>INV-0060</x:v>
      </x:c>
      <x:c r="B61" s="18" t="n">
        <x:v>46234</x:v>
      </x:c>
      <x:c r="C61" s="12" t="str">
        <x:v>DLR-013</x:v>
      </x:c>
      <x:c r="D61" s="12" t="str">
        <x:v>VinFast HTA Ninh Bình</x:v>
      </x:c>
      <x:c r="E61" s="12" t="str">
        <x:v>VinFast</x:v>
      </x:c>
      <x:c r="F61" s="12" t="str">
        <x:v>VF 5</x:v>
      </x:c>
      <x:c r="G61" s="12" t="n">
        <x:v>13</x:v>
      </x:c>
      <x:c r="H61" s="12" t="n">
        <x:v>20</x:v>
      </x:c>
      <x:c r="I61" s="20" t="n">
        <x:f>IFERROR(G61/H61*30,0)</x:f>
        <x:v>19.5</x:v>
      </x:c>
      <x:c r="J61" s="12" t="n">
        <x:v>3</x:v>
      </x:c>
      <x:c r="K61" s="12" t="n">
        <x:v>6.33</x:v>
      </x:c>
      <x:c r="L61" s="12" t="str">
        <x:v>Bình thường</x:v>
      </x:c>
    </x:row>
    <x:row r="62">
      <x:c r="A62" s="12" t="str">
        <x:v>INV-0061</x:v>
      </x:c>
      <x:c r="B62" s="18" t="n">
        <x:v>46234</x:v>
      </x:c>
      <x:c r="C62" s="12" t="str">
        <x:v>DLR-013</x:v>
      </x:c>
      <x:c r="D62" s="12" t="str">
        <x:v>VinFast HTA Ninh Bình</x:v>
      </x:c>
      <x:c r="E62" s="12" t="str">
        <x:v>VinFast</x:v>
      </x:c>
      <x:c r="F62" s="12" t="str">
        <x:v>VF 6</x:v>
      </x:c>
      <x:c r="G62" s="12" t="n">
        <x:v>32</x:v>
      </x:c>
      <x:c r="H62" s="12" t="n">
        <x:v>17</x:v>
      </x:c>
      <x:c r="I62" s="20" t="n">
        <x:f>IFERROR(G62/H62*30,0)</x:f>
        <x:v>56.470588235294116</x:v>
      </x:c>
      <x:c r="J62" s="12" t="n">
        <x:v>5</x:v>
      </x:c>
      <x:c r="K62" s="12" t="n">
        <x:v>20.28</x:v>
      </x:c>
      <x:c r="L62" s="12" t="str">
        <x:v>Cảnh báo</x:v>
      </x:c>
    </x:row>
    <x:row r="63">
      <x:c r="A63" s="12" t="str">
        <x:v>INV-0062</x:v>
      </x:c>
      <x:c r="B63" s="18" t="n">
        <x:v>46234</x:v>
      </x:c>
      <x:c r="C63" s="12" t="str">
        <x:v>DLR-013</x:v>
      </x:c>
      <x:c r="D63" s="12" t="str">
        <x:v>VinFast HTA Ninh Bình</x:v>
      </x:c>
      <x:c r="E63" s="12" t="str">
        <x:v>VinFast</x:v>
      </x:c>
      <x:c r="F63" s="12" t="str">
        <x:v>VF 7</x:v>
      </x:c>
      <x:c r="G63" s="12" t="n">
        <x:v>26</x:v>
      </x:c>
      <x:c r="H63" s="12" t="n">
        <x:v>10</x:v>
      </x:c>
      <x:c r="I63" s="20" t="n">
        <x:f>IFERROR(G63/H63*30,0)</x:f>
        <x:v>78</x:v>
      </x:c>
      <x:c r="J63" s="12" t="n">
        <x:v>6</x:v>
      </x:c>
      <x:c r="K63" s="12" t="n">
        <x:v>20.33</x:v>
      </x:c>
      <x:c r="L63" s="12" t="str">
        <x:v>Theo dõi</x:v>
      </x:c>
    </x:row>
    <x:row r="64">
      <x:c r="A64" s="12" t="str">
        <x:v>INV-0063</x:v>
      </x:c>
      <x:c r="B64" s="18" t="n">
        <x:v>46234</x:v>
      </x:c>
      <x:c r="C64" s="12" t="str">
        <x:v>DLR-013</x:v>
      </x:c>
      <x:c r="D64" s="12" t="str">
        <x:v>VinFast HTA Ninh Bình</x:v>
      </x:c>
      <x:c r="E64" s="12" t="str">
        <x:v>VinFast</x:v>
      </x:c>
      <x:c r="F64" s="12" t="str">
        <x:v>VF 8</x:v>
      </x:c>
      <x:c r="G64" s="12" t="n">
        <x:v>17</x:v>
      </x:c>
      <x:c r="H64" s="12" t="n">
        <x:v>7</x:v>
      </x:c>
      <x:c r="I64" s="20" t="n">
        <x:f>IFERROR(G64/H64*30,0)</x:f>
        <x:v>72.85714285714285</x:v>
      </x:c>
      <x:c r="J64" s="12" t="n">
        <x:v>3</x:v>
      </x:c>
      <x:c r="K64" s="12" t="n">
        <x:v>15.94</x:v>
      </x:c>
      <x:c r="L64" s="12" t="str">
        <x:v>Bình thường</x:v>
      </x:c>
    </x:row>
    <x:row r="65">
      <x:c r="A65" s="12" t="str">
        <x:v>INV-0064</x:v>
      </x:c>
      <x:c r="B65" s="18" t="n">
        <x:v>46234</x:v>
      </x:c>
      <x:c r="C65" s="12" t="str">
        <x:v>DLR-013</x:v>
      </x:c>
      <x:c r="D65" s="12" t="str">
        <x:v>VinFast HTA Ninh Bình</x:v>
      </x:c>
      <x:c r="E65" s="12" t="str">
        <x:v>VinFast</x:v>
      </x:c>
      <x:c r="F65" s="12" t="str">
        <x:v>VF 9</x:v>
      </x:c>
      <x:c r="G65" s="12" t="n">
        <x:v>8</x:v>
      </x:c>
      <x:c r="H65" s="12" t="n">
        <x:v>17</x:v>
      </x:c>
      <x:c r="I65" s="20" t="n">
        <x:f>IFERROR(G65/H65*30,0)</x:f>
        <x:v>14.117647058823529</x:v>
      </x:c>
      <x:c r="J65" s="12" t="n">
        <x:v>1</x:v>
      </x:c>
      <x:c r="K65" s="12" t="n">
        <x:v>11.03</x:v>
      </x:c>
      <x:c r="L65" s="12" t="str">
        <x:v>Theo dõi</x:v>
      </x:c>
    </x:row>
    <x:row r="66">
      <x:c r="A66" s="12" t="str">
        <x:v>INV-0065</x:v>
      </x:c>
      <x:c r="B66" s="18" t="n">
        <x:v>46234</x:v>
      </x:c>
      <x:c r="C66" s="12" t="str">
        <x:v>DLR-014</x:v>
      </x:c>
      <x:c r="D66" s="12" t="str">
        <x:v>VinFast HTA Nam Từ Liêm</x:v>
      </x:c>
      <x:c r="E66" s="12" t="str">
        <x:v>VinFast</x:v>
      </x:c>
      <x:c r="F66" s="12" t="str">
        <x:v>VF 3</x:v>
      </x:c>
      <x:c r="G66" s="12" t="n">
        <x:v>16</x:v>
      </x:c>
      <x:c r="H66" s="12" t="n">
        <x:v>13</x:v>
      </x:c>
      <x:c r="I66" s="20" t="n">
        <x:f>IFERROR(G66/H66*30,0)</x:f>
        <x:v>36.92307692307693</x:v>
      </x:c>
      <x:c r="J66" s="12" t="n">
        <x:v>5</x:v>
      </x:c>
      <x:c r="K66" s="12" t="n">
        <x:v>4.64</x:v>
      </x:c>
      <x:c r="L66" s="12" t="str">
        <x:v>Bình thường</x:v>
      </x:c>
    </x:row>
    <x:row r="67">
      <x:c r="A67" s="12" t="str">
        <x:v>INV-0066</x:v>
      </x:c>
      <x:c r="B67" s="18" t="n">
        <x:v>46234</x:v>
      </x:c>
      <x:c r="C67" s="12" t="str">
        <x:v>DLR-014</x:v>
      </x:c>
      <x:c r="D67" s="12" t="str">
        <x:v>VinFast HTA Nam Từ Liêm</x:v>
      </x:c>
      <x:c r="E67" s="12" t="str">
        <x:v>VinFast</x:v>
      </x:c>
      <x:c r="F67" s="12" t="str">
        <x:v>VF 5</x:v>
      </x:c>
      <x:c r="G67" s="12" t="n">
        <x:v>8</x:v>
      </x:c>
      <x:c r="H67" s="12" t="n">
        <x:v>12</x:v>
      </x:c>
      <x:c r="I67" s="20" t="n">
        <x:f>IFERROR(G67/H67*30,0)</x:f>
        <x:v>20</x:v>
      </x:c>
      <x:c r="J67" s="12" t="n">
        <x:v>1</x:v>
      </x:c>
      <x:c r="K67" s="12" t="n">
        <x:v>3.89</x:v>
      </x:c>
      <x:c r="L67" s="12" t="str">
        <x:v>Cảnh báo</x:v>
      </x:c>
    </x:row>
    <x:row r="68">
      <x:c r="A68" s="12" t="str">
        <x:v>INV-0067</x:v>
      </x:c>
      <x:c r="B68" s="18" t="n">
        <x:v>46234</x:v>
      </x:c>
      <x:c r="C68" s="12" t="str">
        <x:v>DLR-014</x:v>
      </x:c>
      <x:c r="D68" s="12" t="str">
        <x:v>VinFast HTA Nam Từ Liêm</x:v>
      </x:c>
      <x:c r="E68" s="12" t="str">
        <x:v>VinFast</x:v>
      </x:c>
      <x:c r="F68" s="12" t="str">
        <x:v>VF 6</x:v>
      </x:c>
      <x:c r="G68" s="12" t="n">
        <x:v>7</x:v>
      </x:c>
      <x:c r="H68" s="12" t="n">
        <x:v>16</x:v>
      </x:c>
      <x:c r="I68" s="20" t="n">
        <x:f>IFERROR(G68/H68*30,0)</x:f>
        <x:v>13.125</x:v>
      </x:c>
      <x:c r="J68" s="12" t="n">
        <x:v>1</x:v>
      </x:c>
      <x:c r="K68" s="12" t="n">
        <x:v>4.44</x:v>
      </x:c>
      <x:c r="L68" s="12" t="str">
        <x:v>Theo dõi</x:v>
      </x:c>
    </x:row>
    <x:row r="69">
      <x:c r="A69" s="12" t="str">
        <x:v>INV-0068</x:v>
      </x:c>
      <x:c r="B69" s="18" t="n">
        <x:v>46234</x:v>
      </x:c>
      <x:c r="C69" s="12" t="str">
        <x:v>DLR-014</x:v>
      </x:c>
      <x:c r="D69" s="12" t="str">
        <x:v>VinFast HTA Nam Từ Liêm</x:v>
      </x:c>
      <x:c r="E69" s="12" t="str">
        <x:v>VinFast</x:v>
      </x:c>
      <x:c r="F69" s="12" t="str">
        <x:v>VF 7</x:v>
      </x:c>
      <x:c r="G69" s="12" t="n">
        <x:v>13</x:v>
      </x:c>
      <x:c r="H69" s="12" t="n">
        <x:v>14</x:v>
      </x:c>
      <x:c r="I69" s="20" t="n">
        <x:f>IFERROR(G69/H69*30,0)</x:f>
        <x:v>27.857142857142858</x:v>
      </x:c>
      <x:c r="J69" s="12" t="n">
        <x:v>4</x:v>
      </x:c>
      <x:c r="K69" s="12" t="n">
        <x:v>10.17</x:v>
      </x:c>
      <x:c r="L69" s="12" t="str">
        <x:v>Bình thường</x:v>
      </x:c>
    </x:row>
    <x:row r="70">
      <x:c r="A70" s="12" t="str">
        <x:v>INV-0069</x:v>
      </x:c>
      <x:c r="B70" s="18" t="n">
        <x:v>46234</x:v>
      </x:c>
      <x:c r="C70" s="12" t="str">
        <x:v>DLR-014</x:v>
      </x:c>
      <x:c r="D70" s="12" t="str">
        <x:v>VinFast HTA Nam Từ Liêm</x:v>
      </x:c>
      <x:c r="E70" s="12" t="str">
        <x:v>VinFast</x:v>
      </x:c>
      <x:c r="F70" s="12" t="str">
        <x:v>VF 8</x:v>
      </x:c>
      <x:c r="G70" s="12" t="n">
        <x:v>10</x:v>
      </x:c>
      <x:c r="H70" s="12" t="n">
        <x:v>7</x:v>
      </x:c>
      <x:c r="I70" s="20" t="n">
        <x:f>IFERROR(G70/H70*30,0)</x:f>
        <x:v>42.85714285714286</x:v>
      </x:c>
      <x:c r="J70" s="12" t="n">
        <x:v>3</x:v>
      </x:c>
      <x:c r="K70" s="12" t="n">
        <x:v>9.37</x:v>
      </x:c>
      <x:c r="L70" s="12" t="str">
        <x:v>Theo dõi</x:v>
      </x:c>
    </x:row>
    <x:row r="71">
      <x:c r="A71" s="12" t="str">
        <x:v>INV-0070</x:v>
      </x:c>
      <x:c r="B71" s="18" t="n">
        <x:v>46234</x:v>
      </x:c>
      <x:c r="C71" s="12" t="str">
        <x:v>DLR-014</x:v>
      </x:c>
      <x:c r="D71" s="12" t="str">
        <x:v>VinFast HTA Nam Từ Liêm</x:v>
      </x:c>
      <x:c r="E71" s="12" t="str">
        <x:v>VinFast</x:v>
      </x:c>
      <x:c r="F71" s="12" t="str">
        <x:v>VF 9</x:v>
      </x:c>
      <x:c r="G71" s="12" t="n">
        <x:v>24</x:v>
      </x:c>
      <x:c r="H71" s="12" t="n">
        <x:v>4</x:v>
      </x:c>
      <x:c r="I71" s="20" t="n">
        <x:f>IFERROR(G71/H71*30,0)</x:f>
        <x:v>180</x:v>
      </x:c>
      <x:c r="J71" s="12" t="n">
        <x:v>6</x:v>
      </x:c>
      <x:c r="K71" s="12" t="n">
        <x:v>33.1</x:v>
      </x:c>
      <x:c r="L71" s="12" t="str">
        <x:v>Cảnh báo</x:v>
      </x:c>
    </x:row>
    <x:row r="72">
      <x:c r="A72" s="12" t="str">
        <x:v>INV-0071</x:v>
      </x:c>
      <x:c r="B72" s="18" t="n">
        <x:v>46234</x:v>
      </x:c>
      <x:c r="C72" s="12" t="str">
        <x:v>DLR-015</x:v>
      </x:c>
      <x:c r="D72" s="12" t="str">
        <x:v>VinFast HTA Văn Phú</x:v>
      </x:c>
      <x:c r="E72" s="12" t="str">
        <x:v>VinFast</x:v>
      </x:c>
      <x:c r="F72" s="12" t="str">
        <x:v>VF 3</x:v>
      </x:c>
      <x:c r="G72" s="12" t="n">
        <x:v>28</x:v>
      </x:c>
      <x:c r="H72" s="12" t="n">
        <x:v>18</x:v>
      </x:c>
      <x:c r="I72" s="20" t="n">
        <x:f>IFERROR(G72/H72*30,0)</x:f>
        <x:v>46.666666666666664</x:v>
      </x:c>
      <x:c r="J72" s="12" t="n">
        <x:v>4</x:v>
      </x:c>
      <x:c r="K72" s="12" t="n">
        <x:v>8.11</x:v>
      </x:c>
      <x:c r="L72" s="12" t="str">
        <x:v>Theo dõi</x:v>
      </x:c>
    </x:row>
    <x:row r="73">
      <x:c r="A73" s="12" t="str">
        <x:v>INV-0072</x:v>
      </x:c>
      <x:c r="B73" s="18" t="n">
        <x:v>46234</x:v>
      </x:c>
      <x:c r="C73" s="12" t="str">
        <x:v>DLR-015</x:v>
      </x:c>
      <x:c r="D73" s="12" t="str">
        <x:v>VinFast HTA Văn Phú</x:v>
      </x:c>
      <x:c r="E73" s="12" t="str">
        <x:v>VinFast</x:v>
      </x:c>
      <x:c r="F73" s="12" t="str">
        <x:v>VF 5</x:v>
      </x:c>
      <x:c r="G73" s="12" t="n">
        <x:v>28</x:v>
      </x:c>
      <x:c r="H73" s="12" t="n">
        <x:v>10</x:v>
      </x:c>
      <x:c r="I73" s="20" t="n">
        <x:f>IFERROR(G73/H73*30,0)</x:f>
        <x:v>84</x:v>
      </x:c>
      <x:c r="J73" s="12" t="n">
        <x:v>2</x:v>
      </x:c>
      <x:c r="K73" s="12" t="n">
        <x:v>13.63</x:v>
      </x:c>
      <x:c r="L73" s="12" t="str">
        <x:v>Bình thường</x:v>
      </x:c>
    </x:row>
    <x:row r="74">
      <x:c r="A74" s="12" t="str">
        <x:v>INV-0073</x:v>
      </x:c>
      <x:c r="B74" s="18" t="n">
        <x:v>46234</x:v>
      </x:c>
      <x:c r="C74" s="12" t="str">
        <x:v>DLR-015</x:v>
      </x:c>
      <x:c r="D74" s="12" t="str">
        <x:v>VinFast HTA Văn Phú</x:v>
      </x:c>
      <x:c r="E74" s="12" t="str">
        <x:v>VinFast</x:v>
      </x:c>
      <x:c r="F74" s="12" t="str">
        <x:v>VF 6</x:v>
      </x:c>
      <x:c r="G74" s="12" t="n">
        <x:v>17</x:v>
      </x:c>
      <x:c r="H74" s="12" t="n">
        <x:v>11</x:v>
      </x:c>
      <x:c r="I74" s="20" t="n">
        <x:f>IFERROR(G74/H74*30,0)</x:f>
        <x:v>46.36363636363636</x:v>
      </x:c>
      <x:c r="J74" s="12" t="n">
        <x:v>4</x:v>
      </x:c>
      <x:c r="K74" s="12" t="n">
        <x:v>10.78</x:v>
      </x:c>
      <x:c r="L74" s="12" t="str">
        <x:v>Bình thường</x:v>
      </x:c>
    </x:row>
    <x:row r="75">
      <x:c r="A75" s="12" t="str">
        <x:v>INV-0074</x:v>
      </x:c>
      <x:c r="B75" s="18" t="n">
        <x:v>46234</x:v>
      </x:c>
      <x:c r="C75" s="12" t="str">
        <x:v>DLR-015</x:v>
      </x:c>
      <x:c r="D75" s="12" t="str">
        <x:v>VinFast HTA Văn Phú</x:v>
      </x:c>
      <x:c r="E75" s="12" t="str">
        <x:v>VinFast</x:v>
      </x:c>
      <x:c r="F75" s="12" t="str">
        <x:v>VF 7</x:v>
      </x:c>
      <x:c r="G75" s="12" t="n">
        <x:v>21</x:v>
      </x:c>
      <x:c r="H75" s="12" t="n">
        <x:v>19</x:v>
      </x:c>
      <x:c r="I75" s="20" t="n">
        <x:f>IFERROR(G75/H75*30,0)</x:f>
        <x:v>33.15789473684211</x:v>
      </x:c>
      <x:c r="J75" s="12" t="n">
        <x:v>6</x:v>
      </x:c>
      <x:c r="K75" s="12" t="n">
        <x:v>16.42</x:v>
      </x:c>
      <x:c r="L75" s="12" t="str">
        <x:v>Theo dõi</x:v>
      </x:c>
    </x:row>
    <x:row r="76">
      <x:c r="A76" s="12" t="str">
        <x:v>INV-0075</x:v>
      </x:c>
      <x:c r="B76" s="18" t="n">
        <x:v>46234</x:v>
      </x:c>
      <x:c r="C76" s="12" t="str">
        <x:v>DLR-015</x:v>
      </x:c>
      <x:c r="D76" s="12" t="str">
        <x:v>VinFast HTA Văn Phú</x:v>
      </x:c>
      <x:c r="E76" s="12" t="str">
        <x:v>VinFast</x:v>
      </x:c>
      <x:c r="F76" s="12" t="str">
        <x:v>VF 8</x:v>
      </x:c>
      <x:c r="G76" s="12" t="n">
        <x:v>33</x:v>
      </x:c>
      <x:c r="H76" s="12" t="n">
        <x:v>25</x:v>
      </x:c>
      <x:c r="I76" s="20" t="n">
        <x:f>IFERROR(G76/H76*30,0)</x:f>
        <x:v>39.6</x:v>
      </x:c>
      <x:c r="J76" s="12" t="n">
        <x:v>9</x:v>
      </x:c>
      <x:c r="K76" s="12" t="n">
        <x:v>30.94</x:v>
      </x:c>
      <x:c r="L76" s="12" t="str">
        <x:v>Theo dõi</x:v>
      </x:c>
    </x:row>
    <x:row r="77">
      <x:c r="A77" s="12" t="str">
        <x:v>INV-0076</x:v>
      </x:c>
      <x:c r="B77" s="18" t="n">
        <x:v>46234</x:v>
      </x:c>
      <x:c r="C77" s="12" t="str">
        <x:v>DLR-015</x:v>
      </x:c>
      <x:c r="D77" s="12" t="str">
        <x:v>VinFast HTA Văn Phú</x:v>
      </x:c>
      <x:c r="E77" s="12" t="str">
        <x:v>VinFast</x:v>
      </x:c>
      <x:c r="F77" s="12" t="str">
        <x:v>VF 9</x:v>
      </x:c>
      <x:c r="G77" s="12" t="n">
        <x:v>12</x:v>
      </x:c>
      <x:c r="H77" s="12" t="n">
        <x:v>9</x:v>
      </x:c>
      <x:c r="I77" s="20" t="n">
        <x:f>IFERROR(G77/H77*30,0)</x:f>
        <x:v>40</x:v>
      </x:c>
      <x:c r="J77" s="12" t="n">
        <x:v>3</x:v>
      </x:c>
      <x:c r="K77" s="12" t="n">
        <x:v>16.55</x:v>
      </x:c>
      <x:c r="L77" s="12" t="str">
        <x:v>Bình thường</x:v>
      </x:c>
    </x:row>
    <x:row r="78">
      <x:c r="A78" s="12" t="str">
        <x:v>INV-0077</x:v>
      </x:c>
      <x:c r="B78" s="18" t="n">
        <x:v>46234</x:v>
      </x:c>
      <x:c r="C78" s="12" t="str">
        <x:v>DLR-016</x:v>
      </x:c>
      <x:c r="D78" s="12" t="str">
        <x:v>VinFast HTA Mỹ Đình</x:v>
      </x:c>
      <x:c r="E78" s="12" t="str">
        <x:v>VinFast</x:v>
      </x:c>
      <x:c r="F78" s="12" t="str">
        <x:v>VF 3</x:v>
      </x:c>
      <x:c r="G78" s="12" t="n">
        <x:v>23</x:v>
      </x:c>
      <x:c r="H78" s="12" t="n">
        <x:v>16</x:v>
      </x:c>
      <x:c r="I78" s="20" t="n">
        <x:f>IFERROR(G78/H78*30,0)</x:f>
        <x:v>43.125</x:v>
      </x:c>
      <x:c r="J78" s="12" t="n">
        <x:v>7</x:v>
      </x:c>
      <x:c r="K78" s="12" t="n">
        <x:v>6.67</x:v>
      </x:c>
      <x:c r="L78" s="12" t="str">
        <x:v>Bình thường</x:v>
      </x:c>
    </x:row>
    <x:row r="79">
      <x:c r="A79" s="12" t="str">
        <x:v>INV-0078</x:v>
      </x:c>
      <x:c r="B79" s="18" t="n">
        <x:v>46234</x:v>
      </x:c>
      <x:c r="C79" s="12" t="str">
        <x:v>DLR-016</x:v>
      </x:c>
      <x:c r="D79" s="12" t="str">
        <x:v>VinFast HTA Mỹ Đình</x:v>
      </x:c>
      <x:c r="E79" s="12" t="str">
        <x:v>VinFast</x:v>
      </x:c>
      <x:c r="F79" s="12" t="str">
        <x:v>VF 5</x:v>
      </x:c>
      <x:c r="G79" s="12" t="n">
        <x:v>15</x:v>
      </x:c>
      <x:c r="H79" s="12" t="n">
        <x:v>17</x:v>
      </x:c>
      <x:c r="I79" s="20" t="n">
        <x:f>IFERROR(G79/H79*30,0)</x:f>
        <x:v>26.470588235294116</x:v>
      </x:c>
      <x:c r="J79" s="12" t="n">
        <x:v>3</x:v>
      </x:c>
      <x:c r="K79" s="12" t="n">
        <x:v>7.3</x:v>
      </x:c>
      <x:c r="L79" s="12" t="str">
        <x:v>Bình thường</x:v>
      </x:c>
    </x:row>
    <x:row r="80">
      <x:c r="A80" s="12" t="str">
        <x:v>INV-0079</x:v>
      </x:c>
      <x:c r="B80" s="18" t="n">
        <x:v>46234</x:v>
      </x:c>
      <x:c r="C80" s="12" t="str">
        <x:v>DLR-016</x:v>
      </x:c>
      <x:c r="D80" s="12" t="str">
        <x:v>VinFast HTA Mỹ Đình</x:v>
      </x:c>
      <x:c r="E80" s="12" t="str">
        <x:v>VinFast</x:v>
      </x:c>
      <x:c r="F80" s="12" t="str">
        <x:v>VF 6</x:v>
      </x:c>
      <x:c r="G80" s="12" t="n">
        <x:v>14</x:v>
      </x:c>
      <x:c r="H80" s="12" t="n">
        <x:v>8</x:v>
      </x:c>
      <x:c r="I80" s="20" t="n">
        <x:f>IFERROR(G80/H80*30,0)</x:f>
        <x:v>52.5</x:v>
      </x:c>
      <x:c r="J80" s="12" t="n">
        <x:v>4</x:v>
      </x:c>
      <x:c r="K80" s="12" t="n">
        <x:v>8.87</x:v>
      </x:c>
      <x:c r="L80" s="12" t="str">
        <x:v>Cảnh báo</x:v>
      </x:c>
    </x:row>
    <x:row r="81">
      <x:c r="A81" s="12" t="str">
        <x:v>INV-0080</x:v>
      </x:c>
      <x:c r="B81" s="18" t="n">
        <x:v>46234</x:v>
      </x:c>
      <x:c r="C81" s="12" t="str">
        <x:v>DLR-016</x:v>
      </x:c>
      <x:c r="D81" s="12" t="str">
        <x:v>VinFast HTA Mỹ Đình</x:v>
      </x:c>
      <x:c r="E81" s="12" t="str">
        <x:v>VinFast</x:v>
      </x:c>
      <x:c r="F81" s="12" t="str">
        <x:v>VF 7</x:v>
      </x:c>
      <x:c r="G81" s="12" t="n">
        <x:v>27</x:v>
      </x:c>
      <x:c r="H81" s="12" t="n">
        <x:v>15</x:v>
      </x:c>
      <x:c r="I81" s="20" t="n">
        <x:f>IFERROR(G81/H81*30,0)</x:f>
        <x:v>54</x:v>
      </x:c>
      <x:c r="J81" s="12" t="n">
        <x:v>8</x:v>
      </x:c>
      <x:c r="K81" s="12" t="n">
        <x:v>21.11</x:v>
      </x:c>
      <x:c r="L81" s="12" t="str">
        <x:v>Cảnh báo</x:v>
      </x:c>
    </x:row>
    <x:row r="82">
      <x:c r="A82" s="12" t="str">
        <x:v>INV-0081</x:v>
      </x:c>
      <x:c r="B82" s="18" t="n">
        <x:v>46234</x:v>
      </x:c>
      <x:c r="C82" s="12" t="str">
        <x:v>DLR-016</x:v>
      </x:c>
      <x:c r="D82" s="12" t="str">
        <x:v>VinFast HTA Mỹ Đình</x:v>
      </x:c>
      <x:c r="E82" s="12" t="str">
        <x:v>VinFast</x:v>
      </x:c>
      <x:c r="F82" s="12" t="str">
        <x:v>VF 8</x:v>
      </x:c>
      <x:c r="G82" s="12" t="n">
        <x:v>13</x:v>
      </x:c>
      <x:c r="H82" s="12" t="n">
        <x:v>14</x:v>
      </x:c>
      <x:c r="I82" s="20" t="n">
        <x:f>IFERROR(G82/H82*30,0)</x:f>
        <x:v>27.857142857142858</x:v>
      </x:c>
      <x:c r="J82" s="12" t="n">
        <x:v>3</x:v>
      </x:c>
      <x:c r="K82" s="12" t="n">
        <x:v>12.19</x:v>
      </x:c>
      <x:c r="L82" s="12" t="str">
        <x:v>Cảnh báo</x:v>
      </x:c>
    </x:row>
    <x:row r="83">
      <x:c r="A83" s="12" t="str">
        <x:v>INV-0082</x:v>
      </x:c>
      <x:c r="B83" s="18" t="n">
        <x:v>46234</x:v>
      </x:c>
      <x:c r="C83" s="12" t="str">
        <x:v>DLR-016</x:v>
      </x:c>
      <x:c r="D83" s="12" t="str">
        <x:v>VinFast HTA Mỹ Đình</x:v>
      </x:c>
      <x:c r="E83" s="12" t="str">
        <x:v>VinFast</x:v>
      </x:c>
      <x:c r="F83" s="12" t="str">
        <x:v>VF 9</x:v>
      </x:c>
      <x:c r="G83" s="12" t="n">
        <x:v>24</x:v>
      </x:c>
      <x:c r="H83" s="12" t="n">
        <x:v>7</x:v>
      </x:c>
      <x:c r="I83" s="20" t="n">
        <x:f>IFERROR(G83/H83*30,0)</x:f>
        <x:v>102.85714285714285</x:v>
      </x:c>
      <x:c r="J83" s="12" t="n">
        <x:v>5</x:v>
      </x:c>
      <x:c r="K83" s="12" t="n">
        <x:v>33.1</x:v>
      </x:c>
      <x:c r="L83" s="12" t="str">
        <x:v>Bình thường</x:v>
      </x:c>
    </x:row>
    <x:row r="84">
      <x:c r="A84" s="12" t="str">
        <x:v>INV-0083</x:v>
      </x:c>
      <x:c r="B84" s="18" t="n">
        <x:v>46234</x:v>
      </x:c>
      <x:c r="C84" s="12" t="str">
        <x:v>DLR-017</x:v>
      </x:c>
      <x:c r="D84" s="12" t="str">
        <x:v>VinFast Quốc Oai</x:v>
      </x:c>
      <x:c r="E84" s="12" t="str">
        <x:v>VinFast</x:v>
      </x:c>
      <x:c r="F84" s="12" t="str">
        <x:v>VF 3</x:v>
      </x:c>
      <x:c r="G84" s="12" t="n">
        <x:v>19</x:v>
      </x:c>
      <x:c r="H84" s="12" t="n">
        <x:v>18</x:v>
      </x:c>
      <x:c r="I84" s="20" t="n">
        <x:f>IFERROR(G84/H84*30,0)</x:f>
        <x:v>31.666666666666668</x:v>
      </x:c>
      <x:c r="J84" s="12" t="n">
        <x:v>3</x:v>
      </x:c>
      <x:c r="K84" s="12" t="n">
        <x:v>5.51</x:v>
      </x:c>
      <x:c r="L84" s="12" t="str">
        <x:v>Bình thường</x:v>
      </x:c>
    </x:row>
    <x:row r="85">
      <x:c r="A85" s="12" t="str">
        <x:v>INV-0084</x:v>
      </x:c>
      <x:c r="B85" s="18" t="n">
        <x:v>46234</x:v>
      </x:c>
      <x:c r="C85" s="12" t="str">
        <x:v>DLR-017</x:v>
      </x:c>
      <x:c r="D85" s="12" t="str">
        <x:v>VinFast Quốc Oai</x:v>
      </x:c>
      <x:c r="E85" s="12" t="str">
        <x:v>VinFast</x:v>
      </x:c>
      <x:c r="F85" s="12" t="str">
        <x:v>VF 5</x:v>
      </x:c>
      <x:c r="G85" s="12" t="n">
        <x:v>29</x:v>
      </x:c>
      <x:c r="H85" s="12" t="n">
        <x:v>22</x:v>
      </x:c>
      <x:c r="I85" s="20" t="n">
        <x:f>IFERROR(G85/H85*30,0)</x:f>
        <x:v>39.54545454545455</x:v>
      </x:c>
      <x:c r="J85" s="12" t="n">
        <x:v>9</x:v>
      </x:c>
      <x:c r="K85" s="12" t="n">
        <x:v>14.11</x:v>
      </x:c>
      <x:c r="L85" s="12" t="str">
        <x:v>Theo dõi</x:v>
      </x:c>
    </x:row>
    <x:row r="86">
      <x:c r="A86" s="12" t="str">
        <x:v>INV-0085</x:v>
      </x:c>
      <x:c r="B86" s="18" t="n">
        <x:v>46234</x:v>
      </x:c>
      <x:c r="C86" s="12" t="str">
        <x:v>DLR-017</x:v>
      </x:c>
      <x:c r="D86" s="12" t="str">
        <x:v>VinFast Quốc Oai</x:v>
      </x:c>
      <x:c r="E86" s="12" t="str">
        <x:v>VinFast</x:v>
      </x:c>
      <x:c r="F86" s="12" t="str">
        <x:v>VF 6</x:v>
      </x:c>
      <x:c r="G86" s="12" t="n">
        <x:v>32</x:v>
      </x:c>
      <x:c r="H86" s="12" t="n">
        <x:v>19</x:v>
      </x:c>
      <x:c r="I86" s="20" t="n">
        <x:f>IFERROR(G86/H86*30,0)</x:f>
        <x:v>50.526315789473685</x:v>
      </x:c>
      <x:c r="J86" s="12" t="n">
        <x:v>7</x:v>
      </x:c>
      <x:c r="K86" s="12" t="n">
        <x:v>20.28</x:v>
      </x:c>
      <x:c r="L86" s="12" t="str">
        <x:v>Bình thường</x:v>
      </x:c>
    </x:row>
    <x:row r="87">
      <x:c r="A87" s="12" t="str">
        <x:v>INV-0086</x:v>
      </x:c>
      <x:c r="B87" s="18" t="n">
        <x:v>46234</x:v>
      </x:c>
      <x:c r="C87" s="12" t="str">
        <x:v>DLR-017</x:v>
      </x:c>
      <x:c r="D87" s="12" t="str">
        <x:v>VinFast Quốc Oai</x:v>
      </x:c>
      <x:c r="E87" s="12" t="str">
        <x:v>VinFast</x:v>
      </x:c>
      <x:c r="F87" s="12" t="str">
        <x:v>VF 7</x:v>
      </x:c>
      <x:c r="G87" s="12" t="n">
        <x:v>25</x:v>
      </x:c>
      <x:c r="H87" s="12" t="n">
        <x:v>21</x:v>
      </x:c>
      <x:c r="I87" s="20" t="n">
        <x:f>IFERROR(G87/H87*30,0)</x:f>
        <x:v>35.714285714285715</x:v>
      </x:c>
      <x:c r="J87" s="12" t="n">
        <x:v>8</x:v>
      </x:c>
      <x:c r="K87" s="12" t="n">
        <x:v>19.55</x:v>
      </x:c>
      <x:c r="L87" s="12" t="str">
        <x:v>Bình thường</x:v>
      </x:c>
    </x:row>
    <x:row r="88">
      <x:c r="A88" s="12" t="str">
        <x:v>INV-0087</x:v>
      </x:c>
      <x:c r="B88" s="18" t="n">
        <x:v>46234</x:v>
      </x:c>
      <x:c r="C88" s="12" t="str">
        <x:v>DLR-017</x:v>
      </x:c>
      <x:c r="D88" s="12" t="str">
        <x:v>VinFast Quốc Oai</x:v>
      </x:c>
      <x:c r="E88" s="12" t="str">
        <x:v>VinFast</x:v>
      </x:c>
      <x:c r="F88" s="12" t="str">
        <x:v>VF 8</x:v>
      </x:c>
      <x:c r="G88" s="12" t="n">
        <x:v>26</x:v>
      </x:c>
      <x:c r="H88" s="12" t="n">
        <x:v>7</x:v>
      </x:c>
      <x:c r="I88" s="20" t="n">
        <x:f>IFERROR(G88/H88*30,0)</x:f>
        <x:v>111.42857142857143</x:v>
      </x:c>
      <x:c r="J88" s="12" t="n">
        <x:v>5</x:v>
      </x:c>
      <x:c r="K88" s="12" t="n">
        <x:v>24.37</x:v>
      </x:c>
      <x:c r="L88" s="12" t="str">
        <x:v>Theo dõi</x:v>
      </x:c>
    </x:row>
    <x:row r="89">
      <x:c r="A89" s="12" t="str">
        <x:v>INV-0088</x:v>
      </x:c>
      <x:c r="B89" s="18" t="n">
        <x:v>46234</x:v>
      </x:c>
      <x:c r="C89" s="12" t="str">
        <x:v>DLR-017</x:v>
      </x:c>
      <x:c r="D89" s="12" t="str">
        <x:v>VinFast Quốc Oai</x:v>
      </x:c>
      <x:c r="E89" s="12" t="str">
        <x:v>VinFast</x:v>
      </x:c>
      <x:c r="F89" s="12" t="str">
        <x:v>VF 9</x:v>
      </x:c>
      <x:c r="G89" s="12" t="n">
        <x:v>29</x:v>
      </x:c>
      <x:c r="H89" s="12" t="n">
        <x:v>9</x:v>
      </x:c>
      <x:c r="I89" s="20" t="n">
        <x:f>IFERROR(G89/H89*30,0)</x:f>
        <x:v>96.66666666666667</x:v>
      </x:c>
      <x:c r="J89" s="12" t="n">
        <x:v>9</x:v>
      </x:c>
      <x:c r="K89" s="12" t="n">
        <x:v>39.99</x:v>
      </x:c>
      <x:c r="L89" s="12" t="str">
        <x:v>Bình thường</x:v>
      </x:c>
    </x:row>
    <x:row r="90">
      <x:c r="A90" s="12" t="str">
        <x:v>INV-0089</x:v>
      </x:c>
      <x:c r="B90" s="18" t="n">
        <x:v>46234</x:v>
      </x:c>
      <x:c r="C90" s="12" t="str">
        <x:v>DLR-018</x:v>
      </x:c>
      <x:c r="D90" s="12" t="str">
        <x:v>OMODA &amp; JAECOO HTA Nam Từ Liêm</x:v>
      </x:c>
      <x:c r="E90" s="12" t="str">
        <x:v>OMODA &amp; JAECOO</x:v>
      </x:c>
      <x:c r="F90" s="12" t="str">
        <x:v>OMODA C5</x:v>
      </x:c>
      <x:c r="G90" s="12" t="n">
        <x:v>26</x:v>
      </x:c>
      <x:c r="H90" s="12" t="n">
        <x:v>22</x:v>
      </x:c>
      <x:c r="I90" s="20" t="n">
        <x:f>IFERROR(G90/H90*30,0)</x:f>
        <x:v>35.45454545454545</x:v>
      </x:c>
      <x:c r="J90" s="12" t="n">
        <x:v>7</x:v>
      </x:c>
      <x:c r="K90" s="12" t="n">
        <x:v>14.09</x:v>
      </x:c>
      <x:c r="L90" s="12" t="str">
        <x:v>Cảnh báo</x:v>
      </x:c>
    </x:row>
    <x:row r="91">
      <x:c r="A91" s="12" t="str">
        <x:v>INV-0090</x:v>
      </x:c>
      <x:c r="B91" s="18" t="n">
        <x:v>46234</x:v>
      </x:c>
      <x:c r="C91" s="12" t="str">
        <x:v>DLR-018</x:v>
      </x:c>
      <x:c r="D91" s="12" t="str">
        <x:v>OMODA &amp; JAECOO HTA Nam Từ Liêm</x:v>
      </x:c>
      <x:c r="E91" s="12" t="str">
        <x:v>OMODA &amp; JAECOO</x:v>
      </x:c>
      <x:c r="F91" s="12" t="str">
        <x:v>JAECOO J7</x:v>
      </x:c>
      <x:c r="G91" s="12" t="n">
        <x:v>26</x:v>
      </x:c>
      <x:c r="H91" s="12" t="n">
        <x:v>21</x:v>
      </x:c>
      <x:c r="I91" s="20" t="n">
        <x:f>IFERROR(G91/H91*30,0)</x:f>
        <x:v>37.142857142857146</x:v>
      </x:c>
      <x:c r="J91" s="12" t="n">
        <x:v>5</x:v>
      </x:c>
      <x:c r="K91" s="12" t="n">
        <x:v>19.11</x:v>
      </x:c>
      <x:c r="L91" s="12" t="str">
        <x:v>Theo dõi</x:v>
      </x:c>
    </x:row>
    <x:row r="92">
      <x:c r="A92" s="12" t="str">
        <x:v>INV-0091</x:v>
      </x:c>
      <x:c r="B92" s="18" t="n">
        <x:v>46234</x:v>
      </x:c>
      <x:c r="C92" s="12" t="str">
        <x:v>DLR-019</x:v>
      </x:c>
      <x:c r="D92" s="12" t="str">
        <x:v>OMODA &amp; JAECOO HTA Việt Trì</x:v>
      </x:c>
      <x:c r="E92" s="12" t="str">
        <x:v>OMODA &amp; JAECOO</x:v>
      </x:c>
      <x:c r="F92" s="12" t="str">
        <x:v>OMODA C5</x:v>
      </x:c>
      <x:c r="G92" s="12" t="n">
        <x:v>16</x:v>
      </x:c>
      <x:c r="H92" s="12" t="n">
        <x:v>20</x:v>
      </x:c>
      <x:c r="I92" s="20" t="n">
        <x:f>IFERROR(G92/H92*30,0)</x:f>
        <x:v>24</x:v>
      </x:c>
      <x:c r="J92" s="12" t="n">
        <x:v>3</x:v>
      </x:c>
      <x:c r="K92" s="12" t="n">
        <x:v>8.67</x:v>
      </x:c>
      <x:c r="L92" s="12" t="str">
        <x:v>Bình thường</x:v>
      </x:c>
    </x:row>
    <x:row r="93">
      <x:c r="A93" s="12" t="str">
        <x:v>INV-0092</x:v>
      </x:c>
      <x:c r="B93" s="18" t="n">
        <x:v>46234</x:v>
      </x:c>
      <x:c r="C93" s="12" t="str">
        <x:v>DLR-019</x:v>
      </x:c>
      <x:c r="D93" s="12" t="str">
        <x:v>OMODA &amp; JAECOO HTA Việt Trì</x:v>
      </x:c>
      <x:c r="E93" s="12" t="str">
        <x:v>OMODA &amp; JAECOO</x:v>
      </x:c>
      <x:c r="F93" s="12" t="str">
        <x:v>JAECOO J7</x:v>
      </x:c>
      <x:c r="G93" s="12" t="n">
        <x:v>33</x:v>
      </x:c>
      <x:c r="H93" s="12" t="n">
        <x:v>7</x:v>
      </x:c>
      <x:c r="I93" s="20" t="n">
        <x:f>IFERROR(G93/H93*30,0)</x:f>
        <x:v>141.42857142857144</x:v>
      </x:c>
      <x:c r="J93" s="12" t="n">
        <x:v>6</x:v>
      </x:c>
      <x:c r="K93" s="12" t="n">
        <x:v>24.26</x:v>
      </x:c>
      <x:c r="L93" s="12" t="str">
        <x:v>Theo dõi</x:v>
      </x:c>
    </x:row>
    <x:row r="94">
      <x:c r="A94" s="12" t="str">
        <x:v>INV-0093</x:v>
      </x:c>
      <x:c r="B94" s="18" t="n">
        <x:v>46234</x:v>
      </x:c>
      <x:c r="C94" s="12" t="str">
        <x:v>DLR-020</x:v>
      </x:c>
      <x:c r="D94" s="12" t="str">
        <x:v>Wuling HTA Long Biên</x:v>
      </x:c>
      <x:c r="E94" s="12" t="str">
        <x:v>Wuling</x:v>
      </x:c>
      <x:c r="F94" s="12" t="str">
        <x:v>Mini EV</x:v>
      </x:c>
      <x:c r="G94" s="12" t="n">
        <x:v>43</x:v>
      </x:c>
      <x:c r="H94" s="12" t="n">
        <x:v>25</x:v>
      </x:c>
      <x:c r="I94" s="20" t="n">
        <x:f>IFERROR(G94/H94*30,0)</x:f>
        <x:v>51.6</x:v>
      </x:c>
      <x:c r="J94" s="12" t="n">
        <x:v>9</x:v>
      </x:c>
      <x:c r="K94" s="12" t="n">
        <x:v>7.79</x:v>
      </x:c>
      <x:c r="L94" s="12" t="str">
        <x:v>Theo dõi</x:v>
      </x:c>
    </x:row>
    <x:row r="95">
      <x:c r="A95" s="12" t="str">
        <x:v>INV-0094</x:v>
      </x:c>
      <x:c r="B95" s="18" t="n">
        <x:v>46234</x:v>
      </x:c>
      <x:c r="C95" s="12" t="str">
        <x:v>DLR-020</x:v>
      </x:c>
      <x:c r="D95" s="12" t="str">
        <x:v>Wuling HTA Long Biên</x:v>
      </x:c>
      <x:c r="E95" s="12" t="str">
        <x:v>Wuling</x:v>
      </x:c>
      <x:c r="F95" s="12" t="str">
        <x:v>Bingo</x:v>
      </x:c>
      <x:c r="G95" s="12" t="n">
        <x:v>22</x:v>
      </x:c>
      <x:c r="H95" s="12" t="n">
        <x:v>14</x:v>
      </x:c>
      <x:c r="I95" s="20" t="n">
        <x:f>IFERROR(G95/H95*30,0)</x:f>
        <x:v>47.14285714285714</x:v>
      </x:c>
      <x:c r="J95" s="12" t="n">
        <x:v>6</x:v>
      </x:c>
      <x:c r="K95" s="12" t="n">
        <x:v>8.08</x:v>
      </x:c>
      <x:c r="L95" s="12" t="str">
        <x:v>Cảnh báo</x:v>
      </x:c>
    </x:row>
  </x:sheetData>
  <x:conditionalFormatting sqref="I2:I95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af30637eb664b6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34" hidden="0" customWidth="1"/>
    <x:col min="5" max="5" width="20" hidden="0" customWidth="1"/>
    <x:col min="6" max="6" width="15" hidden="0" customWidth="1"/>
    <x:col min="7" max="7" width="18" hidden="0" customWidth="1"/>
    <x:col min="8" max="8" width="20" hidden="0" customWidth="1"/>
    <x:col min="9" max="9" width="19" hidden="0" customWidth="1"/>
    <x:col min="10" max="10" width="12" hidden="0" customWidth="1"/>
    <x:col min="11" max="11" width="14" hidden="0" customWidth="1"/>
    <x:col min="12" max="12" width="17" hidden="0" customWidth="1"/>
    <x:col min="13" max="13" width="16" hidden="0" customWidth="1"/>
    <x:col min="14" max="14" width="20" hidden="0" customWidth="1"/>
    <x:col min="15" max="15" width="16" hidden="0" customWidth="1"/>
    <x:col min="16" max="16" width="12" hidden="0" customWidth="1"/>
    <x:col min="17" max="17" width="22" hidden="0" customWidth="1"/>
  </x:cols>
  <x:sheetData>
    <x:row r="1">
      <x:c r="A1" s="6" t="str">
        <x:v>Mã báo cáo</x:v>
      </x:c>
      <x:c r="B1" s="6" t="str">
        <x:v>Tháng</x:v>
      </x:c>
      <x:c r="C1" s="6" t="str">
        <x:v>Mã đại lý</x:v>
      </x:c>
      <x:c r="D1" s="6" t="str">
        <x:v>Đại lý</x:v>
      </x:c>
      <x:c r="E1" s="6" t="str">
        <x:v>Thương hiệu</x:v>
      </x:c>
      <x:c r="F1" s="6" t="str">
        <x:v>Lệnh sửa chữa</x:v>
      </x:c>
      <x:c r="G1" s="6" t="str">
        <x:v>Doanh thu công (tỷ)</x:v>
      </x:c>
      <x:c r="H1" s="6" t="str">
        <x:v>Doanh thu phụ tùng (tỷ)</x:v>
      </x:c>
      <x:c r="I1" s="6" t="str">
        <x:v>Chi phí bảo hành (tỷ)</x:v>
      </x:c>
      <x:c r="J1" s="6" t="str">
        <x:v>Số khoang</x:v>
      </x:c>
      <x:c r="K1" s="6" t="str">
        <x:v>Kỹ thuật viên</x:v>
      </x:c>
      <x:c r="L1" s="6" t="str">
        <x:v>Hiệu suất khoang</x:v>
      </x:c>
      <x:c r="M1" s="6" t="str">
        <x:v>Năng suất KTV</x:v>
      </x:c>
      <x:c r="N1" s="6" t="str">
        <x:v>Chu kỳ sửa chữa (ngày)</x:v>
      </x:c>
      <x:c r="O1" s="6" t="str">
        <x:v>Tỷ lệ sửa lại</x:v>
      </x:c>
      <x:c r="P1" s="6" t="str">
        <x:v>CSI</x:v>
      </x:c>
      <x:c r="Q1" s="6" t="str">
        <x:v>Doanh thu dịch vụ (tỷ)</x:v>
      </x:c>
    </x:row>
    <x:row r="2">
      <x:c r="A2" s="12" t="str">
        <x:v>SRV-0001</x:v>
      </x:c>
      <x:c r="B2" s="14" t="n">
        <x:v>46023</x:v>
      </x:c>
      <x:c r="C2" s="12" t="str">
        <x:v>DLR-001</x:v>
      </x:c>
      <x:c r="D2" s="12" t="str">
        <x:v>Hà Thành Ford</x:v>
      </x:c>
      <x:c r="E2" s="12" t="str">
        <x:v>Ford</x:v>
      </x:c>
      <x:c r="F2" s="12" t="n">
        <x:v>614</x:v>
      </x:c>
      <x:c r="G2" s="12" t="n">
        <x:v>0.89</x:v>
      </x:c>
      <x:c r="H2" s="12" t="n">
        <x:v>1.27</x:v>
      </x:c>
      <x:c r="I2" s="12" t="n">
        <x:v>0.08</x:v>
      </x:c>
      <x:c r="J2" s="12" t="n">
        <x:v>9</x:v>
      </x:c>
      <x:c r="K2" s="12" t="n">
        <x:v>30</x:v>
      </x:c>
      <x:c r="L2" s="16" t="n">
        <x:v>0.6852202795659482</x:v>
      </x:c>
      <x:c r="M2" s="16" t="n">
        <x:v>0.9140059755936143</x:v>
      </x:c>
      <x:c r="N2" s="12" t="n">
        <x:v>1.430395106697387</x:v>
      </x:c>
      <x:c r="O2" s="16" t="n">
        <x:v>0.017228821431047023</x:v>
      </x:c>
      <x:c r="P2" s="12" t="n">
        <x:v>95.99138140960873</x:v>
      </x:c>
      <x:c r="Q2" s="12" t="n">
        <x:f>G2+H2</x:f>
        <x:v>2.16</x:v>
      </x:c>
    </x:row>
    <x:row r="3">
      <x:c r="A3" s="12" t="str">
        <x:v>SRV-0002</x:v>
      </x:c>
      <x:c r="B3" s="14" t="n">
        <x:v>46023</x:v>
      </x:c>
      <x:c r="C3" s="12" t="str">
        <x:v>DLR-002</x:v>
      </x:c>
      <x:c r="D3" s="12" t="str">
        <x:v>Hà Thành Ford - Mỹ Đình</x:v>
      </x:c>
      <x:c r="E3" s="12" t="str">
        <x:v>Ford</x:v>
      </x:c>
      <x:c r="F3" s="12" t="n">
        <x:v>259</x:v>
      </x:c>
      <x:c r="G3" s="12" t="n">
        <x:v>0.25</x:v>
      </x:c>
      <x:c r="H3" s="12" t="n">
        <x:v>0.88</x:v>
      </x:c>
      <x:c r="I3" s="12" t="n">
        <x:v>0.09</x:v>
      </x:c>
      <x:c r="J3" s="12" t="n">
        <x:v>18</x:v>
      </x:c>
      <x:c r="K3" s="12" t="n">
        <x:v>42</x:v>
      </x:c>
      <x:c r="L3" s="16" t="n">
        <x:v>0.8631712081138657</x:v>
      </x:c>
      <x:c r="M3" s="16" t="n">
        <x:v>0.9752764002925098</x:v>
      </x:c>
      <x:c r="N3" s="12" t="n">
        <x:v>2.637997385583772</x:v>
      </x:c>
      <x:c r="O3" s="16" t="n">
        <x:v>0.024397575892681916</x:v>
      </x:c>
      <x:c r="P3" s="12" t="n">
        <x:v>91.90780346403967</x:v>
      </x:c>
      <x:c r="Q3" s="12" t="n">
        <x:f>G3+H3</x:f>
        <x:v>1.13</x:v>
      </x:c>
    </x:row>
    <x:row r="4">
      <x:c r="A4" s="12" t="str">
        <x:v>SRV-0003</x:v>
      </x:c>
      <x:c r="B4" s="14" t="n">
        <x:v>46023</x:v>
      </x:c>
      <x:c r="C4" s="12" t="str">
        <x:v>DLR-003</x:v>
      </x:c>
      <x:c r="D4" s="12" t="str">
        <x:v>Mỹ Đình Ford</x:v>
      </x:c>
      <x:c r="E4" s="12" t="str">
        <x:v>Ford</x:v>
      </x:c>
      <x:c r="F4" s="12" t="n">
        <x:v>285</x:v>
      </x:c>
      <x:c r="G4" s="12" t="n">
        <x:v>0.33</x:v>
      </x:c>
      <x:c r="H4" s="12" t="n">
        <x:v>0.99</x:v>
      </x:c>
      <x:c r="I4" s="12" t="n">
        <x:v>0.06</x:v>
      </x:c>
      <x:c r="J4" s="12" t="n">
        <x:v>16</x:v>
      </x:c>
      <x:c r="K4" s="12" t="n">
        <x:v>30</x:v>
      </x:c>
      <x:c r="L4" s="16" t="n">
        <x:v>0.7573241683972072</x:v>
      </x:c>
      <x:c r="M4" s="16" t="n">
        <x:v>0.854529731704807</x:v>
      </x:c>
      <x:c r="N4" s="12" t="n">
        <x:v>2.0643848721526084</x:v>
      </x:c>
      <x:c r="O4" s="16" t="n">
        <x:v>0.02284089110550338</x:v>
      </x:c>
      <x:c r="P4" s="12" t="n">
        <x:v>92.41853448288373</x:v>
      </x:c>
      <x:c r="Q4" s="12" t="n">
        <x:f>G4+H4</x:f>
        <x:v>1.32</x:v>
      </x:c>
    </x:row>
    <x:row r="5">
      <x:c r="A5" s="12" t="str">
        <x:v>SRV-0004</x:v>
      </x:c>
      <x:c r="B5" s="14" t="n">
        <x:v>46023</x:v>
      </x:c>
      <x:c r="C5" s="12" t="str">
        <x:v>DLR-004</x:v>
      </x:c>
      <x:c r="D5" s="12" t="str">
        <x:v>Việt Trì Ford</x:v>
      </x:c>
      <x:c r="E5" s="12" t="str">
        <x:v>Ford</x:v>
      </x:c>
      <x:c r="F5" s="12" t="n">
        <x:v>246</x:v>
      </x:c>
      <x:c r="G5" s="12" t="n">
        <x:v>0.22</x:v>
      </x:c>
      <x:c r="H5" s="12" t="n">
        <x:v>0.48</x:v>
      </x:c>
      <x:c r="I5" s="12" t="n">
        <x:v>0.08</x:v>
      </x:c>
      <x:c r="J5" s="12" t="n">
        <x:v>23</x:v>
      </x:c>
      <x:c r="K5" s="12" t="n">
        <x:v>24</x:v>
      </x:c>
      <x:c r="L5" s="16" t="n">
        <x:v>0.7052165933451897</x:v>
      </x:c>
      <x:c r="M5" s="16" t="n">
        <x:v>0.8945030738525062</x:v>
      </x:c>
      <x:c r="N5" s="12" t="n">
        <x:v>2.6040194499640554</x:v>
      </x:c>
      <x:c r="O5" s="16" t="n">
        <x:v>0.03438055779198017</x:v>
      </x:c>
      <x:c r="P5" s="12" t="n">
        <x:v>92.26213586027862</x:v>
      </x:c>
      <x:c r="Q5" s="12" t="n">
        <x:f>G5+H5</x:f>
        <x:v>0.7</x:v>
      </x:c>
    </x:row>
    <x:row r="6">
      <x:c r="A6" s="12" t="str">
        <x:v>SRV-0005</x:v>
      </x:c>
      <x:c r="B6" s="14" t="n">
        <x:v>46023</x:v>
      </x:c>
      <x:c r="C6" s="12" t="str">
        <x:v>DLR-005</x:v>
      </x:c>
      <x:c r="D6" s="12" t="str">
        <x:v>BYD HTA Tây Hồ</x:v>
      </x:c>
      <x:c r="E6" s="12" t="str">
        <x:v>BYD</x:v>
      </x:c>
      <x:c r="F6" s="12" t="n">
        <x:v>308</x:v>
      </x:c>
      <x:c r="G6" s="12" t="n">
        <x:v>0.47</x:v>
      </x:c>
      <x:c r="H6" s="12" t="n">
        <x:v>0.8</x:v>
      </x:c>
      <x:c r="I6" s="12" t="n">
        <x:v>0.1</x:v>
      </x:c>
      <x:c r="J6" s="12" t="n">
        <x:v>16</x:v>
      </x:c>
      <x:c r="K6" s="12" t="n">
        <x:v>17</x:v>
      </x:c>
      <x:c r="L6" s="16" t="n">
        <x:v>0.8468852594604549</x:v>
      </x:c>
      <x:c r="M6" s="16" t="n">
        <x:v>0.9595097621273788</x:v>
      </x:c>
      <x:c r="N6" s="12" t="n">
        <x:v>2.0162451546496443</x:v>
      </x:c>
      <x:c r="O6" s="16" t="n">
        <x:v>0.01829902005176131</x:v>
      </x:c>
      <x:c r="P6" s="12" t="n">
        <x:v>89.67924647042139</x:v>
      </x:c>
      <x:c r="Q6" s="12" t="n">
        <x:f>G6+H6</x:f>
        <x:v>1.27</x:v>
      </x:c>
    </x:row>
    <x:row r="7">
      <x:c r="A7" s="12" t="str">
        <x:v>SRV-0006</x:v>
      </x:c>
      <x:c r="B7" s="14" t="n">
        <x:v>46023</x:v>
      </x:c>
      <x:c r="C7" s="12" t="str">
        <x:v>DLR-007</x:v>
      </x:c>
      <x:c r="D7" s="12" t="str">
        <x:v>BYD Hà Đông</x:v>
      </x:c>
      <x:c r="E7" s="12" t="str">
        <x:v>BYD</x:v>
      </x:c>
      <x:c r="F7" s="12" t="n">
        <x:v>223</x:v>
      </x:c>
      <x:c r="G7" s="12" t="n">
        <x:v>0.28</x:v>
      </x:c>
      <x:c r="H7" s="12" t="n">
        <x:v>0.5</x:v>
      </x:c>
      <x:c r="I7" s="12" t="n">
        <x:v>0.07</x:v>
      </x:c>
      <x:c r="J7" s="12" t="n">
        <x:v>9</x:v>
      </x:c>
      <x:c r="K7" s="12" t="n">
        <x:v>21</x:v>
      </x:c>
      <x:c r="L7" s="16" t="n">
        <x:v>0.8755811369499746</x:v>
      </x:c>
      <x:c r="M7" s="16" t="n">
        <x:v>1.0602886452884446</x:v>
      </x:c>
      <x:c r="N7" s="12" t="n">
        <x:v>1.3885560860478177</x:v>
      </x:c>
      <x:c r="O7" s="16" t="n">
        <x:v>0.01728236743674326</x:v>
      </x:c>
      <x:c r="P7" s="12" t="n">
        <x:v>92.8730410540542</x:v>
      </x:c>
      <x:c r="Q7" s="12" t="n">
        <x:f>G7+H7</x:f>
        <x:v>0.78</x:v>
      </x:c>
    </x:row>
    <x:row r="8">
      <x:c r="A8" s="12" t="str">
        <x:v>SRV-0007</x:v>
      </x:c>
      <x:c r="B8" s="14" t="n">
        <x:v>46023</x:v>
      </x:c>
      <x:c r="C8" s="12" t="str">
        <x:v>DLR-008</x:v>
      </x:c>
      <x:c r="D8" s="12" t="str">
        <x:v>VinFast HTA Nguyễn Văn Linh</x:v>
      </x:c>
      <x:c r="E8" s="12" t="str">
        <x:v>VinFast</x:v>
      </x:c>
      <x:c r="F8" s="12" t="n">
        <x:v>711</x:v>
      </x:c>
      <x:c r="G8" s="12" t="n">
        <x:v>0.98</x:v>
      </x:c>
      <x:c r="H8" s="12" t="n">
        <x:v>1.95</x:v>
      </x:c>
      <x:c r="I8" s="12" t="n">
        <x:v>0.22</x:v>
      </x:c>
      <x:c r="J8" s="12" t="n">
        <x:v>24</x:v>
      </x:c>
      <x:c r="K8" s="12" t="n">
        <x:v>38</x:v>
      </x:c>
      <x:c r="L8" s="16" t="n">
        <x:v>0.9310632030608783</x:v>
      </x:c>
      <x:c r="M8" s="16" t="n">
        <x:v>1.0673444556599991</x:v>
      </x:c>
      <x:c r="N8" s="12" t="n">
        <x:v>3.2599951583490796</x:v>
      </x:c>
      <x:c r="O8" s="16" t="n">
        <x:v>0.02346328584704291</x:v>
      </x:c>
      <x:c r="P8" s="12" t="n">
        <x:v>90.12077817534178</x:v>
      </x:c>
      <x:c r="Q8" s="12" t="n">
        <x:f>G8+H8</x:f>
        <x:v>2.9299999999999997</x:v>
      </x:c>
    </x:row>
    <x:row r="9">
      <x:c r="A9" s="12" t="str">
        <x:v>SRV-0008</x:v>
      </x:c>
      <x:c r="B9" s="14" t="n">
        <x:v>46023</x:v>
      </x:c>
      <x:c r="C9" s="12" t="str">
        <x:v>DLR-009</x:v>
      </x:c>
      <x:c r="D9" s="12" t="str">
        <x:v>VinFast HTA Đông Anh</x:v>
      </x:c>
      <x:c r="E9" s="12" t="str">
        <x:v>VinFast</x:v>
      </x:c>
      <x:c r="F9" s="12" t="n">
        <x:v>445</x:v>
      </x:c>
      <x:c r="G9" s="12" t="n">
        <x:v>0.54</x:v>
      </x:c>
      <x:c r="H9" s="12" t="n">
        <x:v>1.45</x:v>
      </x:c>
      <x:c r="I9" s="12" t="n">
        <x:v>0.06</x:v>
      </x:c>
      <x:c r="J9" s="12" t="n">
        <x:v>24</x:v>
      </x:c>
      <x:c r="K9" s="12" t="n">
        <x:v>21</x:v>
      </x:c>
      <x:c r="L9" s="16" t="n">
        <x:v>0.7112732874364127</x:v>
      </x:c>
      <x:c r="M9" s="16" t="n">
        <x:v>1.0925879520301096</x:v>
      </x:c>
      <x:c r="N9" s="12" t="n">
        <x:v>1.5803337401742878</x:v>
      </x:c>
      <x:c r="O9" s="16" t="n">
        <x:v>0.03457793573672659</x:v>
      </x:c>
      <x:c r="P9" s="12" t="n">
        <x:v>96.74948390503981</x:v>
      </x:c>
      <x:c r="Q9" s="12" t="n">
        <x:f>G9+H9</x:f>
        <x:v>1.99</x:v>
      </x:c>
    </x:row>
    <x:row r="10">
      <x:c r="A10" s="12" t="str">
        <x:v>SRV-0009</x:v>
      </x:c>
      <x:c r="B10" s="14" t="n">
        <x:v>46023</x:v>
      </x:c>
      <x:c r="C10" s="12" t="str">
        <x:v>DLR-010</x:v>
      </x:c>
      <x:c r="D10" s="12" t="str">
        <x:v>VinFast HTA Đàm Quang Trung</x:v>
      </x:c>
      <x:c r="E10" s="12" t="str">
        <x:v>VinFast</x:v>
      </x:c>
      <x:c r="F10" s="12" t="n">
        <x:v>491</x:v>
      </x:c>
      <x:c r="G10" s="12" t="n">
        <x:v>0.49</x:v>
      </x:c>
      <x:c r="H10" s="12" t="n">
        <x:v>1.24</x:v>
      </x:c>
      <x:c r="I10" s="12" t="n">
        <x:v>0.17</x:v>
      </x:c>
      <x:c r="J10" s="12" t="n">
        <x:v>21</x:v>
      </x:c>
      <x:c r="K10" s="12" t="n">
        <x:v>24</x:v>
      </x:c>
      <x:c r="L10" s="16" t="n">
        <x:v>0.9392899989624817</x:v>
      </x:c>
      <x:c r="M10" s="16" t="n">
        <x:v>1.0458014364036632</x:v>
      </x:c>
      <x:c r="N10" s="12" t="n">
        <x:v>3.0350378610872095</x:v>
      </x:c>
      <x:c r="O10" s="16" t="n">
        <x:v>0.014962931719669968</x:v>
      </x:c>
      <x:c r="P10" s="12" t="n">
        <x:v>96.19724037158434</x:v>
      </x:c>
      <x:c r="Q10" s="12" t="n">
        <x:f>G10+H10</x:f>
        <x:v>1.73</x:v>
      </x:c>
    </x:row>
    <x:row r="11">
      <x:c r="A11" s="12" t="str">
        <x:v>SRV-0010</x:v>
      </x:c>
      <x:c r="B11" s="14" t="n">
        <x:v>46023</x:v>
      </x:c>
      <x:c r="C11" s="12" t="str">
        <x:v>DLR-011</x:v>
      </x:c>
      <x:c r="D11" s="12" t="str">
        <x:v>VinFast HTA Phạm Văn Đồng</x:v>
      </x:c>
      <x:c r="E11" s="12" t="str">
        <x:v>VinFast</x:v>
      </x:c>
      <x:c r="F11" s="12" t="n">
        <x:v>622</x:v>
      </x:c>
      <x:c r="G11" s="12" t="n">
        <x:v>0.59</x:v>
      </x:c>
      <x:c r="H11" s="12" t="n">
        <x:v>1.53</x:v>
      </x:c>
      <x:c r="I11" s="12" t="n">
        <x:v>0.13</x:v>
      </x:c>
      <x:c r="J11" s="12" t="n">
        <x:v>18</x:v>
      </x:c>
      <x:c r="K11" s="12" t="n">
        <x:v>29</x:v>
      </x:c>
      <x:c r="L11" s="16" t="n">
        <x:v>0.815118926160938</x:v>
      </x:c>
      <x:c r="M11" s="16" t="n">
        <x:v>1.1501782878819693</x:v>
      </x:c>
      <x:c r="N11" s="12" t="n">
        <x:v>1.2272003541172398</x:v>
      </x:c>
      <x:c r="O11" s="16" t="n">
        <x:v>0.026911127282847197</x:v>
      </x:c>
      <x:c r="P11" s="12" t="n">
        <x:v>93.28818478959097</x:v>
      </x:c>
      <x:c r="Q11" s="12" t="n">
        <x:f>G11+H11</x:f>
        <x:v>2.12</x:v>
      </x:c>
    </x:row>
    <x:row r="12">
      <x:c r="A12" s="12" t="str">
        <x:v>SRV-0011</x:v>
      </x:c>
      <x:c r="B12" s="14" t="n">
        <x:v>46023</x:v>
      </x:c>
      <x:c r="C12" s="12" t="str">
        <x:v>DLR-012</x:v>
      </x:c>
      <x:c r="D12" s="12" t="str">
        <x:v>VinFast HTA Võ Chí Công</x:v>
      </x:c>
      <x:c r="E12" s="12" t="str">
        <x:v>VinFast</x:v>
      </x:c>
      <x:c r="F12" s="12" t="n">
        <x:v>725</x:v>
      </x:c>
      <x:c r="G12" s="12" t="n">
        <x:v>0.72</x:v>
      </x:c>
      <x:c r="H12" s="12" t="n">
        <x:v>1.49</x:v>
      </x:c>
      <x:c r="I12" s="12" t="n">
        <x:v>0.18</x:v>
      </x:c>
      <x:c r="J12" s="12" t="n">
        <x:v>11</x:v>
      </x:c>
      <x:c r="K12" s="12" t="n">
        <x:v>18</x:v>
      </x:c>
      <x:c r="L12" s="16" t="n">
        <x:v>0.8262977774641038</x:v>
      </x:c>
      <x:c r="M12" s="16" t="n">
        <x:v>0.8563565594171615</x:v>
      </x:c>
      <x:c r="N12" s="12" t="n">
        <x:v>1.8294042789075193</x:v>
      </x:c>
      <x:c r="O12" s="16" t="n">
        <x:v>0.02246210399093975</x:v>
      </x:c>
      <x:c r="P12" s="12" t="n">
        <x:v>91.09482260719719</x:v>
      </x:c>
      <x:c r="Q12" s="12" t="n">
        <x:f>G12+H12</x:f>
        <x:v>2.21</x:v>
      </x:c>
    </x:row>
    <x:row r="13">
      <x:c r="A13" s="12" t="str">
        <x:v>SRV-0012</x:v>
      </x:c>
      <x:c r="B13" s="14" t="n">
        <x:v>46023</x:v>
      </x:c>
      <x:c r="C13" s="12" t="str">
        <x:v>DLR-013</x:v>
      </x:c>
      <x:c r="D13" s="12" t="str">
        <x:v>VinFast HTA Ninh Bình</x:v>
      </x:c>
      <x:c r="E13" s="12" t="str">
        <x:v>VinFast</x:v>
      </x:c>
      <x:c r="F13" s="12" t="n">
        <x:v>408</x:v>
      </x:c>
      <x:c r="G13" s="12" t="n">
        <x:v>0.49</x:v>
      </x:c>
      <x:c r="H13" s="12" t="n">
        <x:v>1.07</x:v>
      </x:c>
      <x:c r="I13" s="12" t="n">
        <x:v>0.11</x:v>
      </x:c>
      <x:c r="J13" s="12" t="n">
        <x:v>9</x:v>
      </x:c>
      <x:c r="K13" s="12" t="n">
        <x:v>23</x:v>
      </x:c>
      <x:c r="L13" s="16" t="n">
        <x:v>0.751607676929036</x:v>
      </x:c>
      <x:c r="M13" s="16" t="n">
        <x:v>0.8717869614256025</x:v>
      </x:c>
      <x:c r="N13" s="12" t="n">
        <x:v>2.5390415809883793</x:v>
      </x:c>
      <x:c r="O13" s="16" t="n">
        <x:v>0.026728853835511487</x:v>
      </x:c>
      <x:c r="P13" s="12" t="n">
        <x:v>88.34904279233615</x:v>
      </x:c>
      <x:c r="Q13" s="12" t="n">
        <x:f>G13+H13</x:f>
        <x:v>1.56</x:v>
      </x:c>
    </x:row>
    <x:row r="14">
      <x:c r="A14" s="12" t="str">
        <x:v>SRV-0013</x:v>
      </x:c>
      <x:c r="B14" s="14" t="n">
        <x:v>46023</x:v>
      </x:c>
      <x:c r="C14" s="12" t="str">
        <x:v>DLR-014</x:v>
      </x:c>
      <x:c r="D14" s="12" t="str">
        <x:v>VinFast HTA Nam Từ Liêm</x:v>
      </x:c>
      <x:c r="E14" s="12" t="str">
        <x:v>VinFast</x:v>
      </x:c>
      <x:c r="F14" s="12" t="n">
        <x:v>482</x:v>
      </x:c>
      <x:c r="G14" s="12" t="n">
        <x:v>0.56</x:v>
      </x:c>
      <x:c r="H14" s="12" t="n">
        <x:v>1.06</x:v>
      </x:c>
      <x:c r="I14" s="12" t="n">
        <x:v>0.14</x:v>
      </x:c>
      <x:c r="J14" s="12" t="n">
        <x:v>16</x:v>
      </x:c>
      <x:c r="K14" s="12" t="n">
        <x:v>35</x:v>
      </x:c>
      <x:c r="L14" s="16" t="n">
        <x:v>0.6852605510342508</x:v>
      </x:c>
      <x:c r="M14" s="16" t="n">
        <x:v>1.1142589331099</x:v>
      </x:c>
      <x:c r="N14" s="12" t="n">
        <x:v>1.8667208975858127</x:v>
      </x:c>
      <x:c r="O14" s="16" t="n">
        <x:v>0.015569359635985325</x:v>
      </x:c>
      <x:c r="P14" s="12" t="n">
        <x:v>92.42457292023386</x:v>
      </x:c>
      <x:c r="Q14" s="12" t="n">
        <x:f>G14+H14</x:f>
        <x:v>1.62</x:v>
      </x:c>
    </x:row>
    <x:row r="15">
      <x:c r="A15" s="12" t="str">
        <x:v>SRV-0014</x:v>
      </x:c>
      <x:c r="B15" s="14" t="n">
        <x:v>46023</x:v>
      </x:c>
      <x:c r="C15" s="12" t="str">
        <x:v>DLR-015</x:v>
      </x:c>
      <x:c r="D15" s="12" t="str">
        <x:v>VinFast HTA Văn Phú</x:v>
      </x:c>
      <x:c r="E15" s="12" t="str">
        <x:v>VinFast</x:v>
      </x:c>
      <x:c r="F15" s="12" t="n">
        <x:v>706</x:v>
      </x:c>
      <x:c r="G15" s="12" t="n">
        <x:v>0.69</x:v>
      </x:c>
      <x:c r="H15" s="12" t="n">
        <x:v>2.31</x:v>
      </x:c>
      <x:c r="I15" s="12" t="n">
        <x:v>0.11</x:v>
      </x:c>
      <x:c r="J15" s="12" t="n">
        <x:v>22</x:v>
      </x:c>
      <x:c r="K15" s="12" t="n">
        <x:v>32</x:v>
      </x:c>
      <x:c r="L15" s="16" t="n">
        <x:v>0.7500491950622785</x:v>
      </x:c>
      <x:c r="M15" s="16" t="n">
        <x:v>0.9700381819739378</x:v>
      </x:c>
      <x:c r="N15" s="12" t="n">
        <x:v>2.6202205851408173</x:v>
      </x:c>
      <x:c r="O15" s="16" t="n">
        <x:v>0.013074263654100509</x:v>
      </x:c>
      <x:c r="P15" s="12" t="n">
        <x:v>89.90251451895308</x:v>
      </x:c>
      <x:c r="Q15" s="12" t="n">
        <x:f>G15+H15</x:f>
        <x:v>3</x:v>
      </x:c>
    </x:row>
    <x:row r="16">
      <x:c r="A16" s="12" t="str">
        <x:v>SRV-0015</x:v>
      </x:c>
      <x:c r="B16" s="14" t="n">
        <x:v>46023</x:v>
      </x:c>
      <x:c r="C16" s="12" t="str">
        <x:v>DLR-016</x:v>
      </x:c>
      <x:c r="D16" s="12" t="str">
        <x:v>VinFast HTA Mỹ Đình</x:v>
      </x:c>
      <x:c r="E16" s="12" t="str">
        <x:v>VinFast</x:v>
      </x:c>
      <x:c r="F16" s="12" t="n">
        <x:v>516</x:v>
      </x:c>
      <x:c r="G16" s="12" t="n">
        <x:v>0.77</x:v>
      </x:c>
      <x:c r="H16" s="12" t="n">
        <x:v>1.6</x:v>
      </x:c>
      <x:c r="I16" s="12" t="n">
        <x:v>0.16</x:v>
      </x:c>
      <x:c r="J16" s="12" t="n">
        <x:v>9</x:v>
      </x:c>
      <x:c r="K16" s="12" t="n">
        <x:v>44</x:v>
      </x:c>
      <x:c r="L16" s="16" t="n">
        <x:v>0.8857875019411209</x:v>
      </x:c>
      <x:c r="M16" s="16" t="n">
        <x:v>0.8436221083402955</x:v>
      </x:c>
      <x:c r="N16" s="12" t="n">
        <x:v>2.7610526764016567</x:v>
      </x:c>
      <x:c r="O16" s="16" t="n">
        <x:v>0.01889139880733598</x:v>
      </x:c>
      <x:c r="P16" s="12" t="n">
        <x:v>95.02464786664886</x:v>
      </x:c>
      <x:c r="Q16" s="12" t="n">
        <x:f>G16+H16</x:f>
        <x:v>2.37</x:v>
      </x:c>
    </x:row>
    <x:row r="17">
      <x:c r="A17" s="12" t="str">
        <x:v>SRV-0016</x:v>
      </x:c>
      <x:c r="B17" s="14" t="n">
        <x:v>46023</x:v>
      </x:c>
      <x:c r="C17" s="12" t="str">
        <x:v>DLR-017</x:v>
      </x:c>
      <x:c r="D17" s="12" t="str">
        <x:v>VinFast Quốc Oai</x:v>
      </x:c>
      <x:c r="E17" s="12" t="str">
        <x:v>VinFast</x:v>
      </x:c>
      <x:c r="F17" s="12" t="n">
        <x:v>516</x:v>
      </x:c>
      <x:c r="G17" s="12" t="n">
        <x:v>0.7</x:v>
      </x:c>
      <x:c r="H17" s="12" t="n">
        <x:v>1.08</x:v>
      </x:c>
      <x:c r="I17" s="12" t="n">
        <x:v>0.17</x:v>
      </x:c>
      <x:c r="J17" s="12" t="n">
        <x:v>14</x:v>
      </x:c>
      <x:c r="K17" s="12" t="n">
        <x:v>15</x:v>
      </x:c>
      <x:c r="L17" s="16" t="n">
        <x:v>0.7448674679443127</x:v>
      </x:c>
      <x:c r="M17" s="16" t="n">
        <x:v>0.984321520166109</x:v>
      </x:c>
      <x:c r="N17" s="12" t="n">
        <x:v>3.219668352550456</x:v>
      </x:c>
      <x:c r="O17" s="16" t="n">
        <x:v>0.02702511652094099</x:v>
      </x:c>
      <x:c r="P17" s="12" t="n">
        <x:v>90.46579748626922</x:v>
      </x:c>
      <x:c r="Q17" s="12" t="n">
        <x:f>G17+H17</x:f>
        <x:v>1.78</x:v>
      </x:c>
    </x:row>
    <x:row r="18">
      <x:c r="A18" s="12" t="str">
        <x:v>SRV-0017</x:v>
      </x:c>
      <x:c r="B18" s="14" t="n">
        <x:v>46023</x:v>
      </x:c>
      <x:c r="C18" s="12" t="str">
        <x:v>DLR-018</x:v>
      </x:c>
      <x:c r="D18" s="12" t="str">
        <x:v>OMODA &amp; JAECOO HTA Nam Từ Liêm</x:v>
      </x:c>
      <x:c r="E18" s="12" t="str">
        <x:v>OMODA &amp; JAECOO</x:v>
      </x:c>
      <x:c r="F18" s="12" t="n">
        <x:v>656</x:v>
      </x:c>
      <x:c r="G18" s="12" t="n">
        <x:v>0.86</x:v>
      </x:c>
      <x:c r="H18" s="12" t="n">
        <x:v>1.89</x:v>
      </x:c>
      <x:c r="I18" s="12" t="n">
        <x:v>0.1</x:v>
      </x:c>
      <x:c r="J18" s="12" t="n">
        <x:v>8</x:v>
      </x:c>
      <x:c r="K18" s="12" t="n">
        <x:v>27</x:v>
      </x:c>
      <x:c r="L18" s="16" t="n">
        <x:v>0.7768413579991799</x:v>
      </x:c>
      <x:c r="M18" s="16" t="n">
        <x:v>1.0338556936427743</x:v>
      </x:c>
      <x:c r="N18" s="12" t="n">
        <x:v>1.5906841271604957</x:v>
      </x:c>
      <x:c r="O18" s="16" t="n">
        <x:v>0.0315029808417985</x:v>
      </x:c>
      <x:c r="P18" s="12" t="n">
        <x:v>93.28192223580184</x:v>
      </x:c>
      <x:c r="Q18" s="12" t="n">
        <x:f>G18+H18</x:f>
        <x:v>2.75</x:v>
      </x:c>
    </x:row>
    <x:row r="19">
      <x:c r="A19" s="12" t="str">
        <x:v>SRV-0018</x:v>
      </x:c>
      <x:c r="B19" s="14" t="n">
        <x:v>46023</x:v>
      </x:c>
      <x:c r="C19" s="12" t="str">
        <x:v>DLR-019</x:v>
      </x:c>
      <x:c r="D19" s="12" t="str">
        <x:v>OMODA &amp; JAECOO HTA Việt Trì</x:v>
      </x:c>
      <x:c r="E19" s="12" t="str">
        <x:v>OMODA &amp; JAECOO</x:v>
      </x:c>
      <x:c r="F19" s="12" t="n">
        <x:v>505</x:v>
      </x:c>
      <x:c r="G19" s="12" t="n">
        <x:v>0.52</x:v>
      </x:c>
      <x:c r="H19" s="12" t="n">
        <x:v>1.68</x:v>
      </x:c>
      <x:c r="I19" s="12" t="n">
        <x:v>0.15</x:v>
      </x:c>
      <x:c r="J19" s="12" t="n">
        <x:v>10</x:v>
      </x:c>
      <x:c r="K19" s="12" t="n">
        <x:v>30</x:v>
      </x:c>
      <x:c r="L19" s="16" t="n">
        <x:v>0.6871371273734203</x:v>
      </x:c>
      <x:c r="M19" s="16" t="n">
        <x:v>0.8378743754226465</x:v>
      </x:c>
      <x:c r="N19" s="12" t="n">
        <x:v>3.0784069184882026</x:v>
      </x:c>
      <x:c r="O19" s="16" t="n">
        <x:v>0.029055413648879345</x:v>
      </x:c>
      <x:c r="P19" s="12" t="n">
        <x:v>89.92886728580297</x:v>
      </x:c>
      <x:c r="Q19" s="12" t="n">
        <x:f>G19+H19</x:f>
        <x:v>2.2</x:v>
      </x:c>
    </x:row>
    <x:row r="20">
      <x:c r="A20" s="12" t="str">
        <x:v>SRV-0019</x:v>
      </x:c>
      <x:c r="B20" s="14" t="n">
        <x:v>46023</x:v>
      </x:c>
      <x:c r="C20" s="12" t="str">
        <x:v>DLR-020</x:v>
      </x:c>
      <x:c r="D20" s="12" t="str">
        <x:v>Wuling HTA Long Biên</x:v>
      </x:c>
      <x:c r="E20" s="12" t="str">
        <x:v>Wuling</x:v>
      </x:c>
      <x:c r="F20" s="12" t="n">
        <x:v>453</x:v>
      </x:c>
      <x:c r="G20" s="12" t="n">
        <x:v>0.49</x:v>
      </x:c>
      <x:c r="H20" s="12" t="n">
        <x:v>0.97</x:v>
      </x:c>
      <x:c r="I20" s="12" t="n">
        <x:v>0.12</x:v>
      </x:c>
      <x:c r="J20" s="12" t="n">
        <x:v>24</x:v>
      </x:c>
      <x:c r="K20" s="12" t="n">
        <x:v>13</x:v>
      </x:c>
      <x:c r="L20" s="16" t="n">
        <x:v>0.9048037818288724</x:v>
      </x:c>
      <x:c r="M20" s="16" t="n">
        <x:v>1.1681698080623608</x:v>
      </x:c>
      <x:c r="N20" s="12" t="n">
        <x:v>2.7008394093779886</x:v>
      </x:c>
      <x:c r="O20" s="16" t="n">
        <x:v>0.020800624576292313</x:v>
      </x:c>
      <x:c r="P20" s="12" t="n">
        <x:v>89.19082681705314</x:v>
      </x:c>
      <x:c r="Q20" s="12" t="n">
        <x:f>G20+H20</x:f>
        <x:v>1.46</x:v>
      </x:c>
    </x:row>
    <x:row r="21">
      <x:c r="A21" s="12" t="str">
        <x:v>SRV-0020</x:v>
      </x:c>
      <x:c r="B21" s="14" t="n">
        <x:v>46054</x:v>
      </x:c>
      <x:c r="C21" s="12" t="str">
        <x:v>DLR-001</x:v>
      </x:c>
      <x:c r="D21" s="12" t="str">
        <x:v>Hà Thành Ford</x:v>
      </x:c>
      <x:c r="E21" s="12" t="str">
        <x:v>Ford</x:v>
      </x:c>
      <x:c r="F21" s="12" t="n">
        <x:v>373</x:v>
      </x:c>
      <x:c r="G21" s="12" t="n">
        <x:v>0.57</x:v>
      </x:c>
      <x:c r="H21" s="12" t="n">
        <x:v>0.81</x:v>
      </x:c>
      <x:c r="I21" s="12" t="n">
        <x:v>0.1</x:v>
      </x:c>
      <x:c r="J21" s="12" t="n">
        <x:v>17</x:v>
      </x:c>
      <x:c r="K21" s="12" t="n">
        <x:v>29</x:v>
      </x:c>
      <x:c r="L21" s="16" t="n">
        <x:v>0.790189768171501</x:v>
      </x:c>
      <x:c r="M21" s="16" t="n">
        <x:v>0.9555311628175602</x:v>
      </x:c>
      <x:c r="N21" s="12" t="n">
        <x:v>1.967160238398579</x:v>
      </x:c>
      <x:c r="O21" s="16" t="n">
        <x:v>0.014803965150502654</x:v>
      </x:c>
      <x:c r="P21" s="12" t="n">
        <x:v>92.20028213947494</x:v>
      </x:c>
      <x:c r="Q21" s="12" t="n">
        <x:f>G21+H21</x:f>
        <x:v>1.38</x:v>
      </x:c>
    </x:row>
    <x:row r="22">
      <x:c r="A22" s="12" t="str">
        <x:v>SRV-0021</x:v>
      </x:c>
      <x:c r="B22" s="14" t="n">
        <x:v>46054</x:v>
      </x:c>
      <x:c r="C22" s="12" t="str">
        <x:v>DLR-002</x:v>
      </x:c>
      <x:c r="D22" s="12" t="str">
        <x:v>Hà Thành Ford - Mỹ Đình</x:v>
      </x:c>
      <x:c r="E22" s="12" t="str">
        <x:v>Ford</x:v>
      </x:c>
      <x:c r="F22" s="12" t="n">
        <x:v>443</x:v>
      </x:c>
      <x:c r="G22" s="12" t="n">
        <x:v>0.69</x:v>
      </x:c>
      <x:c r="H22" s="12" t="n">
        <x:v>1.1</x:v>
      </x:c>
      <x:c r="I22" s="12" t="n">
        <x:v>0.06</x:v>
      </x:c>
      <x:c r="J22" s="12" t="n">
        <x:v>24</x:v>
      </x:c>
      <x:c r="K22" s="12" t="n">
        <x:v>35</x:v>
      </x:c>
      <x:c r="L22" s="16" t="n">
        <x:v>0.8259788504861962</x:v>
      </x:c>
      <x:c r="M22" s="16" t="n">
        <x:v>1.0337581153158697</x:v>
      </x:c>
      <x:c r="N22" s="12" t="n">
        <x:v>1.8218891311932133</x:v>
      </x:c>
      <x:c r="O22" s="16" t="n">
        <x:v>0.02647915466814356</x:v>
      </x:c>
      <x:c r="P22" s="12" t="n">
        <x:v>92.33564576934675</x:v>
      </x:c>
      <x:c r="Q22" s="12" t="n">
        <x:f>G22+H22</x:f>
        <x:v>1.79</x:v>
      </x:c>
    </x:row>
    <x:row r="23">
      <x:c r="A23" s="12" t="str">
        <x:v>SRV-0022</x:v>
      </x:c>
      <x:c r="B23" s="14" t="n">
        <x:v>46054</x:v>
      </x:c>
      <x:c r="C23" s="12" t="str">
        <x:v>DLR-003</x:v>
      </x:c>
      <x:c r="D23" s="12" t="str">
        <x:v>Mỹ Đình Ford</x:v>
      </x:c>
      <x:c r="E23" s="12" t="str">
        <x:v>Ford</x:v>
      </x:c>
      <x:c r="F23" s="12" t="n">
        <x:v>416</x:v>
      </x:c>
      <x:c r="G23" s="12" t="n">
        <x:v>0.47</x:v>
      </x:c>
      <x:c r="H23" s="12" t="n">
        <x:v>0.98</x:v>
      </x:c>
      <x:c r="I23" s="12" t="n">
        <x:v>0.08</x:v>
      </x:c>
      <x:c r="J23" s="12" t="n">
        <x:v>17</x:v>
      </x:c>
      <x:c r="K23" s="12" t="n">
        <x:v>24</x:v>
      </x:c>
      <x:c r="L23" s="16" t="n">
        <x:v>0.7189816170520807</x:v>
      </x:c>
      <x:c r="M23" s="16" t="n">
        <x:v>1.0955707797893042</x:v>
      </x:c>
      <x:c r="N23" s="12" t="n">
        <x:v>3.1793114984400885</x:v>
      </x:c>
      <x:c r="O23" s="16" t="n">
        <x:v>0.029746605211105306</x:v>
      </x:c>
      <x:c r="P23" s="12" t="n">
        <x:v>95.2212737000753</x:v>
      </x:c>
      <x:c r="Q23" s="12" t="n">
        <x:f>G23+H23</x:f>
        <x:v>1.45</x:v>
      </x:c>
    </x:row>
    <x:row r="24">
      <x:c r="A24" s="12" t="str">
        <x:v>SRV-0023</x:v>
      </x:c>
      <x:c r="B24" s="14" t="n">
        <x:v>46054</x:v>
      </x:c>
      <x:c r="C24" s="12" t="str">
        <x:v>DLR-004</x:v>
      </x:c>
      <x:c r="D24" s="12" t="str">
        <x:v>Việt Trì Ford</x:v>
      </x:c>
      <x:c r="E24" s="12" t="str">
        <x:v>Ford</x:v>
      </x:c>
      <x:c r="F24" s="12" t="n">
        <x:v>463</x:v>
      </x:c>
      <x:c r="G24" s="12" t="n">
        <x:v>0.66</x:v>
      </x:c>
      <x:c r="H24" s="12" t="n">
        <x:v>1.37</x:v>
      </x:c>
      <x:c r="I24" s="12" t="n">
        <x:v>0.13</x:v>
      </x:c>
      <x:c r="J24" s="12" t="n">
        <x:v>23</x:v>
      </x:c>
      <x:c r="K24" s="12" t="n">
        <x:v>30</x:v>
      </x:c>
      <x:c r="L24" s="16" t="n">
        <x:v>0.7474508309051171</x:v>
      </x:c>
      <x:c r="M24" s="16" t="n">
        <x:v>0.9706836469892829</x:v>
      </x:c>
      <x:c r="N24" s="12" t="n">
        <x:v>2.0542048262120085</x:v>
      </x:c>
      <x:c r="O24" s="16" t="n">
        <x:v>0.008953613130313455</x:v>
      </x:c>
      <x:c r="P24" s="12" t="n">
        <x:v>94.37262063438284</x:v>
      </x:c>
      <x:c r="Q24" s="12" t="n">
        <x:f>G24+H24</x:f>
        <x:v>2.0300000000000002</x:v>
      </x:c>
    </x:row>
    <x:row r="25">
      <x:c r="A25" s="12" t="str">
        <x:v>SRV-0024</x:v>
      </x:c>
      <x:c r="B25" s="14" t="n">
        <x:v>46054</x:v>
      </x:c>
      <x:c r="C25" s="12" t="str">
        <x:v>DLR-005</x:v>
      </x:c>
      <x:c r="D25" s="12" t="str">
        <x:v>BYD HTA Tây Hồ</x:v>
      </x:c>
      <x:c r="E25" s="12" t="str">
        <x:v>BYD</x:v>
      </x:c>
      <x:c r="F25" s="12" t="n">
        <x:v>514</x:v>
      </x:c>
      <x:c r="G25" s="12" t="n">
        <x:v>0.54</x:v>
      </x:c>
      <x:c r="H25" s="12" t="n">
        <x:v>1.56</x:v>
      </x:c>
      <x:c r="I25" s="12" t="n">
        <x:v>0.09</x:v>
      </x:c>
      <x:c r="J25" s="12" t="n">
        <x:v>23</x:v>
      </x:c>
      <x:c r="K25" s="12" t="n">
        <x:v>34</x:v>
      </x:c>
      <x:c r="L25" s="16" t="n">
        <x:v>0.811901862457772</x:v>
      </x:c>
      <x:c r="M25" s="16" t="n">
        <x:v>1.1243509279280541</x:v>
      </x:c>
      <x:c r="N25" s="12" t="n">
        <x:v>3.04940512811208</x:v>
      </x:c>
      <x:c r="O25" s="16" t="n">
        <x:v>0.031665359177236986</x:v>
      </x:c>
      <x:c r="P25" s="12" t="n">
        <x:v>89.630222720236</x:v>
      </x:c>
      <x:c r="Q25" s="12" t="n">
        <x:f>G25+H25</x:f>
        <x:v>2.1</x:v>
      </x:c>
    </x:row>
    <x:row r="26">
      <x:c r="A26" s="12" t="str">
        <x:v>SRV-0025</x:v>
      </x:c>
      <x:c r="B26" s="14" t="n">
        <x:v>46054</x:v>
      </x:c>
      <x:c r="C26" s="12" t="str">
        <x:v>DLR-007</x:v>
      </x:c>
      <x:c r="D26" s="12" t="str">
        <x:v>BYD Hà Đông</x:v>
      </x:c>
      <x:c r="E26" s="12" t="str">
        <x:v>BYD</x:v>
      </x:c>
      <x:c r="F26" s="12" t="n">
        <x:v>243</x:v>
      </x:c>
      <x:c r="G26" s="12" t="n">
        <x:v>0.24</x:v>
      </x:c>
      <x:c r="H26" s="12" t="n">
        <x:v>0.54</x:v>
      </x:c>
      <x:c r="I26" s="12" t="n">
        <x:v>0.07</x:v>
      </x:c>
      <x:c r="J26" s="12" t="n">
        <x:v>13</x:v>
      </x:c>
      <x:c r="K26" s="12" t="n">
        <x:v>33</x:v>
      </x:c>
      <x:c r="L26" s="16" t="n">
        <x:v>0.8501530075312997</x:v>
      </x:c>
      <x:c r="M26" s="16" t="n">
        <x:v>0.9000112641446443</x:v>
      </x:c>
      <x:c r="N26" s="12" t="n">
        <x:v>1.691321435848339</x:v>
      </x:c>
      <x:c r="O26" s="16" t="n">
        <x:v>0.031528670268441014</x:v>
      </x:c>
      <x:c r="P26" s="12" t="n">
        <x:v>91.7842531136633</x:v>
      </x:c>
      <x:c r="Q26" s="12" t="n">
        <x:f>G26+H26</x:f>
        <x:v>0.78</x:v>
      </x:c>
    </x:row>
    <x:row r="27">
      <x:c r="A27" s="12" t="str">
        <x:v>SRV-0026</x:v>
      </x:c>
      <x:c r="B27" s="14" t="n">
        <x:v>46054</x:v>
      </x:c>
      <x:c r="C27" s="12" t="str">
        <x:v>DLR-008</x:v>
      </x:c>
      <x:c r="D27" s="12" t="str">
        <x:v>VinFast HTA Nguyễn Văn Linh</x:v>
      </x:c>
      <x:c r="E27" s="12" t="str">
        <x:v>VinFast</x:v>
      </x:c>
      <x:c r="F27" s="12" t="n">
        <x:v>672</x:v>
      </x:c>
      <x:c r="G27" s="12" t="n">
        <x:v>0.8</x:v>
      </x:c>
      <x:c r="H27" s="12" t="n">
        <x:v>1.88</x:v>
      </x:c>
      <x:c r="I27" s="12" t="n">
        <x:v>0.15</x:v>
      </x:c>
      <x:c r="J27" s="12" t="n">
        <x:v>11</x:v>
      </x:c>
      <x:c r="K27" s="12" t="n">
        <x:v>42</x:v>
      </x:c>
      <x:c r="L27" s="16" t="n">
        <x:v>0.6939560081456772</x:v>
      </x:c>
      <x:c r="M27" s="16" t="n">
        <x:v>1.0483828277147327</x:v>
      </x:c>
      <x:c r="N27" s="12" t="n">
        <x:v>2.476688838582204</x:v>
      </x:c>
      <x:c r="O27" s="16" t="n">
        <x:v>0.024757676772198266</x:v>
      </x:c>
      <x:c r="P27" s="12" t="n">
        <x:v>92.24997714165475</x:v>
      </x:c>
      <x:c r="Q27" s="12" t="n">
        <x:f>G27+H27</x:f>
        <x:v>2.6799999999999997</x:v>
      </x:c>
    </x:row>
    <x:row r="28">
      <x:c r="A28" s="12" t="str">
        <x:v>SRV-0027</x:v>
      </x:c>
      <x:c r="B28" s="14" t="n">
        <x:v>46054</x:v>
      </x:c>
      <x:c r="C28" s="12" t="str">
        <x:v>DLR-009</x:v>
      </x:c>
      <x:c r="D28" s="12" t="str">
        <x:v>VinFast HTA Đông Anh</x:v>
      </x:c>
      <x:c r="E28" s="12" t="str">
        <x:v>VinFast</x:v>
      </x:c>
      <x:c r="F28" s="12" t="n">
        <x:v>392</x:v>
      </x:c>
      <x:c r="G28" s="12" t="n">
        <x:v>0.39</x:v>
      </x:c>
      <x:c r="H28" s="12" t="n">
        <x:v>1.16</x:v>
      </x:c>
      <x:c r="I28" s="12" t="n">
        <x:v>0.09</x:v>
      </x:c>
      <x:c r="J28" s="12" t="n">
        <x:v>21</x:v>
      </x:c>
      <x:c r="K28" s="12" t="n">
        <x:v>15</x:v>
      </x:c>
      <x:c r="L28" s="16" t="n">
        <x:v>0.9064207780517811</x:v>
      </x:c>
      <x:c r="M28" s="16" t="n">
        <x:v>0.8742802423942945</x:v>
      </x:c>
      <x:c r="N28" s="12" t="n">
        <x:v>3.383165276353452</x:v>
      </x:c>
      <x:c r="O28" s="16" t="n">
        <x:v>0.017252086893083003</x:v>
      </x:c>
      <x:c r="P28" s="12" t="n">
        <x:v>96.88472439441556</x:v>
      </x:c>
      <x:c r="Q28" s="12" t="n">
        <x:f>G28+H28</x:f>
        <x:v>1.5499999999999998</x:v>
      </x:c>
    </x:row>
    <x:row r="29">
      <x:c r="A29" s="12" t="str">
        <x:v>SRV-0028</x:v>
      </x:c>
      <x:c r="B29" s="14" t="n">
        <x:v>46054</x:v>
      </x:c>
      <x:c r="C29" s="12" t="str">
        <x:v>DLR-010</x:v>
      </x:c>
      <x:c r="D29" s="12" t="str">
        <x:v>VinFast HTA Đàm Quang Trung</x:v>
      </x:c>
      <x:c r="E29" s="12" t="str">
        <x:v>VinFast</x:v>
      </x:c>
      <x:c r="F29" s="12" t="n">
        <x:v>521</x:v>
      </x:c>
      <x:c r="G29" s="12" t="n">
        <x:v>0.88</x:v>
      </x:c>
      <x:c r="H29" s="12" t="n">
        <x:v>1.06</x:v>
      </x:c>
      <x:c r="I29" s="12" t="n">
        <x:v>0.17</x:v>
      </x:c>
      <x:c r="J29" s="12" t="n">
        <x:v>13</x:v>
      </x:c>
      <x:c r="K29" s="12" t="n">
        <x:v>17</x:v>
      </x:c>
      <x:c r="L29" s="16" t="n">
        <x:v>0.806771019894508</x:v>
      </x:c>
      <x:c r="M29" s="16" t="n">
        <x:v>1.0471717980145703</x:v>
      </x:c>
      <x:c r="N29" s="12" t="n">
        <x:v>1.5890133864396137</x:v>
      </x:c>
      <x:c r="O29" s="16" t="n">
        <x:v>0.02513147216712212</x:v>
      </x:c>
      <x:c r="P29" s="12" t="n">
        <x:v>88.04242151281595</x:v>
      </x:c>
      <x:c r="Q29" s="12" t="n">
        <x:f>G29+H29</x:f>
        <x:v>1.94</x:v>
      </x:c>
    </x:row>
    <x:row r="30">
      <x:c r="A30" s="12" t="str">
        <x:v>SRV-0029</x:v>
      </x:c>
      <x:c r="B30" s="14" t="n">
        <x:v>46054</x:v>
      </x:c>
      <x:c r="C30" s="12" t="str">
        <x:v>DLR-011</x:v>
      </x:c>
      <x:c r="D30" s="12" t="str">
        <x:v>VinFast HTA Phạm Văn Đồng</x:v>
      </x:c>
      <x:c r="E30" s="12" t="str">
        <x:v>VinFast</x:v>
      </x:c>
      <x:c r="F30" s="12" t="n">
        <x:v>353</x:v>
      </x:c>
      <x:c r="G30" s="12" t="n">
        <x:v>0.53</x:v>
      </x:c>
      <x:c r="H30" s="12" t="n">
        <x:v>0.74</x:v>
      </x:c>
      <x:c r="I30" s="12" t="n">
        <x:v>0.1</x:v>
      </x:c>
      <x:c r="J30" s="12" t="n">
        <x:v>23</x:v>
      </x:c>
      <x:c r="K30" s="12" t="n">
        <x:v>17</x:v>
      </x:c>
      <x:c r="L30" s="16" t="n">
        <x:v>0.7136455489677543</x:v>
      </x:c>
      <x:c r="M30" s="16" t="n">
        <x:v>0.9761361091439091</x:v>
      </x:c>
      <x:c r="N30" s="12" t="n">
        <x:v>2.144701390620065</x:v>
      </x:c>
      <x:c r="O30" s="16" t="n">
        <x:v>0.019583687112211076</x:v>
      </x:c>
      <x:c r="P30" s="12" t="n">
        <x:v>92.29660248346514</x:v>
      </x:c>
      <x:c r="Q30" s="12" t="n">
        <x:f>G30+H30</x:f>
        <x:v>1.27</x:v>
      </x:c>
    </x:row>
    <x:row r="31">
      <x:c r="A31" s="12" t="str">
        <x:v>SRV-0030</x:v>
      </x:c>
      <x:c r="B31" s="14" t="n">
        <x:v>46054</x:v>
      </x:c>
      <x:c r="C31" s="12" t="str">
        <x:v>DLR-012</x:v>
      </x:c>
      <x:c r="D31" s="12" t="str">
        <x:v>VinFast HTA Võ Chí Công</x:v>
      </x:c>
      <x:c r="E31" s="12" t="str">
        <x:v>VinFast</x:v>
      </x:c>
      <x:c r="F31" s="12" t="n">
        <x:v>307</x:v>
      </x:c>
      <x:c r="G31" s="12" t="n">
        <x:v>0.41</x:v>
      </x:c>
      <x:c r="H31" s="12" t="n">
        <x:v>0.93</x:v>
      </x:c>
      <x:c r="I31" s="12" t="n">
        <x:v>0.1</x:v>
      </x:c>
      <x:c r="J31" s="12" t="n">
        <x:v>18</x:v>
      </x:c>
      <x:c r="K31" s="12" t="n">
        <x:v>45</x:v>
      </x:c>
      <x:c r="L31" s="16" t="n">
        <x:v>0.7295499445845052</x:v>
      </x:c>
      <x:c r="M31" s="16" t="n">
        <x:v>1.0636293310037597</x:v>
      </x:c>
      <x:c r="N31" s="12" t="n">
        <x:v>2.57871124307757</x:v>
      </x:c>
      <x:c r="O31" s="16" t="n">
        <x:v>0.014718224317648812</x:v>
      </x:c>
      <x:c r="P31" s="12" t="n">
        <x:v>94.24172272453357</x:v>
      </x:c>
      <x:c r="Q31" s="12" t="n">
        <x:f>G31+H31</x:f>
        <x:v>1.34</x:v>
      </x:c>
    </x:row>
    <x:row r="32">
      <x:c r="A32" s="12" t="str">
        <x:v>SRV-0031</x:v>
      </x:c>
      <x:c r="B32" s="14" t="n">
        <x:v>46054</x:v>
      </x:c>
      <x:c r="C32" s="12" t="str">
        <x:v>DLR-013</x:v>
      </x:c>
      <x:c r="D32" s="12" t="str">
        <x:v>VinFast HTA Ninh Bình</x:v>
      </x:c>
      <x:c r="E32" s="12" t="str">
        <x:v>VinFast</x:v>
      </x:c>
      <x:c r="F32" s="12" t="n">
        <x:v>380</x:v>
      </x:c>
      <x:c r="G32" s="12" t="n">
        <x:v>0.38</x:v>
      </x:c>
      <x:c r="H32" s="12" t="n">
        <x:v>0.93</x:v>
      </x:c>
      <x:c r="I32" s="12" t="n">
        <x:v>0.1</x:v>
      </x:c>
      <x:c r="J32" s="12" t="n">
        <x:v>13</x:v>
      </x:c>
      <x:c r="K32" s="12" t="n">
        <x:v>16</x:v>
      </x:c>
      <x:c r="L32" s="16" t="n">
        <x:v>0.8941993957153467</x:v>
      </x:c>
      <x:c r="M32" s="16" t="n">
        <x:v>0.9273528112578899</x:v>
      </x:c>
      <x:c r="N32" s="12" t="n">
        <x:v>1.8398211419808705</x:v>
      </x:c>
      <x:c r="O32" s="16" t="n">
        <x:v>0.027651461609063947</x:v>
      </x:c>
      <x:c r="P32" s="12" t="n">
        <x:v>93.36732926753952</x:v>
      </x:c>
      <x:c r="Q32" s="12" t="n">
        <x:f>G32+H32</x:f>
        <x:v>1.31</x:v>
      </x:c>
    </x:row>
    <x:row r="33">
      <x:c r="A33" s="12" t="str">
        <x:v>SRV-0032</x:v>
      </x:c>
      <x:c r="B33" s="14" t="n">
        <x:v>46054</x:v>
      </x:c>
      <x:c r="C33" s="12" t="str">
        <x:v>DLR-014</x:v>
      </x:c>
      <x:c r="D33" s="12" t="str">
        <x:v>VinFast HTA Nam Từ Liêm</x:v>
      </x:c>
      <x:c r="E33" s="12" t="str">
        <x:v>VinFast</x:v>
      </x:c>
      <x:c r="F33" s="12" t="n">
        <x:v>299</x:v>
      </x:c>
      <x:c r="G33" s="12" t="n">
        <x:v>0.48</x:v>
      </x:c>
      <x:c r="H33" s="12" t="n">
        <x:v>1.04</x:v>
      </x:c>
      <x:c r="I33" s="12" t="n">
        <x:v>0.06</x:v>
      </x:c>
      <x:c r="J33" s="12" t="n">
        <x:v>23</x:v>
      </x:c>
      <x:c r="K33" s="12" t="n">
        <x:v>34</x:v>
      </x:c>
      <x:c r="L33" s="16" t="n">
        <x:v>0.8750300513877777</x:v>
      </x:c>
      <x:c r="M33" s="16" t="n">
        <x:v>0.8793580632009383</x:v>
      </x:c>
      <x:c r="N33" s="12" t="n">
        <x:v>3.1951673196260026</x:v>
      </x:c>
      <x:c r="O33" s="16" t="n">
        <x:v>0.029924224554684572</x:v>
      </x:c>
      <x:c r="P33" s="12" t="n">
        <x:v>88.17212259810988</x:v>
      </x:c>
      <x:c r="Q33" s="12" t="n">
        <x:f>G33+H33</x:f>
        <x:v>1.52</x:v>
      </x:c>
    </x:row>
    <x:row r="34">
      <x:c r="A34" s="12" t="str">
        <x:v>SRV-0033</x:v>
      </x:c>
      <x:c r="B34" s="14" t="n">
        <x:v>46054</x:v>
      </x:c>
      <x:c r="C34" s="12" t="str">
        <x:v>DLR-015</x:v>
      </x:c>
      <x:c r="D34" s="12" t="str">
        <x:v>VinFast HTA Văn Phú</x:v>
      </x:c>
      <x:c r="E34" s="12" t="str">
        <x:v>VinFast</x:v>
      </x:c>
      <x:c r="F34" s="12" t="n">
        <x:v>442</x:v>
      </x:c>
      <x:c r="G34" s="12" t="n">
        <x:v>0.75</x:v>
      </x:c>
      <x:c r="H34" s="12" t="n">
        <x:v>0.95</x:v>
      </x:c>
      <x:c r="I34" s="12" t="n">
        <x:v>0.06</x:v>
      </x:c>
      <x:c r="J34" s="12" t="n">
        <x:v>24</x:v>
      </x:c>
      <x:c r="K34" s="12" t="n">
        <x:v>22</x:v>
      </x:c>
      <x:c r="L34" s="16" t="n">
        <x:v>0.7120221152552498</x:v>
      </x:c>
      <x:c r="M34" s="16" t="n">
        <x:v>1.075999632434506</x:v>
      </x:c>
      <x:c r="N34" s="12" t="n">
        <x:v>2.9426797411009638</x:v>
      </x:c>
      <x:c r="O34" s="16" t="n">
        <x:v>0.018130195682247666</x:v>
      </x:c>
      <x:c r="P34" s="12" t="n">
        <x:v>93.76288976745384</x:v>
      </x:c>
      <x:c r="Q34" s="12" t="n">
        <x:f>G34+H34</x:f>
        <x:v>1.7</x:v>
      </x:c>
    </x:row>
    <x:row r="35">
      <x:c r="A35" s="12" t="str">
        <x:v>SRV-0034</x:v>
      </x:c>
      <x:c r="B35" s="14" t="n">
        <x:v>46054</x:v>
      </x:c>
      <x:c r="C35" s="12" t="str">
        <x:v>DLR-016</x:v>
      </x:c>
      <x:c r="D35" s="12" t="str">
        <x:v>VinFast HTA Mỹ Đình</x:v>
      </x:c>
      <x:c r="E35" s="12" t="str">
        <x:v>VinFast</x:v>
      </x:c>
      <x:c r="F35" s="12" t="n">
        <x:v>497</x:v>
      </x:c>
      <x:c r="G35" s="12" t="n">
        <x:v>0.7</x:v>
      </x:c>
      <x:c r="H35" s="12" t="n">
        <x:v>1.4</x:v>
      </x:c>
      <x:c r="I35" s="12" t="n">
        <x:v>0.07</x:v>
      </x:c>
      <x:c r="J35" s="12" t="n">
        <x:v>11</x:v>
      </x:c>
      <x:c r="K35" s="12" t="n">
        <x:v>13</x:v>
      </x:c>
      <x:c r="L35" s="16" t="n">
        <x:v>0.6925411146829645</x:v>
      </x:c>
      <x:c r="M35" s="16" t="n">
        <x:v>0.8616843374821483</x:v>
      </x:c>
      <x:c r="N35" s="12" t="n">
        <x:v>2.177491435680973</x:v>
      </x:c>
      <x:c r="O35" s="16" t="n">
        <x:v>0.01133706670088041</x:v>
      </x:c>
      <x:c r="P35" s="12" t="n">
        <x:v>90.27464463762617</x:v>
      </x:c>
      <x:c r="Q35" s="12" t="n">
        <x:f>G35+H35</x:f>
        <x:v>2.0999999999999996</x:v>
      </x:c>
    </x:row>
    <x:row r="36">
      <x:c r="A36" s="12" t="str">
        <x:v>SRV-0035</x:v>
      </x:c>
      <x:c r="B36" s="14" t="n">
        <x:v>46054</x:v>
      </x:c>
      <x:c r="C36" s="12" t="str">
        <x:v>DLR-017</x:v>
      </x:c>
      <x:c r="D36" s="12" t="str">
        <x:v>VinFast Quốc Oai</x:v>
      </x:c>
      <x:c r="E36" s="12" t="str">
        <x:v>VinFast</x:v>
      </x:c>
      <x:c r="F36" s="12" t="n">
        <x:v>601</x:v>
      </x:c>
      <x:c r="G36" s="12" t="n">
        <x:v>0.64</x:v>
      </x:c>
      <x:c r="H36" s="12" t="n">
        <x:v>1.78</x:v>
      </x:c>
      <x:c r="I36" s="12" t="n">
        <x:v>0.07</x:v>
      </x:c>
      <x:c r="J36" s="12" t="n">
        <x:v>21</x:v>
      </x:c>
      <x:c r="K36" s="12" t="n">
        <x:v>18</x:v>
      </x:c>
      <x:c r="L36" s="16" t="n">
        <x:v>0.8522455711311131</x:v>
      </x:c>
      <x:c r="M36" s="16" t="n">
        <x:v>0.917191773833388</x:v>
      </x:c>
      <x:c r="N36" s="12" t="n">
        <x:v>2.532395541232809</x:v>
      </x:c>
      <x:c r="O36" s="16" t="n">
        <x:v>0.011703415120454842</x:v>
      </x:c>
      <x:c r="P36" s="12" t="n">
        <x:v>95.475874484238</x:v>
      </x:c>
      <x:c r="Q36" s="12" t="n">
        <x:f>G36+H36</x:f>
        <x:v>2.42</x:v>
      </x:c>
    </x:row>
    <x:row r="37">
      <x:c r="A37" s="12" t="str">
        <x:v>SRV-0036</x:v>
      </x:c>
      <x:c r="B37" s="14" t="n">
        <x:v>46054</x:v>
      </x:c>
      <x:c r="C37" s="12" t="str">
        <x:v>DLR-018</x:v>
      </x:c>
      <x:c r="D37" s="12" t="str">
        <x:v>OMODA &amp; JAECOO HTA Nam Từ Liêm</x:v>
      </x:c>
      <x:c r="E37" s="12" t="str">
        <x:v>OMODA &amp; JAECOO</x:v>
      </x:c>
      <x:c r="F37" s="12" t="n">
        <x:v>317</x:v>
      </x:c>
      <x:c r="G37" s="12" t="n">
        <x:v>0.47</x:v>
      </x:c>
      <x:c r="H37" s="12" t="n">
        <x:v>0.63</x:v>
      </x:c>
      <x:c r="I37" s="12" t="n">
        <x:v>0.05</x:v>
      </x:c>
      <x:c r="J37" s="12" t="n">
        <x:v>11</x:v>
      </x:c>
      <x:c r="K37" s="12" t="n">
        <x:v>43</x:v>
      </x:c>
      <x:c r="L37" s="16" t="n">
        <x:v>0.7316481320436334</x:v>
      </x:c>
      <x:c r="M37" s="16" t="n">
        <x:v>0.891909779012689</x:v>
      </x:c>
      <x:c r="N37" s="12" t="n">
        <x:v>1.77858661435021</x:v>
      </x:c>
      <x:c r="O37" s="16" t="n">
        <x:v>0.02212494490499968</x:v>
      </x:c>
      <x:c r="P37" s="12" t="n">
        <x:v>89.8150587098397</x:v>
      </x:c>
      <x:c r="Q37" s="12" t="n">
        <x:f>G37+H37</x:f>
        <x:v>1.1</x:v>
      </x:c>
    </x:row>
    <x:row r="38">
      <x:c r="A38" s="12" t="str">
        <x:v>SRV-0037</x:v>
      </x:c>
      <x:c r="B38" s="14" t="n">
        <x:v>46054</x:v>
      </x:c>
      <x:c r="C38" s="12" t="str">
        <x:v>DLR-019</x:v>
      </x:c>
      <x:c r="D38" s="12" t="str">
        <x:v>OMODA &amp; JAECOO HTA Việt Trì</x:v>
      </x:c>
      <x:c r="E38" s="12" t="str">
        <x:v>OMODA &amp; JAECOO</x:v>
      </x:c>
      <x:c r="F38" s="12" t="n">
        <x:v>700</x:v>
      </x:c>
      <x:c r="G38" s="12" t="n">
        <x:v>0.8</x:v>
      </x:c>
      <x:c r="H38" s="12" t="n">
        <x:v>1.31</x:v>
      </x:c>
      <x:c r="I38" s="12" t="n">
        <x:v>0.16</x:v>
      </x:c>
      <x:c r="J38" s="12" t="n">
        <x:v>14</x:v>
      </x:c>
      <x:c r="K38" s="12" t="n">
        <x:v>42</x:v>
      </x:c>
      <x:c r="L38" s="16" t="n">
        <x:v>0.7659569402111424</x:v>
      </x:c>
      <x:c r="M38" s="16" t="n">
        <x:v>0.8209856796606613</x:v>
      </x:c>
      <x:c r="N38" s="12" t="n">
        <x:v>2.677592891423451</x:v>
      </x:c>
      <x:c r="O38" s="16" t="n">
        <x:v>0.03248576119528439</x:v>
      </x:c>
      <x:c r="P38" s="12" t="n">
        <x:v>95.51708948736918</x:v>
      </x:c>
      <x:c r="Q38" s="12" t="n">
        <x:f>G38+H38</x:f>
        <x:v>2.1100000000000003</x:v>
      </x:c>
    </x:row>
    <x:row r="39">
      <x:c r="A39" s="12" t="str">
        <x:v>SRV-0038</x:v>
      </x:c>
      <x:c r="B39" s="14" t="n">
        <x:v>46054</x:v>
      </x:c>
      <x:c r="C39" s="12" t="str">
        <x:v>DLR-020</x:v>
      </x:c>
      <x:c r="D39" s="12" t="str">
        <x:v>Wuling HTA Long Biên</x:v>
      </x:c>
      <x:c r="E39" s="12" t="str">
        <x:v>Wuling</x:v>
      </x:c>
      <x:c r="F39" s="12" t="n">
        <x:v>711</x:v>
      </x:c>
      <x:c r="G39" s="12" t="n">
        <x:v>0.72</x:v>
      </x:c>
      <x:c r="H39" s="12" t="n">
        <x:v>1.39</x:v>
      </x:c>
      <x:c r="I39" s="12" t="n">
        <x:v>0.17</x:v>
      </x:c>
      <x:c r="J39" s="12" t="n">
        <x:v>11</x:v>
      </x:c>
      <x:c r="K39" s="12" t="n">
        <x:v>28</x:v>
      </x:c>
      <x:c r="L39" s="16" t="n">
        <x:v>0.8475275658078616</x:v>
      </x:c>
      <x:c r="M39" s="16" t="n">
        <x:v>0.9844304445081928</x:v>
      </x:c>
      <x:c r="N39" s="12" t="n">
        <x:v>3.3500400964263735</x:v>
      </x:c>
      <x:c r="O39" s="16" t="n">
        <x:v>0.015131375614818102</x:v>
      </x:c>
      <x:c r="P39" s="12" t="n">
        <x:v>88.45072176231652</x:v>
      </x:c>
      <x:c r="Q39" s="12" t="n">
        <x:f>G39+H39</x:f>
        <x:v>2.11</x:v>
      </x:c>
    </x:row>
    <x:row r="40">
      <x:c r="A40" s="12" t="str">
        <x:v>SRV-0039</x:v>
      </x:c>
      <x:c r="B40" s="14" t="n">
        <x:v>46082</x:v>
      </x:c>
      <x:c r="C40" s="12" t="str">
        <x:v>DLR-001</x:v>
      </x:c>
      <x:c r="D40" s="12" t="str">
        <x:v>Hà Thành Ford</x:v>
      </x:c>
      <x:c r="E40" s="12" t="str">
        <x:v>Ford</x:v>
      </x:c>
      <x:c r="F40" s="12" t="n">
        <x:v>696</x:v>
      </x:c>
      <x:c r="G40" s="12" t="n">
        <x:v>1.11</x:v>
      </x:c>
      <x:c r="H40" s="12" t="n">
        <x:v>2.26</x:v>
      </x:c>
      <x:c r="I40" s="12" t="n">
        <x:v>0.14</x:v>
      </x:c>
      <x:c r="J40" s="12" t="n">
        <x:v>18</x:v>
      </x:c>
      <x:c r="K40" s="12" t="n">
        <x:v>39</x:v>
      </x:c>
      <x:c r="L40" s="16" t="n">
        <x:v>0.8720204509059658</x:v>
      </x:c>
      <x:c r="M40" s="16" t="n">
        <x:v>0.8541994493190088</x:v>
      </x:c>
      <x:c r="N40" s="12" t="n">
        <x:v>2.8680488106507243</x:v>
      </x:c>
      <x:c r="O40" s="16" t="n">
        <x:v>0.00923900535152221</x:v>
      </x:c>
      <x:c r="P40" s="12" t="n">
        <x:v>95.6679885256704</x:v>
      </x:c>
      <x:c r="Q40" s="12" t="n">
        <x:f>G40+H40</x:f>
        <x:v>3.37</x:v>
      </x:c>
    </x:row>
    <x:row r="41">
      <x:c r="A41" s="12" t="str">
        <x:v>SRV-0040</x:v>
      </x:c>
      <x:c r="B41" s="14" t="n">
        <x:v>46082</x:v>
      </x:c>
      <x:c r="C41" s="12" t="str">
        <x:v>DLR-002</x:v>
      </x:c>
      <x:c r="D41" s="12" t="str">
        <x:v>Hà Thành Ford - Mỹ Đình</x:v>
      </x:c>
      <x:c r="E41" s="12" t="str">
        <x:v>Ford</x:v>
      </x:c>
      <x:c r="F41" s="12" t="n">
        <x:v>438</x:v>
      </x:c>
      <x:c r="G41" s="12" t="n">
        <x:v>0.45</x:v>
      </x:c>
      <x:c r="H41" s="12" t="n">
        <x:v>1.05</x:v>
      </x:c>
      <x:c r="I41" s="12" t="n">
        <x:v>0.1</x:v>
      </x:c>
      <x:c r="J41" s="12" t="n">
        <x:v>16</x:v>
      </x:c>
      <x:c r="K41" s="12" t="n">
        <x:v>17</x:v>
      </x:c>
      <x:c r="L41" s="16" t="n">
        <x:v>0.7768817598513567</x:v>
      </x:c>
      <x:c r="M41" s="16" t="n">
        <x:v>0.9433801801937296</x:v>
      </x:c>
      <x:c r="N41" s="12" t="n">
        <x:v>1.4504303997882493</x:v>
      </x:c>
      <x:c r="O41" s="16" t="n">
        <x:v>0.018806756101417306</x:v>
      </x:c>
      <x:c r="P41" s="12" t="n">
        <x:v>92.10884818022323</x:v>
      </x:c>
      <x:c r="Q41" s="12" t="n">
        <x:f>G41+H41</x:f>
        <x:v>1.5</x:v>
      </x:c>
    </x:row>
    <x:row r="42">
      <x:c r="A42" s="12" t="str">
        <x:v>SRV-0041</x:v>
      </x:c>
      <x:c r="B42" s="14" t="n">
        <x:v>46082</x:v>
      </x:c>
      <x:c r="C42" s="12" t="str">
        <x:v>DLR-003</x:v>
      </x:c>
      <x:c r="D42" s="12" t="str">
        <x:v>Mỹ Đình Ford</x:v>
      </x:c>
      <x:c r="E42" s="12" t="str">
        <x:v>Ford</x:v>
      </x:c>
      <x:c r="F42" s="12" t="n">
        <x:v>646</x:v>
      </x:c>
      <x:c r="G42" s="12" t="n">
        <x:v>0.94</x:v>
      </x:c>
      <x:c r="H42" s="12" t="n">
        <x:v>1.69</x:v>
      </x:c>
      <x:c r="I42" s="12" t="n">
        <x:v>0.14</x:v>
      </x:c>
      <x:c r="J42" s="12" t="n">
        <x:v>13</x:v>
      </x:c>
      <x:c r="K42" s="12" t="n">
        <x:v>19</x:v>
      </x:c>
      <x:c r="L42" s="16" t="n">
        <x:v>0.7144530098215056</x:v>
      </x:c>
      <x:c r="M42" s="16" t="n">
        <x:v>1.0815080003523283</x:v>
      </x:c>
      <x:c r="N42" s="12" t="n">
        <x:v>3.3594521751510156</x:v>
      </x:c>
      <x:c r="O42" s="16" t="n">
        <x:v>0.03079744588064906</x:v>
      </x:c>
      <x:c r="P42" s="12" t="n">
        <x:v>88.93341795164532</x:v>
      </x:c>
      <x:c r="Q42" s="12" t="n">
        <x:f>G42+H42</x:f>
        <x:v>2.63</x:v>
      </x:c>
    </x:row>
    <x:row r="43">
      <x:c r="A43" s="12" t="str">
        <x:v>SRV-0042</x:v>
      </x:c>
      <x:c r="B43" s="14" t="n">
        <x:v>46082</x:v>
      </x:c>
      <x:c r="C43" s="12" t="str">
        <x:v>DLR-004</x:v>
      </x:c>
      <x:c r="D43" s="12" t="str">
        <x:v>Việt Trì Ford</x:v>
      </x:c>
      <x:c r="E43" s="12" t="str">
        <x:v>Ford</x:v>
      </x:c>
      <x:c r="F43" s="12" t="n">
        <x:v>587</x:v>
      </x:c>
      <x:c r="G43" s="12" t="n">
        <x:v>0.75</x:v>
      </x:c>
      <x:c r="H43" s="12" t="n">
        <x:v>1.62</x:v>
      </x:c>
      <x:c r="I43" s="12" t="n">
        <x:v>0.13</x:v>
      </x:c>
      <x:c r="J43" s="12" t="n">
        <x:v>20</x:v>
      </x:c>
      <x:c r="K43" s="12" t="n">
        <x:v>34</x:v>
      </x:c>
      <x:c r="L43" s="16" t="n">
        <x:v>0.8389531890116052</x:v>
      </x:c>
      <x:c r="M43" s="16" t="n">
        <x:v>1.1305272788286738</x:v>
      </x:c>
      <x:c r="N43" s="12" t="n">
        <x:v>3.135890542304369</x:v>
      </x:c>
      <x:c r="O43" s="16" t="n">
        <x:v>0.02763652313711497</x:v>
      </x:c>
      <x:c r="P43" s="12" t="n">
        <x:v>96.0258652133934</x:v>
      </x:c>
      <x:c r="Q43" s="12" t="n">
        <x:f>G43+H43</x:f>
        <x:v>2.37</x:v>
      </x:c>
    </x:row>
    <x:row r="44">
      <x:c r="A44" s="12" t="str">
        <x:v>SRV-0043</x:v>
      </x:c>
      <x:c r="B44" s="14" t="n">
        <x:v>46082</x:v>
      </x:c>
      <x:c r="C44" s="12" t="str">
        <x:v>DLR-005</x:v>
      </x:c>
      <x:c r="D44" s="12" t="str">
        <x:v>BYD HTA Tây Hồ</x:v>
      </x:c>
      <x:c r="E44" s="12" t="str">
        <x:v>BYD</x:v>
      </x:c>
      <x:c r="F44" s="12" t="n">
        <x:v>474</x:v>
      </x:c>
      <x:c r="G44" s="12" t="n">
        <x:v>0.61</x:v>
      </x:c>
      <x:c r="H44" s="12" t="n">
        <x:v>1.57</x:v>
      </x:c>
      <x:c r="I44" s="12" t="n">
        <x:v>0.1</x:v>
      </x:c>
      <x:c r="J44" s="12" t="n">
        <x:v>10</x:v>
      </x:c>
      <x:c r="K44" s="12" t="n">
        <x:v>28</x:v>
      </x:c>
      <x:c r="L44" s="16" t="n">
        <x:v>0.8502931279070813</x:v>
      </x:c>
      <x:c r="M44" s="16" t="n">
        <x:v>0.8244496766749362</x:v>
      </x:c>
      <x:c r="N44" s="12" t="n">
        <x:v>3.1103309980887444</x:v>
      </x:c>
      <x:c r="O44" s="16" t="n">
        <x:v>0.022170083625043</x:v>
      </x:c>
      <x:c r="P44" s="12" t="n">
        <x:v>94.69261431090415</x:v>
      </x:c>
      <x:c r="Q44" s="12" t="n">
        <x:f>G44+H44</x:f>
        <x:v>2.18</x:v>
      </x:c>
    </x:row>
    <x:row r="45">
      <x:c r="A45" s="12" t="str">
        <x:v>SRV-0044</x:v>
      </x:c>
      <x:c r="B45" s="14" t="n">
        <x:v>46082</x:v>
      </x:c>
      <x:c r="C45" s="12" t="str">
        <x:v>DLR-007</x:v>
      </x:c>
      <x:c r="D45" s="12" t="str">
        <x:v>BYD Hà Đông</x:v>
      </x:c>
      <x:c r="E45" s="12" t="str">
        <x:v>BYD</x:v>
      </x:c>
      <x:c r="F45" s="12" t="n">
        <x:v>472</x:v>
      </x:c>
      <x:c r="G45" s="12" t="n">
        <x:v>0.51</x:v>
      </x:c>
      <x:c r="H45" s="12" t="n">
        <x:v>1.62</x:v>
      </x:c>
      <x:c r="I45" s="12" t="n">
        <x:v>0.15</x:v>
      </x:c>
      <x:c r="J45" s="12" t="n">
        <x:v>24</x:v>
      </x:c>
      <x:c r="K45" s="12" t="n">
        <x:v>45</x:v>
      </x:c>
      <x:c r="L45" s="16" t="n">
        <x:v>0.8589428273003611</x:v>
      </x:c>
      <x:c r="M45" s="16" t="n">
        <x:v>1.0425660457781492</x:v>
      </x:c>
      <x:c r="N45" s="12" t="n">
        <x:v>2.152265395639607</x:v>
      </x:c>
      <x:c r="O45" s="16" t="n">
        <x:v>0.027619603147443973</x:v>
      </x:c>
      <x:c r="P45" s="12" t="n">
        <x:v>92.33736709588577</x:v>
      </x:c>
      <x:c r="Q45" s="12" t="n">
        <x:f>G45+H45</x:f>
        <x:v>2.13</x:v>
      </x:c>
    </x:row>
    <x:row r="46">
      <x:c r="A46" s="12" t="str">
        <x:v>SRV-0045</x:v>
      </x:c>
      <x:c r="B46" s="14" t="n">
        <x:v>46082</x:v>
      </x:c>
      <x:c r="C46" s="12" t="str">
        <x:v>DLR-008</x:v>
      </x:c>
      <x:c r="D46" s="12" t="str">
        <x:v>VinFast HTA Nguyễn Văn Linh</x:v>
      </x:c>
      <x:c r="E46" s="12" t="str">
        <x:v>VinFast</x:v>
      </x:c>
      <x:c r="F46" s="12" t="n">
        <x:v>569</x:v>
      </x:c>
      <x:c r="G46" s="12" t="n">
        <x:v>0.8</x:v>
      </x:c>
      <x:c r="H46" s="12" t="n">
        <x:v>1.17</x:v>
      </x:c>
      <x:c r="I46" s="12" t="n">
        <x:v>0.18</x:v>
      </x:c>
      <x:c r="J46" s="12" t="n">
        <x:v>9</x:v>
      </x:c>
      <x:c r="K46" s="12" t="n">
        <x:v>12</x:v>
      </x:c>
      <x:c r="L46" s="16" t="n">
        <x:v>0.8472836663047714</x:v>
      </x:c>
      <x:c r="M46" s="16" t="n">
        <x:v>0.8764938543886268</x:v>
      </x:c>
      <x:c r="N46" s="12" t="n">
        <x:v>3.0674602645072016</x:v>
      </x:c>
      <x:c r="O46" s="16" t="n">
        <x:v>0.03100052108904379</x:v>
      </x:c>
      <x:c r="P46" s="12" t="n">
        <x:v>95.8247407115149</x:v>
      </x:c>
      <x:c r="Q46" s="12" t="n">
        <x:f>G46+H46</x:f>
        <x:v>1.97</x:v>
      </x:c>
    </x:row>
    <x:row r="47">
      <x:c r="A47" s="12" t="str">
        <x:v>SRV-0046</x:v>
      </x:c>
      <x:c r="B47" s="14" t="n">
        <x:v>46082</x:v>
      </x:c>
      <x:c r="C47" s="12" t="str">
        <x:v>DLR-009</x:v>
      </x:c>
      <x:c r="D47" s="12" t="str">
        <x:v>VinFast HTA Đông Anh</x:v>
      </x:c>
      <x:c r="E47" s="12" t="str">
        <x:v>VinFast</x:v>
      </x:c>
      <x:c r="F47" s="12" t="n">
        <x:v>330</x:v>
      </x:c>
      <x:c r="G47" s="12" t="n">
        <x:v>0.43</x:v>
      </x:c>
      <x:c r="H47" s="12" t="n">
        <x:v>0.73</x:v>
      </x:c>
      <x:c r="I47" s="12" t="n">
        <x:v>0.11</x:v>
      </x:c>
      <x:c r="J47" s="12" t="n">
        <x:v>9</x:v>
      </x:c>
      <x:c r="K47" s="12" t="n">
        <x:v>44</x:v>
      </x:c>
      <x:c r="L47" s="16" t="n">
        <x:v>0.7379036960238877</x:v>
      </x:c>
      <x:c r="M47" s="16" t="n">
        <x:v>1.0515942333363706</x:v>
      </x:c>
      <x:c r="N47" s="12" t="n">
        <x:v>2.0872093856157905</x:v>
      </x:c>
      <x:c r="O47" s="16" t="n">
        <x:v>0.014344999999764754</x:v>
      </x:c>
      <x:c r="P47" s="12" t="n">
        <x:v>92.13185135273412</x:v>
      </x:c>
      <x:c r="Q47" s="12" t="n">
        <x:f>G47+H47</x:f>
        <x:v>1.16</x:v>
      </x:c>
    </x:row>
    <x:row r="48">
      <x:c r="A48" s="12" t="str">
        <x:v>SRV-0047</x:v>
      </x:c>
      <x:c r="B48" s="14" t="n">
        <x:v>46082</x:v>
      </x:c>
      <x:c r="C48" s="12" t="str">
        <x:v>DLR-010</x:v>
      </x:c>
      <x:c r="D48" s="12" t="str">
        <x:v>VinFast HTA Đàm Quang Trung</x:v>
      </x:c>
      <x:c r="E48" s="12" t="str">
        <x:v>VinFast</x:v>
      </x:c>
      <x:c r="F48" s="12" t="n">
        <x:v>488</x:v>
      </x:c>
      <x:c r="G48" s="12" t="n">
        <x:v>0.61</x:v>
      </x:c>
      <x:c r="H48" s="12" t="n">
        <x:v>1.59</x:v>
      </x:c>
      <x:c r="I48" s="12" t="n">
        <x:v>0.11</x:v>
      </x:c>
      <x:c r="J48" s="12" t="n">
        <x:v>11</x:v>
      </x:c>
      <x:c r="K48" s="12" t="n">
        <x:v>43</x:v>
      </x:c>
      <x:c r="L48" s="16" t="n">
        <x:v>0.8737621308108939</x:v>
      </x:c>
      <x:c r="M48" s="16" t="n">
        <x:v>0.8263968863856166</x:v>
      </x:c>
      <x:c r="N48" s="12" t="n">
        <x:v>2.0875672497387585</x:v>
      </x:c>
      <x:c r="O48" s="16" t="n">
        <x:v>0.00896746217491133</x:v>
      </x:c>
      <x:c r="P48" s="12" t="n">
        <x:v>92.94188910723871</x:v>
      </x:c>
      <x:c r="Q48" s="12" t="n">
        <x:f>G48+H48</x:f>
        <x:v>2.2</x:v>
      </x:c>
    </x:row>
    <x:row r="49">
      <x:c r="A49" s="12" t="str">
        <x:v>SRV-0048</x:v>
      </x:c>
      <x:c r="B49" s="14" t="n">
        <x:v>46082</x:v>
      </x:c>
      <x:c r="C49" s="12" t="str">
        <x:v>DLR-011</x:v>
      </x:c>
      <x:c r="D49" s="12" t="str">
        <x:v>VinFast HTA Phạm Văn Đồng</x:v>
      </x:c>
      <x:c r="E49" s="12" t="str">
        <x:v>VinFast</x:v>
      </x:c>
      <x:c r="F49" s="12" t="n">
        <x:v>585</x:v>
      </x:c>
      <x:c r="G49" s="12" t="n">
        <x:v>0.9</x:v>
      </x:c>
      <x:c r="H49" s="12" t="n">
        <x:v>2.01</x:v>
      </x:c>
      <x:c r="I49" s="12" t="n">
        <x:v>0.16</x:v>
      </x:c>
      <x:c r="J49" s="12" t="n">
        <x:v>24</x:v>
      </x:c>
      <x:c r="K49" s="12" t="n">
        <x:v>25</x:v>
      </x:c>
      <x:c r="L49" s="16" t="n">
        <x:v>0.8501949557258437</x:v>
      </x:c>
      <x:c r="M49" s="16" t="n">
        <x:v>0.9842348523596514</x:v>
      </x:c>
      <x:c r="N49" s="12" t="n">
        <x:v>1.9498792409848678</x:v>
      </x:c>
      <x:c r="O49" s="16" t="n">
        <x:v>0.0302833967467057</x:v>
      </x:c>
      <x:c r="P49" s="12" t="n">
        <x:v>95.3492981791963</x:v>
      </x:c>
      <x:c r="Q49" s="12" t="n">
        <x:f>G49+H49</x:f>
        <x:v>2.9099999999999997</x:v>
      </x:c>
    </x:row>
    <x:row r="50">
      <x:c r="A50" s="12" t="str">
        <x:v>SRV-0049</x:v>
      </x:c>
      <x:c r="B50" s="14" t="n">
        <x:v>46082</x:v>
      </x:c>
      <x:c r="C50" s="12" t="str">
        <x:v>DLR-012</x:v>
      </x:c>
      <x:c r="D50" s="12" t="str">
        <x:v>VinFast HTA Võ Chí Công</x:v>
      </x:c>
      <x:c r="E50" s="12" t="str">
        <x:v>VinFast</x:v>
      </x:c>
      <x:c r="F50" s="12" t="n">
        <x:v>759</x:v>
      </x:c>
      <x:c r="G50" s="12" t="n">
        <x:v>0.88</x:v>
      </x:c>
      <x:c r="H50" s="12" t="n">
        <x:v>2.36</x:v>
      </x:c>
      <x:c r="I50" s="12" t="n">
        <x:v>0.2</x:v>
      </x:c>
      <x:c r="J50" s="12" t="n">
        <x:v>19</x:v>
      </x:c>
      <x:c r="K50" s="12" t="n">
        <x:v>40</x:v>
      </x:c>
      <x:c r="L50" s="16" t="n">
        <x:v>0.709646073172492</x:v>
      </x:c>
      <x:c r="M50" s="16" t="n">
        <x:v>1.0933551823884822</x:v>
      </x:c>
      <x:c r="N50" s="12" t="n">
        <x:v>1.687843637204418</x:v>
      </x:c>
      <x:c r="O50" s="16" t="n">
        <x:v>0.017216642093574645</x:v>
      </x:c>
      <x:c r="P50" s="12" t="n">
        <x:v>95.4689549707096</x:v>
      </x:c>
      <x:c r="Q50" s="12" t="n">
        <x:f>G50+H50</x:f>
        <x:v>3.2399999999999998</x:v>
      </x:c>
    </x:row>
    <x:row r="51">
      <x:c r="A51" s="12" t="str">
        <x:v>SRV-0050</x:v>
      </x:c>
      <x:c r="B51" s="14" t="n">
        <x:v>46082</x:v>
      </x:c>
      <x:c r="C51" s="12" t="str">
        <x:v>DLR-013</x:v>
      </x:c>
      <x:c r="D51" s="12" t="str">
        <x:v>VinFast HTA Ninh Bình</x:v>
      </x:c>
      <x:c r="E51" s="12" t="str">
        <x:v>VinFast</x:v>
      </x:c>
      <x:c r="F51" s="12" t="n">
        <x:v>640</x:v>
      </x:c>
      <x:c r="G51" s="12" t="n">
        <x:v>0.73</x:v>
      </x:c>
      <x:c r="H51" s="12" t="n">
        <x:v>1.72</x:v>
      </x:c>
      <x:c r="I51" s="12" t="n">
        <x:v>0.18</x:v>
      </x:c>
      <x:c r="J51" s="12" t="n">
        <x:v>9</x:v>
      </x:c>
      <x:c r="K51" s="12" t="n">
        <x:v>22</x:v>
      </x:c>
      <x:c r="L51" s="16" t="n">
        <x:v>0.8080297569671033</x:v>
      </x:c>
      <x:c r="M51" s="16" t="n">
        <x:v>1.1158619175707414</x:v>
      </x:c>
      <x:c r="N51" s="12" t="n">
        <x:v>2.8335239588277785</x:v>
      </x:c>
      <x:c r="O51" s="16" t="n">
        <x:v>0.01904869044488639</x:v>
      </x:c>
      <x:c r="P51" s="12" t="n">
        <x:v>90.28860380126287</x:v>
      </x:c>
      <x:c r="Q51" s="12" t="n">
        <x:f>G51+H51</x:f>
        <x:v>2.45</x:v>
      </x:c>
    </x:row>
    <x:row r="52">
      <x:c r="A52" s="12" t="str">
        <x:v>SRV-0051</x:v>
      </x:c>
      <x:c r="B52" s="14" t="n">
        <x:v>46082</x:v>
      </x:c>
      <x:c r="C52" s="12" t="str">
        <x:v>DLR-014</x:v>
      </x:c>
      <x:c r="D52" s="12" t="str">
        <x:v>VinFast HTA Nam Từ Liêm</x:v>
      </x:c>
      <x:c r="E52" s="12" t="str">
        <x:v>VinFast</x:v>
      </x:c>
      <x:c r="F52" s="12" t="n">
        <x:v>252</x:v>
      </x:c>
      <x:c r="G52" s="12" t="n">
        <x:v>0.25</x:v>
      </x:c>
      <x:c r="H52" s="12" t="n">
        <x:v>0.82</x:v>
      </x:c>
      <x:c r="I52" s="12" t="n">
        <x:v>0.04</x:v>
      </x:c>
      <x:c r="J52" s="12" t="n">
        <x:v>14</x:v>
      </x:c>
      <x:c r="K52" s="12" t="n">
        <x:v>33</x:v>
      </x:c>
      <x:c r="L52" s="16" t="n">
        <x:v>0.708019094294748</x:v>
      </x:c>
      <x:c r="M52" s="16" t="n">
        <x:v>0.9692093242461989</x:v>
      </x:c>
      <x:c r="N52" s="12" t="n">
        <x:v>3.2385783671820834</x:v>
      </x:c>
      <x:c r="O52" s="16" t="n">
        <x:v>0.030611588412134558</x:v>
      </x:c>
      <x:c r="P52" s="12" t="n">
        <x:v>93.29929997108111</x:v>
      </x:c>
      <x:c r="Q52" s="12" t="n">
        <x:f>G52+H52</x:f>
        <x:v>1.0699999999999998</x:v>
      </x:c>
    </x:row>
    <x:row r="53">
      <x:c r="A53" s="12" t="str">
        <x:v>SRV-0052</x:v>
      </x:c>
      <x:c r="B53" s="14" t="n">
        <x:v>46082</x:v>
      </x:c>
      <x:c r="C53" s="12" t="str">
        <x:v>DLR-015</x:v>
      </x:c>
      <x:c r="D53" s="12" t="str">
        <x:v>VinFast HTA Văn Phú</x:v>
      </x:c>
      <x:c r="E53" s="12" t="str">
        <x:v>VinFast</x:v>
      </x:c>
      <x:c r="F53" s="12" t="n">
        <x:v>748</x:v>
      </x:c>
      <x:c r="G53" s="12" t="n">
        <x:v>0.94</x:v>
      </x:c>
      <x:c r="H53" s="12" t="n">
        <x:v>2.18</x:v>
      </x:c>
      <x:c r="I53" s="12" t="n">
        <x:v>0.25</x:v>
      </x:c>
      <x:c r="J53" s="12" t="n">
        <x:v>12</x:v>
      </x:c>
      <x:c r="K53" s="12" t="n">
        <x:v>43</x:v>
      </x:c>
      <x:c r="L53" s="16" t="n">
        <x:v>0.6811277831934001</x:v>
      </x:c>
      <x:c r="M53" s="16" t="n">
        <x:v>1.0850370149127078</x:v>
      </x:c>
      <x:c r="N53" s="12" t="n">
        <x:v>2.4170979235893357</x:v>
      </x:c>
      <x:c r="O53" s="16" t="n">
        <x:v>0.019685880256057046</x:v>
      </x:c>
      <x:c r="P53" s="12" t="n">
        <x:v>93.266086402136</x:v>
      </x:c>
      <x:c r="Q53" s="12" t="n">
        <x:f>G53+H53</x:f>
        <x:v>3.12</x:v>
      </x:c>
    </x:row>
    <x:row r="54">
      <x:c r="A54" s="12" t="str">
        <x:v>SRV-0053</x:v>
      </x:c>
      <x:c r="B54" s="14" t="n">
        <x:v>46082</x:v>
      </x:c>
      <x:c r="C54" s="12" t="str">
        <x:v>DLR-016</x:v>
      </x:c>
      <x:c r="D54" s="12" t="str">
        <x:v>VinFast HTA Mỹ Đình</x:v>
      </x:c>
      <x:c r="E54" s="12" t="str">
        <x:v>VinFast</x:v>
      </x:c>
      <x:c r="F54" s="12" t="n">
        <x:v>554</x:v>
      </x:c>
      <x:c r="G54" s="12" t="n">
        <x:v>0.84</x:v>
      </x:c>
      <x:c r="H54" s="12" t="n">
        <x:v>1.85</x:v>
      </x:c>
      <x:c r="I54" s="12" t="n">
        <x:v>0.15</x:v>
      </x:c>
      <x:c r="J54" s="12" t="n">
        <x:v>13</x:v>
      </x:c>
      <x:c r="K54" s="12" t="n">
        <x:v>20</x:v>
      </x:c>
      <x:c r="L54" s="16" t="n">
        <x:v>0.7069240298921277</x:v>
      </x:c>
      <x:c r="M54" s="16" t="n">
        <x:v>1.0567078520074231</x:v>
      </x:c>
      <x:c r="N54" s="12" t="n">
        <x:v>2.5335537026966426</x:v>
      </x:c>
      <x:c r="O54" s="16" t="n">
        <x:v>0.01668978157349656</x:v>
      </x:c>
      <x:c r="P54" s="12" t="n">
        <x:v>95.93251510308656</x:v>
      </x:c>
      <x:c r="Q54" s="12" t="n">
        <x:f>G54+H54</x:f>
        <x:v>2.69</x:v>
      </x:c>
    </x:row>
    <x:row r="55">
      <x:c r="A55" s="12" t="str">
        <x:v>SRV-0054</x:v>
      </x:c>
      <x:c r="B55" s="14" t="n">
        <x:v>46082</x:v>
      </x:c>
      <x:c r="C55" s="12" t="str">
        <x:v>DLR-017</x:v>
      </x:c>
      <x:c r="D55" s="12" t="str">
        <x:v>VinFast Quốc Oai</x:v>
      </x:c>
      <x:c r="E55" s="12" t="str">
        <x:v>VinFast</x:v>
      </x:c>
      <x:c r="F55" s="12" t="n">
        <x:v>466</x:v>
      </x:c>
      <x:c r="G55" s="12" t="n">
        <x:v>0.65</x:v>
      </x:c>
      <x:c r="H55" s="12" t="n">
        <x:v>1.39</x:v>
      </x:c>
      <x:c r="I55" s="12" t="n">
        <x:v>0.08</x:v>
      </x:c>
      <x:c r="J55" s="12" t="n">
        <x:v>20</x:v>
      </x:c>
      <x:c r="K55" s="12" t="n">
        <x:v>33</x:v>
      </x:c>
      <x:c r="L55" s="16" t="n">
        <x:v>0.9323278289771462</x:v>
      </x:c>
      <x:c r="M55" s="16" t="n">
        <x:v>0.983024454189292</x:v>
      </x:c>
      <x:c r="N55" s="12" t="n">
        <x:v>1.4934180282354057</x:v>
      </x:c>
      <x:c r="O55" s="16" t="n">
        <x:v>0.01914412776580572</x:v>
      </x:c>
      <x:c r="P55" s="12" t="n">
        <x:v>94.30012856407413</x:v>
      </x:c>
      <x:c r="Q55" s="12" t="n">
        <x:f>G55+H55</x:f>
        <x:v>2.04</x:v>
      </x:c>
    </x:row>
    <x:row r="56">
      <x:c r="A56" s="12" t="str">
        <x:v>SRV-0055</x:v>
      </x:c>
      <x:c r="B56" s="14" t="n">
        <x:v>46082</x:v>
      </x:c>
      <x:c r="C56" s="12" t="str">
        <x:v>DLR-018</x:v>
      </x:c>
      <x:c r="D56" s="12" t="str">
        <x:v>OMODA &amp; JAECOO HTA Nam Từ Liêm</x:v>
      </x:c>
      <x:c r="E56" s="12" t="str">
        <x:v>OMODA &amp; JAECOO</x:v>
      </x:c>
      <x:c r="F56" s="12" t="n">
        <x:v>621</x:v>
      </x:c>
      <x:c r="G56" s="12" t="n">
        <x:v>0.71</x:v>
      </x:c>
      <x:c r="H56" s="12" t="n">
        <x:v>1.86</x:v>
      </x:c>
      <x:c r="I56" s="12" t="n">
        <x:v>0.2</x:v>
      </x:c>
      <x:c r="J56" s="12" t="n">
        <x:v>14</x:v>
      </x:c>
      <x:c r="K56" s="12" t="n">
        <x:v>24</x:v>
      </x:c>
      <x:c r="L56" s="16" t="n">
        <x:v>0.7345253010264305</x:v>
      </x:c>
      <x:c r="M56" s="16" t="n">
        <x:v>1.077178432826762</x:v>
      </x:c>
      <x:c r="N56" s="12" t="n">
        <x:v>2.7105448541018804</x:v>
      </x:c>
      <x:c r="O56" s="16" t="n">
        <x:v>0.03287217763926156</x:v>
      </x:c>
      <x:c r="P56" s="12" t="n">
        <x:v>89.19404555732027</x:v>
      </x:c>
      <x:c r="Q56" s="12" t="n">
        <x:f>G56+H56</x:f>
        <x:v>2.5700000000000003</x:v>
      </x:c>
    </x:row>
    <x:row r="57">
      <x:c r="A57" s="12" t="str">
        <x:v>SRV-0056</x:v>
      </x:c>
      <x:c r="B57" s="14" t="n">
        <x:v>46082</x:v>
      </x:c>
      <x:c r="C57" s="12" t="str">
        <x:v>DLR-019</x:v>
      </x:c>
      <x:c r="D57" s="12" t="str">
        <x:v>OMODA &amp; JAECOO HTA Việt Trì</x:v>
      </x:c>
      <x:c r="E57" s="12" t="str">
        <x:v>OMODA &amp; JAECOO</x:v>
      </x:c>
      <x:c r="F57" s="12" t="n">
        <x:v>703</x:v>
      </x:c>
      <x:c r="G57" s="12" t="n">
        <x:v>1.18</x:v>
      </x:c>
      <x:c r="H57" s="12" t="n">
        <x:v>1.48</x:v>
      </x:c>
      <x:c r="I57" s="12" t="n">
        <x:v>0.17</x:v>
      </x:c>
      <x:c r="J57" s="12" t="n">
        <x:v>18</x:v>
      </x:c>
      <x:c r="K57" s="12" t="n">
        <x:v>19</x:v>
      </x:c>
      <x:c r="L57" s="16" t="n">
        <x:v>0.8778015064565974</x:v>
      </x:c>
      <x:c r="M57" s="16" t="n">
        <x:v>1.022420876122513</x:v>
      </x:c>
      <x:c r="N57" s="12" t="n">
        <x:v>2.4821737964108888</x:v>
      </x:c>
      <x:c r="O57" s="16" t="n">
        <x:v>0.033452188573876364</x:v>
      </x:c>
      <x:c r="P57" s="12" t="n">
        <x:v>94.3911126833953</x:v>
      </x:c>
      <x:c r="Q57" s="12" t="n">
        <x:f>G57+H57</x:f>
        <x:v>2.66</x:v>
      </x:c>
    </x:row>
    <x:row r="58">
      <x:c r="A58" s="12" t="str">
        <x:v>SRV-0057</x:v>
      </x:c>
      <x:c r="B58" s="14" t="n">
        <x:v>46082</x:v>
      </x:c>
      <x:c r="C58" s="12" t="str">
        <x:v>DLR-020</x:v>
      </x:c>
      <x:c r="D58" s="12" t="str">
        <x:v>Wuling HTA Long Biên</x:v>
      </x:c>
      <x:c r="E58" s="12" t="str">
        <x:v>Wuling</x:v>
      </x:c>
      <x:c r="F58" s="12" t="n">
        <x:v>714</x:v>
      </x:c>
      <x:c r="G58" s="12" t="n">
        <x:v>1.15</x:v>
      </x:c>
      <x:c r="H58" s="12" t="n">
        <x:v>1.93</x:v>
      </x:c>
      <x:c r="I58" s="12" t="n">
        <x:v>0.23</x:v>
      </x:c>
      <x:c r="J58" s="12" t="n">
        <x:v>21</x:v>
      </x:c>
      <x:c r="K58" s="12" t="n">
        <x:v>12</x:v>
      </x:c>
      <x:c r="L58" s="16" t="n">
        <x:v>0.8159097964143927</x:v>
      </x:c>
      <x:c r="M58" s="16" t="n">
        <x:v>0.8290979708516099</x:v>
      </x:c>
      <x:c r="N58" s="12" t="n">
        <x:v>1.5197187655921502</x:v>
      </x:c>
      <x:c r="O58" s="16" t="n">
        <x:v>0.02609686282670743</x:v>
      </x:c>
      <x:c r="P58" s="12" t="n">
        <x:v>89.79912175538246</x:v>
      </x:c>
      <x:c r="Q58" s="12" t="n">
        <x:f>G58+H58</x:f>
        <x:v>3.08</x:v>
      </x:c>
    </x:row>
    <x:row r="59">
      <x:c r="A59" s="12" t="str">
        <x:v>SRV-0058</x:v>
      </x:c>
      <x:c r="B59" s="14" t="n">
        <x:v>46113</x:v>
      </x:c>
      <x:c r="C59" s="12" t="str">
        <x:v>DLR-001</x:v>
      </x:c>
      <x:c r="D59" s="12" t="str">
        <x:v>Hà Thành Ford</x:v>
      </x:c>
      <x:c r="E59" s="12" t="str">
        <x:v>Ford</x:v>
      </x:c>
      <x:c r="F59" s="12" t="n">
        <x:v>664</x:v>
      </x:c>
      <x:c r="G59" s="12" t="n">
        <x:v>0.68</x:v>
      </x:c>
      <x:c r="H59" s="12" t="n">
        <x:v>1.52</x:v>
      </x:c>
      <x:c r="I59" s="12" t="n">
        <x:v>0.12</x:v>
      </x:c>
      <x:c r="J59" s="12" t="n">
        <x:v>9</x:v>
      </x:c>
      <x:c r="K59" s="12" t="n">
        <x:v>30</x:v>
      </x:c>
      <x:c r="L59" s="16" t="n">
        <x:v>0.7330402348632695</x:v>
      </x:c>
      <x:c r="M59" s="16" t="n">
        <x:v>1.014821951475965</x:v>
      </x:c>
      <x:c r="N59" s="12" t="n">
        <x:v>1.9891013621602778</x:v>
      </x:c>
      <x:c r="O59" s="16" t="n">
        <x:v>0.02022005162214458</x:v>
      </x:c>
      <x:c r="P59" s="12" t="n">
        <x:v>93.54497950384258</x:v>
      </x:c>
      <x:c r="Q59" s="12" t="n">
        <x:f>G59+H59</x:f>
        <x:v>2.2</x:v>
      </x:c>
    </x:row>
    <x:row r="60">
      <x:c r="A60" s="12" t="str">
        <x:v>SRV-0059</x:v>
      </x:c>
      <x:c r="B60" s="14" t="n">
        <x:v>46113</x:v>
      </x:c>
      <x:c r="C60" s="12" t="str">
        <x:v>DLR-002</x:v>
      </x:c>
      <x:c r="D60" s="12" t="str">
        <x:v>Hà Thành Ford - Mỹ Đình</x:v>
      </x:c>
      <x:c r="E60" s="12" t="str">
        <x:v>Ford</x:v>
      </x:c>
      <x:c r="F60" s="12" t="n">
        <x:v>442</x:v>
      </x:c>
      <x:c r="G60" s="12" t="n">
        <x:v>0.6</x:v>
      </x:c>
      <x:c r="H60" s="12" t="n">
        <x:v>0.96</x:v>
      </x:c>
      <x:c r="I60" s="12" t="n">
        <x:v>0.12</x:v>
      </x:c>
      <x:c r="J60" s="12" t="n">
        <x:v>20</x:v>
      </x:c>
      <x:c r="K60" s="12" t="n">
        <x:v>27</x:v>
      </x:c>
      <x:c r="L60" s="16" t="n">
        <x:v>0.8128397989565124</x:v>
      </x:c>
      <x:c r="M60" s="16" t="n">
        <x:v>1.1068601132003653</x:v>
      </x:c>
      <x:c r="N60" s="12" t="n">
        <x:v>2.7314826937973873</x:v>
      </x:c>
      <x:c r="O60" s="16" t="n">
        <x:v>0.026709274030784713</x:v>
      </x:c>
      <x:c r="P60" s="12" t="n">
        <x:v>88.42281893147799</x:v>
      </x:c>
      <x:c r="Q60" s="12" t="n">
        <x:f>G60+H60</x:f>
        <x:v>1.56</x:v>
      </x:c>
    </x:row>
    <x:row r="61">
      <x:c r="A61" s="12" t="str">
        <x:v>SRV-0060</x:v>
      </x:c>
      <x:c r="B61" s="14" t="n">
        <x:v>46113</x:v>
      </x:c>
      <x:c r="C61" s="12" t="str">
        <x:v>DLR-003</x:v>
      </x:c>
      <x:c r="D61" s="12" t="str">
        <x:v>Mỹ Đình Ford</x:v>
      </x:c>
      <x:c r="E61" s="12" t="str">
        <x:v>Ford</x:v>
      </x:c>
      <x:c r="F61" s="12" t="n">
        <x:v>436</x:v>
      </x:c>
      <x:c r="G61" s="12" t="n">
        <x:v>0.54</x:v>
      </x:c>
      <x:c r="H61" s="12" t="n">
        <x:v>1.37</x:v>
      </x:c>
      <x:c r="I61" s="12" t="n">
        <x:v>0.12</x:v>
      </x:c>
      <x:c r="J61" s="12" t="n">
        <x:v>9</x:v>
      </x:c>
      <x:c r="K61" s="12" t="n">
        <x:v>12</x:v>
      </x:c>
      <x:c r="L61" s="16" t="n">
        <x:v>0.8733541912238947</x:v>
      </x:c>
      <x:c r="M61" s="16" t="n">
        <x:v>0.8931114001825616</x:v>
      </x:c>
      <x:c r="N61" s="12" t="n">
        <x:v>3.111469914898535</x:v>
      </x:c>
      <x:c r="O61" s="16" t="n">
        <x:v>0.031232007939317737</x:v>
      </x:c>
      <x:c r="P61" s="12" t="n">
        <x:v>91.98757468514033</x:v>
      </x:c>
      <x:c r="Q61" s="12" t="n">
        <x:f>G61+H61</x:f>
        <x:v>1.9100000000000001</x:v>
      </x:c>
    </x:row>
    <x:row r="62">
      <x:c r="A62" s="12" t="str">
        <x:v>SRV-0061</x:v>
      </x:c>
      <x:c r="B62" s="14" t="n">
        <x:v>46113</x:v>
      </x:c>
      <x:c r="C62" s="12" t="str">
        <x:v>DLR-004</x:v>
      </x:c>
      <x:c r="D62" s="12" t="str">
        <x:v>Việt Trì Ford</x:v>
      </x:c>
      <x:c r="E62" s="12" t="str">
        <x:v>Ford</x:v>
      </x:c>
      <x:c r="F62" s="12" t="n">
        <x:v>314</x:v>
      </x:c>
      <x:c r="G62" s="12" t="n">
        <x:v>0.44</x:v>
      </x:c>
      <x:c r="H62" s="12" t="n">
        <x:v>0.94</x:v>
      </x:c>
      <x:c r="I62" s="12" t="n">
        <x:v>0.06</x:v>
      </x:c>
      <x:c r="J62" s="12" t="n">
        <x:v>14</x:v>
      </x:c>
      <x:c r="K62" s="12" t="n">
        <x:v>24</x:v>
      </x:c>
      <x:c r="L62" s="16" t="n">
        <x:v>0.7564862076691679</x:v>
      </x:c>
      <x:c r="M62" s="16" t="n">
        <x:v>0.8838733234557747</x:v>
      </x:c>
      <x:c r="N62" s="12" t="n">
        <x:v>2.701849473743377</x:v>
      </x:c>
      <x:c r="O62" s="16" t="n">
        <x:v>0.01304836770137274</x:v>
      </x:c>
      <x:c r="P62" s="12" t="n">
        <x:v>89.56415618669774</x:v>
      </x:c>
      <x:c r="Q62" s="12" t="n">
        <x:f>G62+H62</x:f>
        <x:v>1.38</x:v>
      </x:c>
    </x:row>
    <x:row r="63">
      <x:c r="A63" s="12" t="str">
        <x:v>SRV-0062</x:v>
      </x:c>
      <x:c r="B63" s="14" t="n">
        <x:v>46113</x:v>
      </x:c>
      <x:c r="C63" s="12" t="str">
        <x:v>DLR-005</x:v>
      </x:c>
      <x:c r="D63" s="12" t="str">
        <x:v>BYD HTA Tây Hồ</x:v>
      </x:c>
      <x:c r="E63" s="12" t="str">
        <x:v>BYD</x:v>
      </x:c>
      <x:c r="F63" s="12" t="n">
        <x:v>488</x:v>
      </x:c>
      <x:c r="G63" s="12" t="n">
        <x:v>0.59</x:v>
      </x:c>
      <x:c r="H63" s="12" t="n">
        <x:v>1.23</x:v>
      </x:c>
      <x:c r="I63" s="12" t="n">
        <x:v>0.12</x:v>
      </x:c>
      <x:c r="J63" s="12" t="n">
        <x:v>12</x:v>
      </x:c>
      <x:c r="K63" s="12" t="n">
        <x:v>22</x:v>
      </x:c>
      <x:c r="L63" s="16" t="n">
        <x:v>0.8318363749978221</x:v>
      </x:c>
      <x:c r="M63" s="16" t="n">
        <x:v>0.9118058133276719</x:v>
      </x:c>
      <x:c r="N63" s="12" t="n">
        <x:v>1.927238135232992</x:v>
      </x:c>
      <x:c r="O63" s="16" t="n">
        <x:v>0.027161611000540483</x:v>
      </x:c>
      <x:c r="P63" s="12" t="n">
        <x:v>89.39325128018457</x:v>
      </x:c>
      <x:c r="Q63" s="12" t="n">
        <x:f>G63+H63</x:f>
        <x:v>1.8199999999999998</x:v>
      </x:c>
    </x:row>
    <x:row r="64">
      <x:c r="A64" s="12" t="str">
        <x:v>SRV-0063</x:v>
      </x:c>
      <x:c r="B64" s="14" t="n">
        <x:v>46113</x:v>
      </x:c>
      <x:c r="C64" s="12" t="str">
        <x:v>DLR-007</x:v>
      </x:c>
      <x:c r="D64" s="12" t="str">
        <x:v>BYD Hà Đông</x:v>
      </x:c>
      <x:c r="E64" s="12" t="str">
        <x:v>BYD</x:v>
      </x:c>
      <x:c r="F64" s="12" t="n">
        <x:v>263</x:v>
      </x:c>
      <x:c r="G64" s="12" t="n">
        <x:v>0.3</x:v>
      </x:c>
      <x:c r="H64" s="12" t="n">
        <x:v>0.5</x:v>
      </x:c>
      <x:c r="I64" s="12" t="n">
        <x:v>0.09</x:v>
      </x:c>
      <x:c r="J64" s="12" t="n">
        <x:v>17</x:v>
      </x:c>
      <x:c r="K64" s="12" t="n">
        <x:v>43</x:v>
      </x:c>
      <x:c r="L64" s="16" t="n">
        <x:v>0.8853761274285318</x:v>
      </x:c>
      <x:c r="M64" s="16" t="n">
        <x:v>1.018057664699188</x:v>
      </x:c>
      <x:c r="N64" s="12" t="n">
        <x:v>1.360337750053921</x:v>
      </x:c>
      <x:c r="O64" s="16" t="n">
        <x:v>0.027107402157650836</x:v>
      </x:c>
      <x:c r="P64" s="12" t="n">
        <x:v>92.72855560466392</x:v>
      </x:c>
      <x:c r="Q64" s="12" t="n">
        <x:f>G64+H64</x:f>
        <x:v>0.8</x:v>
      </x:c>
    </x:row>
    <x:row r="65">
      <x:c r="A65" s="12" t="str">
        <x:v>SRV-0064</x:v>
      </x:c>
      <x:c r="B65" s="14" t="n">
        <x:v>46113</x:v>
      </x:c>
      <x:c r="C65" s="12" t="str">
        <x:v>DLR-008</x:v>
      </x:c>
      <x:c r="D65" s="12" t="str">
        <x:v>VinFast HTA Nguyễn Văn Linh</x:v>
      </x:c>
      <x:c r="E65" s="12" t="str">
        <x:v>VinFast</x:v>
      </x:c>
      <x:c r="F65" s="12" t="n">
        <x:v>704</x:v>
      </x:c>
      <x:c r="G65" s="12" t="n">
        <x:v>0.93</x:v>
      </x:c>
      <x:c r="H65" s="12" t="n">
        <x:v>2.21</x:v>
      </x:c>
      <x:c r="I65" s="12" t="n">
        <x:v>0.11</x:v>
      </x:c>
      <x:c r="J65" s="12" t="n">
        <x:v>20</x:v>
      </x:c>
      <x:c r="K65" s="12" t="n">
        <x:v>17</x:v>
      </x:c>
      <x:c r="L65" s="16" t="n">
        <x:v>0.7708447672241293</x:v>
      </x:c>
      <x:c r="M65" s="16" t="n">
        <x:v>1.138022825992162</x:v>
      </x:c>
      <x:c r="N65" s="12" t="n">
        <x:v>2.6593358481686096</x:v>
      </x:c>
      <x:c r="O65" s="16" t="n">
        <x:v>0.016938796488505166</x:v>
      </x:c>
      <x:c r="P65" s="12" t="n">
        <x:v>90.64216921453183</x:v>
      </x:c>
      <x:c r="Q65" s="12" t="n">
        <x:f>G65+H65</x:f>
        <x:v>3.14</x:v>
      </x:c>
    </x:row>
    <x:row r="66">
      <x:c r="A66" s="12" t="str">
        <x:v>SRV-0065</x:v>
      </x:c>
      <x:c r="B66" s="14" t="n">
        <x:v>46113</x:v>
      </x:c>
      <x:c r="C66" s="12" t="str">
        <x:v>DLR-009</x:v>
      </x:c>
      <x:c r="D66" s="12" t="str">
        <x:v>VinFast HTA Đông Anh</x:v>
      </x:c>
      <x:c r="E66" s="12" t="str">
        <x:v>VinFast</x:v>
      </x:c>
      <x:c r="F66" s="12" t="n">
        <x:v>781</x:v>
      </x:c>
      <x:c r="G66" s="12" t="n">
        <x:v>1.09</x:v>
      </x:c>
      <x:c r="H66" s="12" t="n">
        <x:v>2.04</x:v>
      </x:c>
      <x:c r="I66" s="12" t="n">
        <x:v>0.19</x:v>
      </x:c>
      <x:c r="J66" s="12" t="n">
        <x:v>8</x:v>
      </x:c>
      <x:c r="K66" s="12" t="n">
        <x:v>19</x:v>
      </x:c>
      <x:c r="L66" s="16" t="n">
        <x:v>0.8539240016785405</x:v>
      </x:c>
      <x:c r="M66" s="16" t="n">
        <x:v>0.9804402086624893</x:v>
      </x:c>
      <x:c r="N66" s="12" t="n">
        <x:v>3.189892208672923</x:v>
      </x:c>
      <x:c r="O66" s="16" t="n">
        <x:v>0.02456992962064145</x:v>
      </x:c>
      <x:c r="P66" s="12" t="n">
        <x:v>93.59018527861271</x:v>
      </x:c>
      <x:c r="Q66" s="12" t="n">
        <x:f>G66+H66</x:f>
        <x:v>3.13</x:v>
      </x:c>
    </x:row>
    <x:row r="67">
      <x:c r="A67" s="12" t="str">
        <x:v>SRV-0066</x:v>
      </x:c>
      <x:c r="B67" s="14" t="n">
        <x:v>46113</x:v>
      </x:c>
      <x:c r="C67" s="12" t="str">
        <x:v>DLR-010</x:v>
      </x:c>
      <x:c r="D67" s="12" t="str">
        <x:v>VinFast HTA Đàm Quang Trung</x:v>
      </x:c>
      <x:c r="E67" s="12" t="str">
        <x:v>VinFast</x:v>
      </x:c>
      <x:c r="F67" s="12" t="n">
        <x:v>544</x:v>
      </x:c>
      <x:c r="G67" s="12" t="n">
        <x:v>0.79</x:v>
      </x:c>
      <x:c r="H67" s="12" t="n">
        <x:v>1.28</x:v>
      </x:c>
      <x:c r="I67" s="12" t="n">
        <x:v>0.18</x:v>
      </x:c>
      <x:c r="J67" s="12" t="n">
        <x:v>11</x:v>
      </x:c>
      <x:c r="K67" s="12" t="n">
        <x:v>36</x:v>
      </x:c>
      <x:c r="L67" s="16" t="n">
        <x:v>0.7467135447298117</x:v>
      </x:c>
      <x:c r="M67" s="16" t="n">
        <x:v>1.0806312190131726</x:v>
      </x:c>
      <x:c r="N67" s="12" t="n">
        <x:v>1.2543526053796634</x:v>
      </x:c>
      <x:c r="O67" s="16" t="n">
        <x:v>0.02195543120948184</x:v>
      </x:c>
      <x:c r="P67" s="12" t="n">
        <x:v>94.93444890062975</x:v>
      </x:c>
      <x:c r="Q67" s="12" t="n">
        <x:f>G67+H67</x:f>
        <x:v>2.0700000000000003</x:v>
      </x:c>
    </x:row>
    <x:row r="68">
      <x:c r="A68" s="12" t="str">
        <x:v>SRV-0067</x:v>
      </x:c>
      <x:c r="B68" s="14" t="n">
        <x:v>46113</x:v>
      </x:c>
      <x:c r="C68" s="12" t="str">
        <x:v>DLR-011</x:v>
      </x:c>
      <x:c r="D68" s="12" t="str">
        <x:v>VinFast HTA Phạm Văn Đồng</x:v>
      </x:c>
      <x:c r="E68" s="12" t="str">
        <x:v>VinFast</x:v>
      </x:c>
      <x:c r="F68" s="12" t="n">
        <x:v>454</x:v>
      </x:c>
      <x:c r="G68" s="12" t="n">
        <x:v>0.59</x:v>
      </x:c>
      <x:c r="H68" s="12" t="n">
        <x:v>1.19</x:v>
      </x:c>
      <x:c r="I68" s="12" t="n">
        <x:v>0.09</x:v>
      </x:c>
      <x:c r="J68" s="12" t="n">
        <x:v>14</x:v>
      </x:c>
      <x:c r="K68" s="12" t="n">
        <x:v>32</x:v>
      </x:c>
      <x:c r="L68" s="16" t="n">
        <x:v>0.8136126220331328</x:v>
      </x:c>
      <x:c r="M68" s="16" t="n">
        <x:v>1.1613562550734304</x:v>
      </x:c>
      <x:c r="N68" s="12" t="n">
        <x:v>1.5682685802696887</x:v>
      </x:c>
      <x:c r="O68" s="16" t="n">
        <x:v>0.033819457574781775</x:v>
      </x:c>
      <x:c r="P68" s="12" t="n">
        <x:v>92.84177347867826</x:v>
      </x:c>
      <x:c r="Q68" s="12" t="n">
        <x:f>G68+H68</x:f>
        <x:v>1.7799999999999998</x:v>
      </x:c>
    </x:row>
    <x:row r="69">
      <x:c r="A69" s="12" t="str">
        <x:v>SRV-0068</x:v>
      </x:c>
      <x:c r="B69" s="14" t="n">
        <x:v>46113</x:v>
      </x:c>
      <x:c r="C69" s="12" t="str">
        <x:v>DLR-012</x:v>
      </x:c>
      <x:c r="D69" s="12" t="str">
        <x:v>VinFast HTA Võ Chí Công</x:v>
      </x:c>
      <x:c r="E69" s="12" t="str">
        <x:v>VinFast</x:v>
      </x:c>
      <x:c r="F69" s="12" t="n">
        <x:v>308</x:v>
      </x:c>
      <x:c r="G69" s="12" t="n">
        <x:v>0.29</x:v>
      </x:c>
      <x:c r="H69" s="12" t="n">
        <x:v>0.91</x:v>
      </x:c>
      <x:c r="I69" s="12" t="n">
        <x:v>0.09</x:v>
      </x:c>
      <x:c r="J69" s="12" t="n">
        <x:v>21</x:v>
      </x:c>
      <x:c r="K69" s="12" t="n">
        <x:v>18</x:v>
      </x:c>
      <x:c r="L69" s="16" t="n">
        <x:v>0.733450687675298</x:v>
      </x:c>
      <x:c r="M69" s="16" t="n">
        <x:v>1.1183495215549129</x:v>
      </x:c>
      <x:c r="N69" s="12" t="n">
        <x:v>3.1330019097603308</x:v>
      </x:c>
      <x:c r="O69" s="16" t="n">
        <x:v>0.028017125941295788</x:v>
      </x:c>
      <x:c r="P69" s="12" t="n">
        <x:v>91.91713986410983</x:v>
      </x:c>
      <x:c r="Q69" s="12" t="n">
        <x:f>G69+H69</x:f>
        <x:v>1.2</x:v>
      </x:c>
    </x:row>
    <x:row r="70">
      <x:c r="A70" s="12" t="str">
        <x:v>SRV-0069</x:v>
      </x:c>
      <x:c r="B70" s="14" t="n">
        <x:v>46113</x:v>
      </x:c>
      <x:c r="C70" s="12" t="str">
        <x:v>DLR-013</x:v>
      </x:c>
      <x:c r="D70" s="12" t="str">
        <x:v>VinFast HTA Ninh Bình</x:v>
      </x:c>
      <x:c r="E70" s="12" t="str">
        <x:v>VinFast</x:v>
      </x:c>
      <x:c r="F70" s="12" t="n">
        <x:v>578</x:v>
      </x:c>
      <x:c r="G70" s="12" t="n">
        <x:v>0.55</x:v>
      </x:c>
      <x:c r="H70" s="12" t="n">
        <x:v>1.71</x:v>
      </x:c>
      <x:c r="I70" s="12" t="n">
        <x:v>0.07</x:v>
      </x:c>
      <x:c r="J70" s="12" t="n">
        <x:v>18</x:v>
      </x:c>
      <x:c r="K70" s="12" t="n">
        <x:v>14</x:v>
      </x:c>
      <x:c r="L70" s="16" t="n">
        <x:v>0.7027554334628917</x:v>
      </x:c>
      <x:c r="M70" s="16" t="n">
        <x:v>0.8395365055209187</x:v>
      </x:c>
      <x:c r="N70" s="12" t="n">
        <x:v>2.9472725313469588</x:v>
      </x:c>
      <x:c r="O70" s="16" t="n">
        <x:v>0.023068273543580892</x:v>
      </x:c>
      <x:c r="P70" s="12" t="n">
        <x:v>93.17466064836512</x:v>
      </x:c>
      <x:c r="Q70" s="12" t="n">
        <x:f>G70+H70</x:f>
        <x:v>2.26</x:v>
      </x:c>
    </x:row>
    <x:row r="71">
      <x:c r="A71" s="12" t="str">
        <x:v>SRV-0070</x:v>
      </x:c>
      <x:c r="B71" s="14" t="n">
        <x:v>46113</x:v>
      </x:c>
      <x:c r="C71" s="12" t="str">
        <x:v>DLR-014</x:v>
      </x:c>
      <x:c r="D71" s="12" t="str">
        <x:v>VinFast HTA Nam Từ Liêm</x:v>
      </x:c>
      <x:c r="E71" s="12" t="str">
        <x:v>VinFast</x:v>
      </x:c>
      <x:c r="F71" s="12" t="n">
        <x:v>263</x:v>
      </x:c>
      <x:c r="G71" s="12" t="n">
        <x:v>0.29</x:v>
      </x:c>
      <x:c r="H71" s="12" t="n">
        <x:v>0.65</x:v>
      </x:c>
      <x:c r="I71" s="12" t="n">
        <x:v>0.07</x:v>
      </x:c>
      <x:c r="J71" s="12" t="n">
        <x:v>21</x:v>
      </x:c>
      <x:c r="K71" s="12" t="n">
        <x:v>32</x:v>
      </x:c>
      <x:c r="L71" s="16" t="n">
        <x:v>0.6843916517590768</x:v>
      </x:c>
      <x:c r="M71" s="16" t="n">
        <x:v>1.0623875436379766</x:v>
      </x:c>
      <x:c r="N71" s="12" t="n">
        <x:v>2.3766356141342047</x:v>
      </x:c>
      <x:c r="O71" s="16" t="n">
        <x:v>0.025318414155004274</x:v>
      </x:c>
      <x:c r="P71" s="12" t="n">
        <x:v>93.56514423019541</x:v>
      </x:c>
      <x:c r="Q71" s="12" t="n">
        <x:f>G71+H71</x:f>
        <x:v>0.94</x:v>
      </x:c>
    </x:row>
    <x:row r="72">
      <x:c r="A72" s="12" t="str">
        <x:v>SRV-0071</x:v>
      </x:c>
      <x:c r="B72" s="14" t="n">
        <x:v>46113</x:v>
      </x:c>
      <x:c r="C72" s="12" t="str">
        <x:v>DLR-015</x:v>
      </x:c>
      <x:c r="D72" s="12" t="str">
        <x:v>VinFast HTA Văn Phú</x:v>
      </x:c>
      <x:c r="E72" s="12" t="str">
        <x:v>VinFast</x:v>
      </x:c>
      <x:c r="F72" s="12" t="n">
        <x:v>739</x:v>
      </x:c>
      <x:c r="G72" s="12" t="n">
        <x:v>1.01</x:v>
      </x:c>
      <x:c r="H72" s="12" t="n">
        <x:v>2.21</x:v>
      </x:c>
      <x:c r="I72" s="12" t="n">
        <x:v>0.1</x:v>
      </x:c>
      <x:c r="J72" s="12" t="n">
        <x:v>24</x:v>
      </x:c>
      <x:c r="K72" s="12" t="n">
        <x:v>18</x:v>
      </x:c>
      <x:c r="L72" s="16" t="n">
        <x:v>0.7553575156971208</x:v>
      </x:c>
      <x:c r="M72" s="16" t="n">
        <x:v>1.0669163172579277</x:v>
      </x:c>
      <x:c r="N72" s="12" t="n">
        <x:v>2.5344448506110275</x:v>
      </x:c>
      <x:c r="O72" s="16" t="n">
        <x:v>0.015600970995891125</x:v>
      </x:c>
      <x:c r="P72" s="12" t="n">
        <x:v>96.34021791770373</x:v>
      </x:c>
      <x:c r="Q72" s="12" t="n">
        <x:f>G72+H72</x:f>
        <x:v>3.2199999999999998</x:v>
      </x:c>
    </x:row>
    <x:row r="73">
      <x:c r="A73" s="12" t="str">
        <x:v>SRV-0072</x:v>
      </x:c>
      <x:c r="B73" s="14" t="n">
        <x:v>46113</x:v>
      </x:c>
      <x:c r="C73" s="12" t="str">
        <x:v>DLR-016</x:v>
      </x:c>
      <x:c r="D73" s="12" t="str">
        <x:v>VinFast HTA Mỹ Đình</x:v>
      </x:c>
      <x:c r="E73" s="12" t="str">
        <x:v>VinFast</x:v>
      </x:c>
      <x:c r="F73" s="12" t="n">
        <x:v>352</x:v>
      </x:c>
      <x:c r="G73" s="12" t="n">
        <x:v>0.55</x:v>
      </x:c>
      <x:c r="H73" s="12" t="n">
        <x:v>0.65</x:v>
      </x:c>
      <x:c r="I73" s="12" t="n">
        <x:v>0.05</x:v>
      </x:c>
      <x:c r="J73" s="12" t="n">
        <x:v>15</x:v>
      </x:c>
      <x:c r="K73" s="12" t="n">
        <x:v>20</x:v>
      </x:c>
      <x:c r="L73" s="16" t="n">
        <x:v>0.8741560170177971</x:v>
      </x:c>
      <x:c r="M73" s="16" t="n">
        <x:v>1.1068373573354964</x:v>
      </x:c>
      <x:c r="N73" s="12" t="n">
        <x:v>3.0688283637210265</x:v>
      </x:c>
      <x:c r="O73" s="16" t="n">
        <x:v>0.015964418671456166</x:v>
      </x:c>
      <x:c r="P73" s="12" t="n">
        <x:v>93.70641102117807</x:v>
      </x:c>
      <x:c r="Q73" s="12" t="n">
        <x:f>G73+H73</x:f>
        <x:v>1.2000000000000002</x:v>
      </x:c>
    </x:row>
    <x:row r="74">
      <x:c r="A74" s="12" t="str">
        <x:v>SRV-0073</x:v>
      </x:c>
      <x:c r="B74" s="14" t="n">
        <x:v>46113</x:v>
      </x:c>
      <x:c r="C74" s="12" t="str">
        <x:v>DLR-017</x:v>
      </x:c>
      <x:c r="D74" s="12" t="str">
        <x:v>VinFast Quốc Oai</x:v>
      </x:c>
      <x:c r="E74" s="12" t="str">
        <x:v>VinFast</x:v>
      </x:c>
      <x:c r="F74" s="12" t="n">
        <x:v>409</x:v>
      </x:c>
      <x:c r="G74" s="12" t="n">
        <x:v>0.66</x:v>
      </x:c>
      <x:c r="H74" s="12" t="n">
        <x:v>1.41</x:v>
      </x:c>
      <x:c r="I74" s="12" t="n">
        <x:v>0.13</x:v>
      </x:c>
      <x:c r="J74" s="12" t="n">
        <x:v>19</x:v>
      </x:c>
      <x:c r="K74" s="12" t="n">
        <x:v>12</x:v>
      </x:c>
      <x:c r="L74" s="16" t="n">
        <x:v>0.8239162888187125</x:v>
      </x:c>
      <x:c r="M74" s="16" t="n">
        <x:v>1.0198251084304943</x:v>
      </x:c>
      <x:c r="N74" s="12" t="n">
        <x:v>1.4711173496536978</x:v>
      </x:c>
      <x:c r="O74" s="16" t="n">
        <x:v>0.008135805654998138</x:v>
      </x:c>
      <x:c r="P74" s="12" t="n">
        <x:v>93.36989398707998</x:v>
      </x:c>
      <x:c r="Q74" s="12" t="n">
        <x:f>G74+H74</x:f>
        <x:v>2.07</x:v>
      </x:c>
    </x:row>
    <x:row r="75">
      <x:c r="A75" s="12" t="str">
        <x:v>SRV-0074</x:v>
      </x:c>
      <x:c r="B75" s="14" t="n">
        <x:v>46113</x:v>
      </x:c>
      <x:c r="C75" s="12" t="str">
        <x:v>DLR-018</x:v>
      </x:c>
      <x:c r="D75" s="12" t="str">
        <x:v>OMODA &amp; JAECOO HTA Nam Từ Liêm</x:v>
      </x:c>
      <x:c r="E75" s="12" t="str">
        <x:v>OMODA &amp; JAECOO</x:v>
      </x:c>
      <x:c r="F75" s="12" t="n">
        <x:v>521</x:v>
      </x:c>
      <x:c r="G75" s="12" t="n">
        <x:v>0.86</x:v>
      </x:c>
      <x:c r="H75" s="12" t="n">
        <x:v>1.21</x:v>
      </x:c>
      <x:c r="I75" s="12" t="n">
        <x:v>0.15</x:v>
      </x:c>
      <x:c r="J75" s="12" t="n">
        <x:v>19</x:v>
      </x:c>
      <x:c r="K75" s="12" t="n">
        <x:v>25</x:v>
      </x:c>
      <x:c r="L75" s="16" t="n">
        <x:v>0.7872901689668245</x:v>
      </x:c>
      <x:c r="M75" s="16" t="n">
        <x:v>1.0525353412816314</x:v>
      </x:c>
      <x:c r="N75" s="12" t="n">
        <x:v>2.3276159280046915</x:v>
      </x:c>
      <x:c r="O75" s="16" t="n">
        <x:v>0.012345767654238667</x:v>
      </x:c>
      <x:c r="P75" s="12" t="n">
        <x:v>89.98709172421667</x:v>
      </x:c>
      <x:c r="Q75" s="12" t="n">
        <x:f>G75+H75</x:f>
        <x:v>2.07</x:v>
      </x:c>
    </x:row>
    <x:row r="76">
      <x:c r="A76" s="12" t="str">
        <x:v>SRV-0075</x:v>
      </x:c>
      <x:c r="B76" s="14" t="n">
        <x:v>46113</x:v>
      </x:c>
      <x:c r="C76" s="12" t="str">
        <x:v>DLR-019</x:v>
      </x:c>
      <x:c r="D76" s="12" t="str">
        <x:v>OMODA &amp; JAECOO HTA Việt Trì</x:v>
      </x:c>
      <x:c r="E76" s="12" t="str">
        <x:v>OMODA &amp; JAECOO</x:v>
      </x:c>
      <x:c r="F76" s="12" t="n">
        <x:v>772</x:v>
      </x:c>
      <x:c r="G76" s="12" t="n">
        <x:v>0.81</x:v>
      </x:c>
      <x:c r="H76" s="12" t="n">
        <x:v>1.63</x:v>
      </x:c>
      <x:c r="I76" s="12" t="n">
        <x:v>0.23</x:v>
      </x:c>
      <x:c r="J76" s="12" t="n">
        <x:v>9</x:v>
      </x:c>
      <x:c r="K76" s="12" t="n">
        <x:v>41</x:v>
      </x:c>
      <x:c r="L76" s="16" t="n">
        <x:v>0.8476153736033498</x:v>
      </x:c>
      <x:c r="M76" s="16" t="n">
        <x:v>0.846332045977078</x:v>
      </x:c>
      <x:c r="N76" s="12" t="n">
        <x:v>2.677707548053548</x:v>
      </x:c>
      <x:c r="O76" s="16" t="n">
        <x:v>0.014768565600003784</x:v>
      </x:c>
      <x:c r="P76" s="12" t="n">
        <x:v>89.77675833203125</x:v>
      </x:c>
      <x:c r="Q76" s="12" t="n">
        <x:f>G76+H76</x:f>
        <x:v>2.44</x:v>
      </x:c>
    </x:row>
    <x:row r="77">
      <x:c r="A77" s="12" t="str">
        <x:v>SRV-0076</x:v>
      </x:c>
      <x:c r="B77" s="14" t="n">
        <x:v>46113</x:v>
      </x:c>
      <x:c r="C77" s="12" t="str">
        <x:v>DLR-020</x:v>
      </x:c>
      <x:c r="D77" s="12" t="str">
        <x:v>Wuling HTA Long Biên</x:v>
      </x:c>
      <x:c r="E77" s="12" t="str">
        <x:v>Wuling</x:v>
      </x:c>
      <x:c r="F77" s="12" t="n">
        <x:v>660</x:v>
      </x:c>
      <x:c r="G77" s="12" t="n">
        <x:v>1.1</x:v>
      </x:c>
      <x:c r="H77" s="12" t="n">
        <x:v>1.59</x:v>
      </x:c>
      <x:c r="I77" s="12" t="n">
        <x:v>0.18</x:v>
      </x:c>
      <x:c r="J77" s="12" t="n">
        <x:v>15</x:v>
      </x:c>
      <x:c r="K77" s="12" t="n">
        <x:v>18</x:v>
      </x:c>
      <x:c r="L77" s="16" t="n">
        <x:v>0.7541356574078955</x:v>
      </x:c>
      <x:c r="M77" s="16" t="n">
        <x:v>0.8451311984959444</x:v>
      </x:c>
      <x:c r="N77" s="12" t="n">
        <x:v>1.6256968520516832</x:v>
      </x:c>
      <x:c r="O77" s="16" t="n">
        <x:v>0.02111825321739496</x:v>
      </x:c>
      <x:c r="P77" s="12" t="n">
        <x:v>90.95511470397622</x:v>
      </x:c>
      <x:c r="Q77" s="12" t="n">
        <x:f>G77+H77</x:f>
        <x:v>2.6900000000000004</x:v>
      </x:c>
    </x:row>
    <x:row r="78">
      <x:c r="A78" s="12" t="str">
        <x:v>SRV-0077</x:v>
      </x:c>
      <x:c r="B78" s="14" t="n">
        <x:v>46143</x:v>
      </x:c>
      <x:c r="C78" s="12" t="str">
        <x:v>DLR-001</x:v>
      </x:c>
      <x:c r="D78" s="12" t="str">
        <x:v>Hà Thành Ford</x:v>
      </x:c>
      <x:c r="E78" s="12" t="str">
        <x:v>Ford</x:v>
      </x:c>
      <x:c r="F78" s="12" t="n">
        <x:v>618</x:v>
      </x:c>
      <x:c r="G78" s="12" t="n">
        <x:v>0.9</x:v>
      </x:c>
      <x:c r="H78" s="12" t="n">
        <x:v>1.27</x:v>
      </x:c>
      <x:c r="I78" s="12" t="n">
        <x:v>0.15</x:v>
      </x:c>
      <x:c r="J78" s="12" t="n">
        <x:v>18</x:v>
      </x:c>
      <x:c r="K78" s="12" t="n">
        <x:v>39</x:v>
      </x:c>
      <x:c r="L78" s="16" t="n">
        <x:v>0.7238462728355549</x:v>
      </x:c>
      <x:c r="M78" s="16" t="n">
        <x:v>0.9327573210643458</x:v>
      </x:c>
      <x:c r="N78" s="12" t="n">
        <x:v>2.9284522465419514</x:v>
      </x:c>
      <x:c r="O78" s="16" t="n">
        <x:v>0.027229376435093863</x:v>
      </x:c>
      <x:c r="P78" s="12" t="n">
        <x:v>93.7675468990588</x:v>
      </x:c>
      <x:c r="Q78" s="12" t="n">
        <x:f>G78+H78</x:f>
        <x:v>2.17</x:v>
      </x:c>
    </x:row>
    <x:row r="79">
      <x:c r="A79" s="12" t="str">
        <x:v>SRV-0078</x:v>
      </x:c>
      <x:c r="B79" s="14" t="n">
        <x:v>46143</x:v>
      </x:c>
      <x:c r="C79" s="12" t="str">
        <x:v>DLR-002</x:v>
      </x:c>
      <x:c r="D79" s="12" t="str">
        <x:v>Hà Thành Ford - Mỹ Đình</x:v>
      </x:c>
      <x:c r="E79" s="12" t="str">
        <x:v>Ford</x:v>
      </x:c>
      <x:c r="F79" s="12" t="n">
        <x:v>300</x:v>
      </x:c>
      <x:c r="G79" s="12" t="n">
        <x:v>0.36</x:v>
      </x:c>
      <x:c r="H79" s="12" t="n">
        <x:v>0.89</x:v>
      </x:c>
      <x:c r="I79" s="12" t="n">
        <x:v>0.06</x:v>
      </x:c>
      <x:c r="J79" s="12" t="n">
        <x:v>23</x:v>
      </x:c>
      <x:c r="K79" s="12" t="n">
        <x:v>41</x:v>
      </x:c>
      <x:c r="L79" s="16" t="n">
        <x:v>0.7957930731272163</x:v>
      </x:c>
      <x:c r="M79" s="16" t="n">
        <x:v>1.0989161061493296</x:v>
      </x:c>
      <x:c r="N79" s="12" t="n">
        <x:v>2.271337041360721</x:v>
      </x:c>
      <x:c r="O79" s="16" t="n">
        <x:v>0.010938481179965988</x:v>
      </x:c>
      <x:c r="P79" s="12" t="n">
        <x:v>93.80996443673706</x:v>
      </x:c>
      <x:c r="Q79" s="12" t="n">
        <x:f>G79+H79</x:f>
        <x:v>1.25</x:v>
      </x:c>
    </x:row>
    <x:row r="80">
      <x:c r="A80" s="12" t="str">
        <x:v>SRV-0079</x:v>
      </x:c>
      <x:c r="B80" s="14" t="n">
        <x:v>46143</x:v>
      </x:c>
      <x:c r="C80" s="12" t="str">
        <x:v>DLR-003</x:v>
      </x:c>
      <x:c r="D80" s="12" t="str">
        <x:v>Mỹ Đình Ford</x:v>
      </x:c>
      <x:c r="E80" s="12" t="str">
        <x:v>Ford</x:v>
      </x:c>
      <x:c r="F80" s="12" t="n">
        <x:v>298</x:v>
      </x:c>
      <x:c r="G80" s="12" t="n">
        <x:v>0.34</x:v>
      </x:c>
      <x:c r="H80" s="12" t="n">
        <x:v>0.96</x:v>
      </x:c>
      <x:c r="I80" s="12" t="n">
        <x:v>0.1</x:v>
      </x:c>
      <x:c r="J80" s="12" t="n">
        <x:v>14</x:v>
      </x:c>
      <x:c r="K80" s="12" t="n">
        <x:v>28</x:v>
      </x:c>
      <x:c r="L80" s="16" t="n">
        <x:v>0.8707216004315563</x:v>
      </x:c>
      <x:c r="M80" s="16" t="n">
        <x:v>1.045582798626471</x:v>
      </x:c>
      <x:c r="N80" s="12" t="n">
        <x:v>2.8003358078441014</x:v>
      </x:c>
      <x:c r="O80" s="16" t="n">
        <x:v>0.032086839985124904</x:v>
      </x:c>
      <x:c r="P80" s="12" t="n">
        <x:v>95.64628545615528</x:v>
      </x:c>
      <x:c r="Q80" s="12" t="n">
        <x:f>G80+H80</x:f>
        <x:v>1.3</x:v>
      </x:c>
    </x:row>
    <x:row r="81">
      <x:c r="A81" s="12" t="str">
        <x:v>SRV-0080</x:v>
      </x:c>
      <x:c r="B81" s="14" t="n">
        <x:v>46143</x:v>
      </x:c>
      <x:c r="C81" s="12" t="str">
        <x:v>DLR-004</x:v>
      </x:c>
      <x:c r="D81" s="12" t="str">
        <x:v>Việt Trì Ford</x:v>
      </x:c>
      <x:c r="E81" s="12" t="str">
        <x:v>Ford</x:v>
      </x:c>
      <x:c r="F81" s="12" t="n">
        <x:v>475</x:v>
      </x:c>
      <x:c r="G81" s="12" t="n">
        <x:v>0.74</x:v>
      </x:c>
      <x:c r="H81" s="12" t="n">
        <x:v>1.32</x:v>
      </x:c>
      <x:c r="I81" s="12" t="n">
        <x:v>0.14</x:v>
      </x:c>
      <x:c r="J81" s="12" t="n">
        <x:v>14</x:v>
      </x:c>
      <x:c r="K81" s="12" t="n">
        <x:v>14</x:v>
      </x:c>
      <x:c r="L81" s="16" t="n">
        <x:v>0.8234144396168012</x:v>
      </x:c>
      <x:c r="M81" s="16" t="n">
        <x:v>1.0156489566105227</x:v>
      </x:c>
      <x:c r="N81" s="12" t="n">
        <x:v>3.397201985026074</x:v>
      </x:c>
      <x:c r="O81" s="16" t="n">
        <x:v>0.020746806671138998</x:v>
      </x:c>
      <x:c r="P81" s="12" t="n">
        <x:v>94.97677514953685</x:v>
      </x:c>
      <x:c r="Q81" s="12" t="n">
        <x:f>G81+H81</x:f>
        <x:v>2.06</x:v>
      </x:c>
    </x:row>
    <x:row r="82">
      <x:c r="A82" s="12" t="str">
        <x:v>SRV-0081</x:v>
      </x:c>
      <x:c r="B82" s="14" t="n">
        <x:v>46143</x:v>
      </x:c>
      <x:c r="C82" s="12" t="str">
        <x:v>DLR-005</x:v>
      </x:c>
      <x:c r="D82" s="12" t="str">
        <x:v>BYD HTA Tây Hồ</x:v>
      </x:c>
      <x:c r="E82" s="12" t="str">
        <x:v>BYD</x:v>
      </x:c>
      <x:c r="F82" s="12" t="n">
        <x:v>421</x:v>
      </x:c>
      <x:c r="G82" s="12" t="n">
        <x:v>0.45</x:v>
      </x:c>
      <x:c r="H82" s="12" t="n">
        <x:v>1.31</x:v>
      </x:c>
      <x:c r="I82" s="12" t="n">
        <x:v>0.12</x:v>
      </x:c>
      <x:c r="J82" s="12" t="n">
        <x:v>17</x:v>
      </x:c>
      <x:c r="K82" s="12" t="n">
        <x:v>20</x:v>
      </x:c>
      <x:c r="L82" s="16" t="n">
        <x:v>0.8008222969643177</x:v>
      </x:c>
      <x:c r="M82" s="16" t="n">
        <x:v>1.0037483176037627</x:v>
      </x:c>
      <x:c r="N82" s="12" t="n">
        <x:v>2.0729273468293563</x:v>
      </x:c>
      <x:c r="O82" s="16" t="n">
        <x:v>0.021558516280993638</x:v>
      </x:c>
      <x:c r="P82" s="12" t="n">
        <x:v>93.96410640440827</x:v>
      </x:c>
      <x:c r="Q82" s="12" t="n">
        <x:f>G82+H82</x:f>
        <x:v>1.76</x:v>
      </x:c>
    </x:row>
    <x:row r="83">
      <x:c r="A83" s="12" t="str">
        <x:v>SRV-0082</x:v>
      </x:c>
      <x:c r="B83" s="14" t="n">
        <x:v>46143</x:v>
      </x:c>
      <x:c r="C83" s="12" t="str">
        <x:v>DLR-007</x:v>
      </x:c>
      <x:c r="D83" s="12" t="str">
        <x:v>BYD Hà Đông</x:v>
      </x:c>
      <x:c r="E83" s="12" t="str">
        <x:v>BYD</x:v>
      </x:c>
      <x:c r="F83" s="12" t="n">
        <x:v>517</x:v>
      </x:c>
      <x:c r="G83" s="12" t="n">
        <x:v>0.8</x:v>
      </x:c>
      <x:c r="H83" s="12" t="n">
        <x:v>1.47</x:v>
      </x:c>
      <x:c r="I83" s="12" t="n">
        <x:v>0.08</x:v>
      </x:c>
      <x:c r="J83" s="12" t="n">
        <x:v>24</x:v>
      </x:c>
      <x:c r="K83" s="12" t="n">
        <x:v>20</x:v>
      </x:c>
      <x:c r="L83" s="16" t="n">
        <x:v>0.7960173153981405</x:v>
      </x:c>
      <x:c r="M83" s="16" t="n">
        <x:v>0.8844922662071034</x:v>
      </x:c>
      <x:c r="N83" s="12" t="n">
        <x:v>3.287166029548552</x:v>
      </x:c>
      <x:c r="O83" s="16" t="n">
        <x:v>0.025804159287730374</x:v>
      </x:c>
      <x:c r="P83" s="12" t="n">
        <x:v>96.70962003853762</x:v>
      </x:c>
      <x:c r="Q83" s="12" t="n">
        <x:f>G83+H83</x:f>
        <x:v>2.27</x:v>
      </x:c>
    </x:row>
    <x:row r="84">
      <x:c r="A84" s="12" t="str">
        <x:v>SRV-0083</x:v>
      </x:c>
      <x:c r="B84" s="14" t="n">
        <x:v>46143</x:v>
      </x:c>
      <x:c r="C84" s="12" t="str">
        <x:v>DLR-008</x:v>
      </x:c>
      <x:c r="D84" s="12" t="str">
        <x:v>VinFast HTA Nguyễn Văn Linh</x:v>
      </x:c>
      <x:c r="E84" s="12" t="str">
        <x:v>VinFast</x:v>
      </x:c>
      <x:c r="F84" s="12" t="n">
        <x:v>602</x:v>
      </x:c>
      <x:c r="G84" s="12" t="n">
        <x:v>0.77</x:v>
      </x:c>
      <x:c r="H84" s="12" t="n">
        <x:v>1.45</x:v>
      </x:c>
      <x:c r="I84" s="12" t="n">
        <x:v>0.1</x:v>
      </x:c>
      <x:c r="J84" s="12" t="n">
        <x:v>23</x:v>
      </x:c>
      <x:c r="K84" s="12" t="n">
        <x:v>26</x:v>
      </x:c>
      <x:c r="L84" s="16" t="n">
        <x:v>0.6963439019675021</x:v>
      </x:c>
      <x:c r="M84" s="16" t="n">
        <x:v>0.9529966667610907</x:v>
      </x:c>
      <x:c r="N84" s="12" t="n">
        <x:v>1.294178569845023</x:v>
      </x:c>
      <x:c r="O84" s="16" t="n">
        <x:v>0.013582900017372527</x:v>
      </x:c>
      <x:c r="P84" s="12" t="n">
        <x:v>96.16953483315665</x:v>
      </x:c>
      <x:c r="Q84" s="12" t="n">
        <x:f>G84+H84</x:f>
        <x:v>2.2199999999999998</x:v>
      </x:c>
    </x:row>
    <x:row r="85">
      <x:c r="A85" s="12" t="str">
        <x:v>SRV-0084</x:v>
      </x:c>
      <x:c r="B85" s="14" t="n">
        <x:v>46143</x:v>
      </x:c>
      <x:c r="C85" s="12" t="str">
        <x:v>DLR-009</x:v>
      </x:c>
      <x:c r="D85" s="12" t="str">
        <x:v>VinFast HTA Đông Anh</x:v>
      </x:c>
      <x:c r="E85" s="12" t="str">
        <x:v>VinFast</x:v>
      </x:c>
      <x:c r="F85" s="12" t="n">
        <x:v>478</x:v>
      </x:c>
      <x:c r="G85" s="12" t="n">
        <x:v>0.61</x:v>
      </x:c>
      <x:c r="H85" s="12" t="n">
        <x:v>1.23</x:v>
      </x:c>
      <x:c r="I85" s="12" t="n">
        <x:v>0.06</x:v>
      </x:c>
      <x:c r="J85" s="12" t="n">
        <x:v>18</x:v>
      </x:c>
      <x:c r="K85" s="12" t="n">
        <x:v>18</x:v>
      </x:c>
      <x:c r="L85" s="16" t="n">
        <x:v>0.8629714257403818</x:v>
      </x:c>
      <x:c r="M85" s="16" t="n">
        <x:v>1.0076942454880782</x:v>
      </x:c>
      <x:c r="N85" s="12" t="n">
        <x:v>3.0252237424380306</x:v>
      </x:c>
      <x:c r="O85" s="16" t="n">
        <x:v>0.030541551187869626</x:v>
      </x:c>
      <x:c r="P85" s="12" t="n">
        <x:v>90.36984462445739</x:v>
      </x:c>
      <x:c r="Q85" s="12" t="n">
        <x:f>G85+H85</x:f>
        <x:v>1.8399999999999999</x:v>
      </x:c>
    </x:row>
    <x:row r="86">
      <x:c r="A86" s="12" t="str">
        <x:v>SRV-0085</x:v>
      </x:c>
      <x:c r="B86" s="14" t="n">
        <x:v>46143</x:v>
      </x:c>
      <x:c r="C86" s="12" t="str">
        <x:v>DLR-010</x:v>
      </x:c>
      <x:c r="D86" s="12" t="str">
        <x:v>VinFast HTA Đàm Quang Trung</x:v>
      </x:c>
      <x:c r="E86" s="12" t="str">
        <x:v>VinFast</x:v>
      </x:c>
      <x:c r="F86" s="12" t="n">
        <x:v>396</x:v>
      </x:c>
      <x:c r="G86" s="12" t="n">
        <x:v>0.41</x:v>
      </x:c>
      <x:c r="H86" s="12" t="n">
        <x:v>1.15</x:v>
      </x:c>
      <x:c r="I86" s="12" t="n">
        <x:v>0.08</x:v>
      </x:c>
      <x:c r="J86" s="12" t="n">
        <x:v>10</x:v>
      </x:c>
      <x:c r="K86" s="12" t="n">
        <x:v>45</x:v>
      </x:c>
      <x:c r="L86" s="16" t="n">
        <x:v>0.7454124666589907</x:v>
      </x:c>
      <x:c r="M86" s="16" t="n">
        <x:v>1.1701626790062134</x:v>
      </x:c>
      <x:c r="N86" s="12" t="n">
        <x:v>1.690378359973564</x:v>
      </x:c>
      <x:c r="O86" s="16" t="n">
        <x:v>0.01895773946887438</x:v>
      </x:c>
      <x:c r="P86" s="12" t="n">
        <x:v>95.35513088710215</x:v>
      </x:c>
      <x:c r="Q86" s="12" t="n">
        <x:f>G86+H86</x:f>
        <x:v>1.5599999999999998</x:v>
      </x:c>
    </x:row>
    <x:row r="87">
      <x:c r="A87" s="12" t="str">
        <x:v>SRV-0086</x:v>
      </x:c>
      <x:c r="B87" s="14" t="n">
        <x:v>46143</x:v>
      </x:c>
      <x:c r="C87" s="12" t="str">
        <x:v>DLR-011</x:v>
      </x:c>
      <x:c r="D87" s="12" t="str">
        <x:v>VinFast HTA Phạm Văn Đồng</x:v>
      </x:c>
      <x:c r="E87" s="12" t="str">
        <x:v>VinFast</x:v>
      </x:c>
      <x:c r="F87" s="12" t="n">
        <x:v>383</x:v>
      </x:c>
      <x:c r="G87" s="12" t="n">
        <x:v>0.59</x:v>
      </x:c>
      <x:c r="H87" s="12" t="n">
        <x:v>1.27</x:v>
      </x:c>
      <x:c r="I87" s="12" t="n">
        <x:v>0.05</x:v>
      </x:c>
      <x:c r="J87" s="12" t="n">
        <x:v>12</x:v>
      </x:c>
      <x:c r="K87" s="12" t="n">
        <x:v>40</x:v>
      </x:c>
      <x:c r="L87" s="16" t="n">
        <x:v>0.7230575138315379</x:v>
      </x:c>
      <x:c r="M87" s="16" t="n">
        <x:v>0.8477517612668488</x:v>
      </x:c>
      <x:c r="N87" s="12" t="n">
        <x:v>2.6156494052542816</x:v>
      </x:c>
      <x:c r="O87" s="16" t="n">
        <x:v>0.013710961811665378</x:v>
      </x:c>
      <x:c r="P87" s="12" t="n">
        <x:v>89.6821510822789</x:v>
      </x:c>
      <x:c r="Q87" s="12" t="n">
        <x:f>G87+H87</x:f>
        <x:v>1.8599999999999999</x:v>
      </x:c>
    </x:row>
    <x:row r="88">
      <x:c r="A88" s="12" t="str">
        <x:v>SRV-0087</x:v>
      </x:c>
      <x:c r="B88" s="14" t="n">
        <x:v>46143</x:v>
      </x:c>
      <x:c r="C88" s="12" t="str">
        <x:v>DLR-012</x:v>
      </x:c>
      <x:c r="D88" s="12" t="str">
        <x:v>VinFast HTA Võ Chí Công</x:v>
      </x:c>
      <x:c r="E88" s="12" t="str">
        <x:v>VinFast</x:v>
      </x:c>
      <x:c r="F88" s="12" t="n">
        <x:v>499</x:v>
      </x:c>
      <x:c r="G88" s="12" t="n">
        <x:v>0.74</x:v>
      </x:c>
      <x:c r="H88" s="12" t="n">
        <x:v>1</x:v>
      </x:c>
      <x:c r="I88" s="12" t="n">
        <x:v>0.09</x:v>
      </x:c>
      <x:c r="J88" s="12" t="n">
        <x:v>18</x:v>
      </x:c>
      <x:c r="K88" s="12" t="n">
        <x:v>19</x:v>
      </x:c>
      <x:c r="L88" s="16" t="n">
        <x:v>0.8051943288412664</x:v>
      </x:c>
      <x:c r="M88" s="16" t="n">
        <x:v>0.9923732713792295</x:v>
      </x:c>
      <x:c r="N88" s="12" t="n">
        <x:v>1.6635486923138796</x:v>
      </x:c>
      <x:c r="O88" s="16" t="n">
        <x:v>0.012353649016290897</x:v>
      </x:c>
      <x:c r="P88" s="12" t="n">
        <x:v>95.50028496755729</x:v>
      </x:c>
      <x:c r="Q88" s="12" t="n">
        <x:f>G88+H88</x:f>
        <x:v>1.74</x:v>
      </x:c>
    </x:row>
    <x:row r="89">
      <x:c r="A89" s="12" t="str">
        <x:v>SRV-0088</x:v>
      </x:c>
      <x:c r="B89" s="14" t="n">
        <x:v>46143</x:v>
      </x:c>
      <x:c r="C89" s="12" t="str">
        <x:v>DLR-013</x:v>
      </x:c>
      <x:c r="D89" s="12" t="str">
        <x:v>VinFast HTA Ninh Bình</x:v>
      </x:c>
      <x:c r="E89" s="12" t="str">
        <x:v>VinFast</x:v>
      </x:c>
      <x:c r="F89" s="12" t="n">
        <x:v>246</x:v>
      </x:c>
      <x:c r="G89" s="12" t="n">
        <x:v>0.23</x:v>
      </x:c>
      <x:c r="H89" s="12" t="n">
        <x:v>0.68</x:v>
      </x:c>
      <x:c r="I89" s="12" t="n">
        <x:v>0.04</x:v>
      </x:c>
      <x:c r="J89" s="12" t="n">
        <x:v>24</x:v>
      </x:c>
      <x:c r="K89" s="12" t="n">
        <x:v>14</x:v>
      </x:c>
      <x:c r="L89" s="16" t="n">
        <x:v>0.9116073945819587</x:v>
      </x:c>
      <x:c r="M89" s="16" t="n">
        <x:v>0.8728714360306287</x:v>
      </x:c>
      <x:c r="N89" s="12" t="n">
        <x:v>1.5659510058773398</x:v>
      </x:c>
      <x:c r="O89" s="16" t="n">
        <x:v>0.03290606550768773</x:v>
      </x:c>
      <x:c r="P89" s="12" t="n">
        <x:v>92.64976623374332</x:v>
      </x:c>
      <x:c r="Q89" s="12" t="n">
        <x:f>G89+H89</x:f>
        <x:v>0.91</x:v>
      </x:c>
    </x:row>
    <x:row r="90">
      <x:c r="A90" s="12" t="str">
        <x:v>SRV-0089</x:v>
      </x:c>
      <x:c r="B90" s="14" t="n">
        <x:v>46143</x:v>
      </x:c>
      <x:c r="C90" s="12" t="str">
        <x:v>DLR-014</x:v>
      </x:c>
      <x:c r="D90" s="12" t="str">
        <x:v>VinFast HTA Nam Từ Liêm</x:v>
      </x:c>
      <x:c r="E90" s="12" t="str">
        <x:v>VinFast</x:v>
      </x:c>
      <x:c r="F90" s="12" t="n">
        <x:v>322</x:v>
      </x:c>
      <x:c r="G90" s="12" t="n">
        <x:v>0.54</x:v>
      </x:c>
      <x:c r="H90" s="12" t="n">
        <x:v>0.93</x:v>
      </x:c>
      <x:c r="I90" s="12" t="n">
        <x:v>0.1</x:v>
      </x:c>
      <x:c r="J90" s="12" t="n">
        <x:v>17</x:v>
      </x:c>
      <x:c r="K90" s="12" t="n">
        <x:v>17</x:v>
      </x:c>
      <x:c r="L90" s="16" t="n">
        <x:v>0.7363142886518901</x:v>
      </x:c>
      <x:c r="M90" s="16" t="n">
        <x:v>1.0383493232533283</x:v>
      </x:c>
      <x:c r="N90" s="12" t="n">
        <x:v>2.237109600812683</x:v>
      </x:c>
      <x:c r="O90" s="16" t="n">
        <x:v>0.021005046774486478</x:v>
      </x:c>
      <x:c r="P90" s="12" t="n">
        <x:v>89.97427433336729</x:v>
      </x:c>
      <x:c r="Q90" s="12" t="n">
        <x:f>G90+H90</x:f>
        <x:v>1.4700000000000002</x:v>
      </x:c>
    </x:row>
    <x:row r="91">
      <x:c r="A91" s="12" t="str">
        <x:v>SRV-0090</x:v>
      </x:c>
      <x:c r="B91" s="14" t="n">
        <x:v>46143</x:v>
      </x:c>
      <x:c r="C91" s="12" t="str">
        <x:v>DLR-015</x:v>
      </x:c>
      <x:c r="D91" s="12" t="str">
        <x:v>VinFast HTA Văn Phú</x:v>
      </x:c>
      <x:c r="E91" s="12" t="str">
        <x:v>VinFast</x:v>
      </x:c>
      <x:c r="F91" s="12" t="n">
        <x:v>546</x:v>
      </x:c>
      <x:c r="G91" s="12" t="n">
        <x:v>0.55</x:v>
      </x:c>
      <x:c r="H91" s="12" t="n">
        <x:v>1.52</x:v>
      </x:c>
      <x:c r="I91" s="12" t="n">
        <x:v>0.16</x:v>
      </x:c>
      <x:c r="J91" s="12" t="n">
        <x:v>24</x:v>
      </x:c>
      <x:c r="K91" s="12" t="n">
        <x:v>28</x:v>
      </x:c>
      <x:c r="L91" s="16" t="n">
        <x:v>0.7236076424143357</x:v>
      </x:c>
      <x:c r="M91" s="16" t="n">
        <x:v>1.0668128189695003</x:v>
      </x:c>
      <x:c r="N91" s="12" t="n">
        <x:v>3.229174278658884</x:v>
      </x:c>
      <x:c r="O91" s="16" t="n">
        <x:v>0.024106400787428706</x:v>
      </x:c>
      <x:c r="P91" s="12" t="n">
        <x:v>88.6195860733712</x:v>
      </x:c>
      <x:c r="Q91" s="12" t="n">
        <x:f>G91+H91</x:f>
        <x:v>2.0700000000000003</x:v>
      </x:c>
    </x:row>
    <x:row r="92">
      <x:c r="A92" s="12" t="str">
        <x:v>SRV-0091</x:v>
      </x:c>
      <x:c r="B92" s="14" t="n">
        <x:v>46143</x:v>
      </x:c>
      <x:c r="C92" s="12" t="str">
        <x:v>DLR-016</x:v>
      </x:c>
      <x:c r="D92" s="12" t="str">
        <x:v>VinFast HTA Mỹ Đình</x:v>
      </x:c>
      <x:c r="E92" s="12" t="str">
        <x:v>VinFast</x:v>
      </x:c>
      <x:c r="F92" s="12" t="n">
        <x:v>351</x:v>
      </x:c>
      <x:c r="G92" s="12" t="n">
        <x:v>0.35</x:v>
      </x:c>
      <x:c r="H92" s="12" t="n">
        <x:v>0.64</x:v>
      </x:c>
      <x:c r="I92" s="12" t="n">
        <x:v>0.08</x:v>
      </x:c>
      <x:c r="J92" s="12" t="n">
        <x:v>24</x:v>
      </x:c>
      <x:c r="K92" s="12" t="n">
        <x:v>38</x:v>
      </x:c>
      <x:c r="L92" s="16" t="n">
        <x:v>0.8948936882532083</x:v>
      </x:c>
      <x:c r="M92" s="16" t="n">
        <x:v>1.0379839664300343</x:v>
      </x:c>
      <x:c r="N92" s="12" t="n">
        <x:v>1.5903288054981246</x:v>
      </x:c>
      <x:c r="O92" s="16" t="n">
        <x:v>0.03234342189578862</x:v>
      </x:c>
      <x:c r="P92" s="12" t="n">
        <x:v>93.39832417183615</x:v>
      </x:c>
      <x:c r="Q92" s="12" t="n">
        <x:f>G92+H92</x:f>
        <x:v>0.99</x:v>
      </x:c>
    </x:row>
    <x:row r="93">
      <x:c r="A93" s="12" t="str">
        <x:v>SRV-0092</x:v>
      </x:c>
      <x:c r="B93" s="14" t="n">
        <x:v>46143</x:v>
      </x:c>
      <x:c r="C93" s="12" t="str">
        <x:v>DLR-017</x:v>
      </x:c>
      <x:c r="D93" s="12" t="str">
        <x:v>VinFast Quốc Oai</x:v>
      </x:c>
      <x:c r="E93" s="12" t="str">
        <x:v>VinFast</x:v>
      </x:c>
      <x:c r="F93" s="12" t="n">
        <x:v>684</x:v>
      </x:c>
      <x:c r="G93" s="12" t="n">
        <x:v>0.91</x:v>
      </x:c>
      <x:c r="H93" s="12" t="n">
        <x:v>2.11</x:v>
      </x:c>
      <x:c r="I93" s="12" t="n">
        <x:v>0.1</x:v>
      </x:c>
      <x:c r="J93" s="12" t="n">
        <x:v>12</x:v>
      </x:c>
      <x:c r="K93" s="12" t="n">
        <x:v>12</x:v>
      </x:c>
      <x:c r="L93" s="16" t="n">
        <x:v>0.9132119277403582</x:v>
      </x:c>
      <x:c r="M93" s="16" t="n">
        <x:v>1.098953352304409</x:v>
      </x:c>
      <x:c r="N93" s="12" t="n">
        <x:v>2.6283098172343746</x:v>
      </x:c>
      <x:c r="O93" s="16" t="n">
        <x:v>0.022095194200861965</x:v>
      </x:c>
      <x:c r="P93" s="12" t="n">
        <x:v>91.33339705223902</x:v>
      </x:c>
      <x:c r="Q93" s="12" t="n">
        <x:f>G93+H93</x:f>
        <x:v>3.02</x:v>
      </x:c>
    </x:row>
    <x:row r="94">
      <x:c r="A94" s="12" t="str">
        <x:v>SRV-0093</x:v>
      </x:c>
      <x:c r="B94" s="14" t="n">
        <x:v>46143</x:v>
      </x:c>
      <x:c r="C94" s="12" t="str">
        <x:v>DLR-018</x:v>
      </x:c>
      <x:c r="D94" s="12" t="str">
        <x:v>OMODA &amp; JAECOO HTA Nam Từ Liêm</x:v>
      </x:c>
      <x:c r="E94" s="12" t="str">
        <x:v>OMODA &amp; JAECOO</x:v>
      </x:c>
      <x:c r="F94" s="12" t="n">
        <x:v>288</x:v>
      </x:c>
      <x:c r="G94" s="12" t="n">
        <x:v>0.38</x:v>
      </x:c>
      <x:c r="H94" s="12" t="n">
        <x:v>0.63</x:v>
      </x:c>
      <x:c r="I94" s="12" t="n">
        <x:v>0.09</x:v>
      </x:c>
      <x:c r="J94" s="12" t="n">
        <x:v>20</x:v>
      </x:c>
      <x:c r="K94" s="12" t="n">
        <x:v>34</x:v>
      </x:c>
      <x:c r="L94" s="16" t="n">
        <x:v>0.8331525023967137</x:v>
      </x:c>
      <x:c r="M94" s="16" t="n">
        <x:v>1.086901855221608</x:v>
      </x:c>
      <x:c r="N94" s="12" t="n">
        <x:v>2.8753862995044823</x:v>
      </x:c>
      <x:c r="O94" s="16" t="n">
        <x:v>0.026811105285251605</x:v>
      </x:c>
      <x:c r="P94" s="12" t="n">
        <x:v>88.87945217512105</x:v>
      </x:c>
      <x:c r="Q94" s="12" t="n">
        <x:f>G94+H94</x:f>
        <x:v>1.01</x:v>
      </x:c>
    </x:row>
    <x:row r="95">
      <x:c r="A95" s="12" t="str">
        <x:v>SRV-0094</x:v>
      </x:c>
      <x:c r="B95" s="14" t="n">
        <x:v>46143</x:v>
      </x:c>
      <x:c r="C95" s="12" t="str">
        <x:v>DLR-019</x:v>
      </x:c>
      <x:c r="D95" s="12" t="str">
        <x:v>OMODA &amp; JAECOO HTA Việt Trì</x:v>
      </x:c>
      <x:c r="E95" s="12" t="str">
        <x:v>OMODA &amp; JAECOO</x:v>
      </x:c>
      <x:c r="F95" s="12" t="n">
        <x:v>385</x:v>
      </x:c>
      <x:c r="G95" s="12" t="n">
        <x:v>0.49</x:v>
      </x:c>
      <x:c r="H95" s="12" t="n">
        <x:v>0.85</x:v>
      </x:c>
      <x:c r="I95" s="12" t="n">
        <x:v>0.12</x:v>
      </x:c>
      <x:c r="J95" s="12" t="n">
        <x:v>17</x:v>
      </x:c>
      <x:c r="K95" s="12" t="n">
        <x:v>38</x:v>
      </x:c>
      <x:c r="L95" s="16" t="n">
        <x:v>0.7470292938436975</x:v>
      </x:c>
      <x:c r="M95" s="16" t="n">
        <x:v>0.8219690034932909</x:v>
      </x:c>
      <x:c r="N95" s="12" t="n">
        <x:v>2.8360204989964473</x:v>
      </x:c>
      <x:c r="O95" s="16" t="n">
        <x:v>0.008192080144626294</x:v>
      </x:c>
      <x:c r="P95" s="12" t="n">
        <x:v>92.7028656680916</x:v>
      </x:c>
      <x:c r="Q95" s="12" t="n">
        <x:f>G95+H95</x:f>
        <x:v>1.3399999999999999</x:v>
      </x:c>
    </x:row>
    <x:row r="96">
      <x:c r="A96" s="12" t="str">
        <x:v>SRV-0095</x:v>
      </x:c>
      <x:c r="B96" s="14" t="n">
        <x:v>46143</x:v>
      </x:c>
      <x:c r="C96" s="12" t="str">
        <x:v>DLR-020</x:v>
      </x:c>
      <x:c r="D96" s="12" t="str">
        <x:v>Wuling HTA Long Biên</x:v>
      </x:c>
      <x:c r="E96" s="12" t="str">
        <x:v>Wuling</x:v>
      </x:c>
      <x:c r="F96" s="12" t="n">
        <x:v>625</x:v>
      </x:c>
      <x:c r="G96" s="12" t="n">
        <x:v>0.75</x:v>
      </x:c>
      <x:c r="H96" s="12" t="n">
        <x:v>1.34</x:v>
      </x:c>
      <x:c r="I96" s="12" t="n">
        <x:v>0.19</x:v>
      </x:c>
      <x:c r="J96" s="12" t="n">
        <x:v>21</x:v>
      </x:c>
      <x:c r="K96" s="12" t="n">
        <x:v>35</x:v>
      </x:c>
      <x:c r="L96" s="16" t="n">
        <x:v>0.7077116362768593</x:v>
      </x:c>
      <x:c r="M96" s="16" t="n">
        <x:v>0.973385772068555</x:v>
      </x:c>
      <x:c r="N96" s="12" t="n">
        <x:v>2.4878144067376255</x:v>
      </x:c>
      <x:c r="O96" s="16" t="n">
        <x:v>0.015055178158613867</x:v>
      </x:c>
      <x:c r="P96" s="12" t="n">
        <x:v>92.82494401791732</x:v>
      </x:c>
      <x:c r="Q96" s="12" t="n">
        <x:f>G96+H96</x:f>
        <x:v>2.09</x:v>
      </x:c>
    </x:row>
    <x:row r="97">
      <x:c r="A97" s="12" t="str">
        <x:v>SRV-0096</x:v>
      </x:c>
      <x:c r="B97" s="14" t="n">
        <x:v>46174</x:v>
      </x:c>
      <x:c r="C97" s="12" t="str">
        <x:v>DLR-001</x:v>
      </x:c>
      <x:c r="D97" s="12" t="str">
        <x:v>Hà Thành Ford</x:v>
      </x:c>
      <x:c r="E97" s="12" t="str">
        <x:v>Ford</x:v>
      </x:c>
      <x:c r="F97" s="12" t="n">
        <x:v>570</x:v>
      </x:c>
      <x:c r="G97" s="12" t="n">
        <x:v>0.79</x:v>
      </x:c>
      <x:c r="H97" s="12" t="n">
        <x:v>1.99</x:v>
      </x:c>
      <x:c r="I97" s="12" t="n">
        <x:v>0.12</x:v>
      </x:c>
      <x:c r="J97" s="12" t="n">
        <x:v>14</x:v>
      </x:c>
      <x:c r="K97" s="12" t="n">
        <x:v>38</x:v>
      </x:c>
      <x:c r="L97" s="16" t="n">
        <x:v>0.8235472865684702</x:v>
      </x:c>
      <x:c r="M97" s="16" t="n">
        <x:v>1.0207225630707173</x:v>
      </x:c>
      <x:c r="N97" s="12" t="n">
        <x:v>1.5931831152325011</x:v>
      </x:c>
      <x:c r="O97" s="16" t="n">
        <x:v>0.02309553340064441</x:v>
      </x:c>
      <x:c r="P97" s="12" t="n">
        <x:v>92.35384141865372</x:v>
      </x:c>
      <x:c r="Q97" s="12" t="n">
        <x:f>G97+H97</x:f>
        <x:v>2.7800000000000002</x:v>
      </x:c>
    </x:row>
    <x:row r="98">
      <x:c r="A98" s="12" t="str">
        <x:v>SRV-0097</x:v>
      </x:c>
      <x:c r="B98" s="14" t="n">
        <x:v>46174</x:v>
      </x:c>
      <x:c r="C98" s="12" t="str">
        <x:v>DLR-002</x:v>
      </x:c>
      <x:c r="D98" s="12" t="str">
        <x:v>Hà Thành Ford - Mỹ Đình</x:v>
      </x:c>
      <x:c r="E98" s="12" t="str">
        <x:v>Ford</x:v>
      </x:c>
      <x:c r="F98" s="12" t="n">
        <x:v>554</x:v>
      </x:c>
      <x:c r="G98" s="12" t="n">
        <x:v>0.75</x:v>
      </x:c>
      <x:c r="H98" s="12" t="n">
        <x:v>1.73</x:v>
      </x:c>
      <x:c r="I98" s="12" t="n">
        <x:v>0.12</x:v>
      </x:c>
      <x:c r="J98" s="12" t="n">
        <x:v>12</x:v>
      </x:c>
      <x:c r="K98" s="12" t="n">
        <x:v>19</x:v>
      </x:c>
      <x:c r="L98" s="16" t="n">
        <x:v>0.8744316907207708</x:v>
      </x:c>
      <x:c r="M98" s="16" t="n">
        <x:v>0.9807741558694789</x:v>
      </x:c>
      <x:c r="N98" s="12" t="n">
        <x:v>2.7384851730491175</x:v>
      </x:c>
      <x:c r="O98" s="16" t="n">
        <x:v>0.01236846817811968</x:v>
      </x:c>
      <x:c r="P98" s="12" t="n">
        <x:v>89.93012327384272</x:v>
      </x:c>
      <x:c r="Q98" s="12" t="n">
        <x:f>G98+H98</x:f>
        <x:v>2.48</x:v>
      </x:c>
    </x:row>
    <x:row r="99">
      <x:c r="A99" s="12" t="str">
        <x:v>SRV-0098</x:v>
      </x:c>
      <x:c r="B99" s="14" t="n">
        <x:v>46174</x:v>
      </x:c>
      <x:c r="C99" s="12" t="str">
        <x:v>DLR-003</x:v>
      </x:c>
      <x:c r="D99" s="12" t="str">
        <x:v>Mỹ Đình Ford</x:v>
      </x:c>
      <x:c r="E99" s="12" t="str">
        <x:v>Ford</x:v>
      </x:c>
      <x:c r="F99" s="12" t="n">
        <x:v>445</x:v>
      </x:c>
      <x:c r="G99" s="12" t="n">
        <x:v>0.52</x:v>
      </x:c>
      <x:c r="H99" s="12" t="n">
        <x:v>1.22</x:v>
      </x:c>
      <x:c r="I99" s="12" t="n">
        <x:v>0.12</x:v>
      </x:c>
      <x:c r="J99" s="12" t="n">
        <x:v>9</x:v>
      </x:c>
      <x:c r="K99" s="12" t="n">
        <x:v>22</x:v>
      </x:c>
      <x:c r="L99" s="16" t="n">
        <x:v>0.7811669569521268</x:v>
      </x:c>
      <x:c r="M99" s="16" t="n">
        <x:v>1.0489155826114462</x:v>
      </x:c>
      <x:c r="N99" s="12" t="n">
        <x:v>2.9696125939517835</x:v>
      </x:c>
      <x:c r="O99" s="16" t="n">
        <x:v>0.030227897568969937</x:v>
      </x:c>
      <x:c r="P99" s="12" t="n">
        <x:v>92.2450179407951</x:v>
      </x:c>
      <x:c r="Q99" s="12" t="n">
        <x:f>G99+H99</x:f>
        <x:v>1.74</x:v>
      </x:c>
    </x:row>
    <x:row r="100">
      <x:c r="A100" s="12" t="str">
        <x:v>SRV-0099</x:v>
      </x:c>
      <x:c r="B100" s="14" t="n">
        <x:v>46174</x:v>
      </x:c>
      <x:c r="C100" s="12" t="str">
        <x:v>DLR-004</x:v>
      </x:c>
      <x:c r="D100" s="12" t="str">
        <x:v>Việt Trì Ford</x:v>
      </x:c>
      <x:c r="E100" s="12" t="str">
        <x:v>Ford</x:v>
      </x:c>
      <x:c r="F100" s="12" t="n">
        <x:v>463</x:v>
      </x:c>
      <x:c r="G100" s="12" t="n">
        <x:v>0.45</x:v>
      </x:c>
      <x:c r="H100" s="12" t="n">
        <x:v>1.04</x:v>
      </x:c>
      <x:c r="I100" s="12" t="n">
        <x:v>0.1</x:v>
      </x:c>
      <x:c r="J100" s="12" t="n">
        <x:v>9</x:v>
      </x:c>
      <x:c r="K100" s="12" t="n">
        <x:v>36</x:v>
      </x:c>
      <x:c r="L100" s="16" t="n">
        <x:v>0.9219780976769067</x:v>
      </x:c>
      <x:c r="M100" s="16" t="n">
        <x:v>0.9642321489827901</x:v>
      </x:c>
      <x:c r="N100" s="12" t="n">
        <x:v>2.643585505680831</x:v>
      </x:c>
      <x:c r="O100" s="16" t="n">
        <x:v>0.015734669314424375</x:v>
      </x:c>
      <x:c r="P100" s="12" t="n">
        <x:v>96.67176839990357</x:v>
      </x:c>
      <x:c r="Q100" s="12" t="n">
        <x:f>G100+H100</x:f>
        <x:v>1.49</x:v>
      </x:c>
    </x:row>
    <x:row r="101">
      <x:c r="A101" s="12" t="str">
        <x:v>SRV-0100</x:v>
      </x:c>
      <x:c r="B101" s="14" t="n">
        <x:v>46174</x:v>
      </x:c>
      <x:c r="C101" s="12" t="str">
        <x:v>DLR-005</x:v>
      </x:c>
      <x:c r="D101" s="12" t="str">
        <x:v>BYD HTA Tây Hồ</x:v>
      </x:c>
      <x:c r="E101" s="12" t="str">
        <x:v>BYD</x:v>
      </x:c>
      <x:c r="F101" s="12" t="n">
        <x:v>281</x:v>
      </x:c>
      <x:c r="G101" s="12" t="n">
        <x:v>0.43</x:v>
      </x:c>
      <x:c r="H101" s="12" t="n">
        <x:v>0.59</x:v>
      </x:c>
      <x:c r="I101" s="12" t="n">
        <x:v>0.07</x:v>
      </x:c>
      <x:c r="J101" s="12" t="n">
        <x:v>8</x:v>
      </x:c>
      <x:c r="K101" s="12" t="n">
        <x:v>24</x:v>
      </x:c>
      <x:c r="L101" s="16" t="n">
        <x:v>0.9011475854425869</x:v>
      </x:c>
      <x:c r="M101" s="16" t="n">
        <x:v>1.155073048244473</x:v>
      </x:c>
      <x:c r="N101" s="12" t="n">
        <x:v>2.3399372207314846</x:v>
      </x:c>
      <x:c r="O101" s="16" t="n">
        <x:v>0.013258155352677796</x:v>
      </x:c>
      <x:c r="P101" s="12" t="n">
        <x:v>95.05563500818337</x:v>
      </x:c>
      <x:c r="Q101" s="12" t="n">
        <x:f>G101+H101</x:f>
        <x:v>1.02</x:v>
      </x:c>
    </x:row>
    <x:row r="102">
      <x:c r="A102" s="12" t="str">
        <x:v>SRV-0101</x:v>
      </x:c>
      <x:c r="B102" s="14" t="n">
        <x:v>46174</x:v>
      </x:c>
      <x:c r="C102" s="12" t="str">
        <x:v>DLR-007</x:v>
      </x:c>
      <x:c r="D102" s="12" t="str">
        <x:v>BYD Hà Đông</x:v>
      </x:c>
      <x:c r="E102" s="12" t="str">
        <x:v>BYD</x:v>
      </x:c>
      <x:c r="F102" s="12" t="n">
        <x:v>394</x:v>
      </x:c>
      <x:c r="G102" s="12" t="n">
        <x:v>0.57</x:v>
      </x:c>
      <x:c r="H102" s="12" t="n">
        <x:v>1.12</x:v>
      </x:c>
      <x:c r="I102" s="12" t="n">
        <x:v>0.11</x:v>
      </x:c>
      <x:c r="J102" s="12" t="n">
        <x:v>19</x:v>
      </x:c>
      <x:c r="K102" s="12" t="n">
        <x:v>27</x:v>
      </x:c>
      <x:c r="L102" s="16" t="n">
        <x:v>0.8503049710398516</x:v>
      </x:c>
      <x:c r="M102" s="16" t="n">
        <x:v>1.1712325243404516</x:v>
      </x:c>
      <x:c r="N102" s="12" t="n">
        <x:v>1.3910541876628824</x:v>
      </x:c>
      <x:c r="O102" s="16" t="n">
        <x:v>0.015450295493387936</x:v>
      </x:c>
      <x:c r="P102" s="12" t="n">
        <x:v>91.59490320964268</x:v>
      </x:c>
      <x:c r="Q102" s="12" t="n">
        <x:f>G102+H102</x:f>
        <x:v>1.69</x:v>
      </x:c>
    </x:row>
    <x:row r="103">
      <x:c r="A103" s="12" t="str">
        <x:v>SRV-0102</x:v>
      </x:c>
      <x:c r="B103" s="14" t="n">
        <x:v>46174</x:v>
      </x:c>
      <x:c r="C103" s="12" t="str">
        <x:v>DLR-008</x:v>
      </x:c>
      <x:c r="D103" s="12" t="str">
        <x:v>VinFast HTA Nguyễn Văn Linh</x:v>
      </x:c>
      <x:c r="E103" s="12" t="str">
        <x:v>VinFast</x:v>
      </x:c>
      <x:c r="F103" s="12" t="n">
        <x:v>571</x:v>
      </x:c>
      <x:c r="G103" s="12" t="n">
        <x:v>0.7</x:v>
      </x:c>
      <x:c r="H103" s="12" t="n">
        <x:v>1.22</x:v>
      </x:c>
      <x:c r="I103" s="12" t="n">
        <x:v>0.07</x:v>
      </x:c>
      <x:c r="J103" s="12" t="n">
        <x:v>10</x:v>
      </x:c>
      <x:c r="K103" s="12" t="n">
        <x:v>17</x:v>
      </x:c>
      <x:c r="L103" s="16" t="n">
        <x:v>0.8228940899220734</x:v>
      </x:c>
      <x:c r="M103" s="16" t="n">
        <x:v>1.0814099354946265</x:v>
      </x:c>
      <x:c r="N103" s="12" t="n">
        <x:v>2.4300505072848475</x:v>
      </x:c>
      <x:c r="O103" s="16" t="n">
        <x:v>0.023739175210882514</x:v>
      </x:c>
      <x:c r="P103" s="12" t="n">
        <x:v>91.12727579973331</x:v>
      </x:c>
      <x:c r="Q103" s="12" t="n">
        <x:f>G103+H103</x:f>
        <x:v>1.92</x:v>
      </x:c>
    </x:row>
    <x:row r="104">
      <x:c r="A104" s="12" t="str">
        <x:v>SRV-0103</x:v>
      </x:c>
      <x:c r="B104" s="14" t="n">
        <x:v>46174</x:v>
      </x:c>
      <x:c r="C104" s="12" t="str">
        <x:v>DLR-009</x:v>
      </x:c>
      <x:c r="D104" s="12" t="str">
        <x:v>VinFast HTA Đông Anh</x:v>
      </x:c>
      <x:c r="E104" s="12" t="str">
        <x:v>VinFast</x:v>
      </x:c>
      <x:c r="F104" s="12" t="n">
        <x:v>712</x:v>
      </x:c>
      <x:c r="G104" s="12" t="n">
        <x:v>0.77</x:v>
      </x:c>
      <x:c r="H104" s="12" t="n">
        <x:v>2.45</x:v>
      </x:c>
      <x:c r="I104" s="12" t="n">
        <x:v>0.16</x:v>
      </x:c>
      <x:c r="J104" s="12" t="n">
        <x:v>20</x:v>
      </x:c>
      <x:c r="K104" s="12" t="n">
        <x:v>12</x:v>
      </x:c>
      <x:c r="L104" s="16" t="n">
        <x:v>0.7478879514747042</x:v>
      </x:c>
      <x:c r="M104" s="16" t="n">
        <x:v>0.9665684653985925</x:v>
      </x:c>
      <x:c r="N104" s="12" t="n">
        <x:v>1.4342229040636685</x:v>
      </x:c>
      <x:c r="O104" s="16" t="n">
        <x:v>0.009954421204221006</x:v>
      </x:c>
      <x:c r="P104" s="12" t="n">
        <x:v>90.64826642021308</x:v>
      </x:c>
      <x:c r="Q104" s="12" t="n">
        <x:f>G104+H104</x:f>
        <x:v>3.22</x:v>
      </x:c>
    </x:row>
    <x:row r="105">
      <x:c r="A105" s="12" t="str">
        <x:v>SRV-0104</x:v>
      </x:c>
      <x:c r="B105" s="14" t="n">
        <x:v>46174</x:v>
      </x:c>
      <x:c r="C105" s="12" t="str">
        <x:v>DLR-010</x:v>
      </x:c>
      <x:c r="D105" s="12" t="str">
        <x:v>VinFast HTA Đàm Quang Trung</x:v>
      </x:c>
      <x:c r="E105" s="12" t="str">
        <x:v>VinFast</x:v>
      </x:c>
      <x:c r="F105" s="12" t="n">
        <x:v>540</x:v>
      </x:c>
      <x:c r="G105" s="12" t="n">
        <x:v>0.83</x:v>
      </x:c>
      <x:c r="H105" s="12" t="n">
        <x:v>1.85</x:v>
      </x:c>
      <x:c r="I105" s="12" t="n">
        <x:v>0.17</x:v>
      </x:c>
      <x:c r="J105" s="12" t="n">
        <x:v>16</x:v>
      </x:c>
      <x:c r="K105" s="12" t="n">
        <x:v>40</x:v>
      </x:c>
      <x:c r="L105" s="16" t="n">
        <x:v>0.9311744184646075</x:v>
      </x:c>
      <x:c r="M105" s="16" t="n">
        <x:v>1.0227406973697748</x:v>
      </x:c>
      <x:c r="N105" s="12" t="n">
        <x:v>2.893927824014434</x:v>
      </x:c>
      <x:c r="O105" s="16" t="n">
        <x:v>0.028451778696260158</x:v>
      </x:c>
      <x:c r="P105" s="12" t="n">
        <x:v>96.65114852771453</x:v>
      </x:c>
      <x:c r="Q105" s="12" t="n">
        <x:f>G105+H105</x:f>
        <x:v>2.68</x:v>
      </x:c>
    </x:row>
    <x:row r="106">
      <x:c r="A106" s="12" t="str">
        <x:v>SRV-0105</x:v>
      </x:c>
      <x:c r="B106" s="14" t="n">
        <x:v>46174</x:v>
      </x:c>
      <x:c r="C106" s="12" t="str">
        <x:v>DLR-011</x:v>
      </x:c>
      <x:c r="D106" s="12" t="str">
        <x:v>VinFast HTA Phạm Văn Đồng</x:v>
      </x:c>
      <x:c r="E106" s="12" t="str">
        <x:v>VinFast</x:v>
      </x:c>
      <x:c r="F106" s="12" t="n">
        <x:v>430</x:v>
      </x:c>
      <x:c r="G106" s="12" t="n">
        <x:v>0.55</x:v>
      </x:c>
      <x:c r="H106" s="12" t="n">
        <x:v>1.2</x:v>
      </x:c>
      <x:c r="I106" s="12" t="n">
        <x:v>0.05</x:v>
      </x:c>
      <x:c r="J106" s="12" t="n">
        <x:v>11</x:v>
      </x:c>
      <x:c r="K106" s="12" t="n">
        <x:v>28</x:v>
      </x:c>
      <x:c r="L106" s="16" t="n">
        <x:v>0.697564107771926</x:v>
      </x:c>
      <x:c r="M106" s="16" t="n">
        <x:v>1.0481182471209478</x:v>
      </x:c>
      <x:c r="N106" s="12" t="n">
        <x:v>3.387235673404046</x:v>
      </x:c>
      <x:c r="O106" s="16" t="n">
        <x:v>0.0262766503537577</x:v>
      </x:c>
      <x:c r="P106" s="12" t="n">
        <x:v>90.06937124730239</x:v>
      </x:c>
      <x:c r="Q106" s="12" t="n">
        <x:f>G106+H106</x:f>
        <x:v>1.75</x:v>
      </x:c>
    </x:row>
    <x:row r="107">
      <x:c r="A107" s="12" t="str">
        <x:v>SRV-0106</x:v>
      </x:c>
      <x:c r="B107" s="14" t="n">
        <x:v>46174</x:v>
      </x:c>
      <x:c r="C107" s="12" t="str">
        <x:v>DLR-012</x:v>
      </x:c>
      <x:c r="D107" s="12" t="str">
        <x:v>VinFast HTA Võ Chí Công</x:v>
      </x:c>
      <x:c r="E107" s="12" t="str">
        <x:v>VinFast</x:v>
      </x:c>
      <x:c r="F107" s="12" t="n">
        <x:v>474</x:v>
      </x:c>
      <x:c r="G107" s="12" t="n">
        <x:v>0.79</x:v>
      </x:c>
      <x:c r="H107" s="12" t="n">
        <x:v>1.27</x:v>
      </x:c>
      <x:c r="I107" s="12" t="n">
        <x:v>0.06</x:v>
      </x:c>
      <x:c r="J107" s="12" t="n">
        <x:v>16</x:v>
      </x:c>
      <x:c r="K107" s="12" t="n">
        <x:v>27</x:v>
      </x:c>
      <x:c r="L107" s="16" t="n">
        <x:v>0.7546952915503268</x:v>
      </x:c>
      <x:c r="M107" s="16" t="n">
        <x:v>0.9636150291750673</x:v>
      </x:c>
      <x:c r="N107" s="12" t="n">
        <x:v>2.847333890247079</x:v>
      </x:c>
      <x:c r="O107" s="16" t="n">
        <x:v>0.017233807705735994</x:v>
      </x:c>
      <x:c r="P107" s="12" t="n">
        <x:v>92.99096353637104</x:v>
      </x:c>
      <x:c r="Q107" s="12" t="n">
        <x:f>G107+H107</x:f>
        <x:v>2.06</x:v>
      </x:c>
    </x:row>
    <x:row r="108">
      <x:c r="A108" s="12" t="str">
        <x:v>SRV-0107</x:v>
      </x:c>
      <x:c r="B108" s="14" t="n">
        <x:v>46174</x:v>
      </x:c>
      <x:c r="C108" s="12" t="str">
        <x:v>DLR-013</x:v>
      </x:c>
      <x:c r="D108" s="12" t="str">
        <x:v>VinFast HTA Ninh Bình</x:v>
      </x:c>
      <x:c r="E108" s="12" t="str">
        <x:v>VinFast</x:v>
      </x:c>
      <x:c r="F108" s="12" t="n">
        <x:v>311</x:v>
      </x:c>
      <x:c r="G108" s="12" t="n">
        <x:v>0.36</x:v>
      </x:c>
      <x:c r="H108" s="12" t="n">
        <x:v>0.68</x:v>
      </x:c>
      <x:c r="I108" s="12" t="n">
        <x:v>0.08</x:v>
      </x:c>
      <x:c r="J108" s="12" t="n">
        <x:v>13</x:v>
      </x:c>
      <x:c r="K108" s="12" t="n">
        <x:v>24</x:v>
      </x:c>
      <x:c r="L108" s="16" t="n">
        <x:v>0.8097398284945576</x:v>
      </x:c>
      <x:c r="M108" s="16" t="n">
        <x:v>0.8918799540739513</x:v>
      </x:c>
      <x:c r="N108" s="12" t="n">
        <x:v>2.8179439435342273</x:v>
      </x:c>
      <x:c r="O108" s="16" t="n">
        <x:v>0.03156404745702405</x:v>
      </x:c>
      <x:c r="P108" s="12" t="n">
        <x:v>89.86100769089809</x:v>
      </x:c>
      <x:c r="Q108" s="12" t="n">
        <x:f>G108+H108</x:f>
        <x:v>1.04</x:v>
      </x:c>
    </x:row>
    <x:row r="109">
      <x:c r="A109" s="12" t="str">
        <x:v>SRV-0108</x:v>
      </x:c>
      <x:c r="B109" s="14" t="n">
        <x:v>46174</x:v>
      </x:c>
      <x:c r="C109" s="12" t="str">
        <x:v>DLR-014</x:v>
      </x:c>
      <x:c r="D109" s="12" t="str">
        <x:v>VinFast HTA Nam Từ Liêm</x:v>
      </x:c>
      <x:c r="E109" s="12" t="str">
        <x:v>VinFast</x:v>
      </x:c>
      <x:c r="F109" s="12" t="n">
        <x:v>254</x:v>
      </x:c>
      <x:c r="G109" s="12" t="n">
        <x:v>0.28</x:v>
      </x:c>
      <x:c r="H109" s="12" t="n">
        <x:v>0.72</x:v>
      </x:c>
      <x:c r="I109" s="12" t="n">
        <x:v>0.04</x:v>
      </x:c>
      <x:c r="J109" s="12" t="n">
        <x:v>11</x:v>
      </x:c>
      <x:c r="K109" s="12" t="n">
        <x:v>19</x:v>
      </x:c>
      <x:c r="L109" s="16" t="n">
        <x:v>0.9192489136785773</x:v>
      </x:c>
      <x:c r="M109" s="16" t="n">
        <x:v>1.0632923649555495</x:v>
      </x:c>
      <x:c r="N109" s="12" t="n">
        <x:v>2.65953297230499</x:v>
      </x:c>
      <x:c r="O109" s="16" t="n">
        <x:v>0.02457332833244532</x:v>
      </x:c>
      <x:c r="P109" s="12" t="n">
        <x:v>94.87819791371975</x:v>
      </x:c>
      <x:c r="Q109" s="12" t="n">
        <x:f>G109+H109</x:f>
        <x:v>1</x:v>
      </x:c>
    </x:row>
    <x:row r="110">
      <x:c r="A110" s="12" t="str">
        <x:v>SRV-0109</x:v>
      </x:c>
      <x:c r="B110" s="14" t="n">
        <x:v>46174</x:v>
      </x:c>
      <x:c r="C110" s="12" t="str">
        <x:v>DLR-015</x:v>
      </x:c>
      <x:c r="D110" s="12" t="str">
        <x:v>VinFast HTA Văn Phú</x:v>
      </x:c>
      <x:c r="E110" s="12" t="str">
        <x:v>VinFast</x:v>
      </x:c>
      <x:c r="F110" s="12" t="n">
        <x:v>619</x:v>
      </x:c>
      <x:c r="G110" s="12" t="n">
        <x:v>0.58</x:v>
      </x:c>
      <x:c r="H110" s="12" t="n">
        <x:v>1.62</x:v>
      </x:c>
      <x:c r="I110" s="12" t="n">
        <x:v>0.16</x:v>
      </x:c>
      <x:c r="J110" s="12" t="n">
        <x:v>23</x:v>
      </x:c>
      <x:c r="K110" s="12" t="n">
        <x:v>29</x:v>
      </x:c>
      <x:c r="L110" s="16" t="n">
        <x:v>0.8076093914177022</x:v>
      </x:c>
      <x:c r="M110" s="16" t="n">
        <x:v>1.1743820857639196</x:v>
      </x:c>
      <x:c r="N110" s="12" t="n">
        <x:v>3.215215025279626</x:v>
      </x:c>
      <x:c r="O110" s="16" t="n">
        <x:v>0.015567198825946052</x:v>
      </x:c>
      <x:c r="P110" s="12" t="n">
        <x:v>89.99883504771832</x:v>
      </x:c>
      <x:c r="Q110" s="12" t="n">
        <x:f>G110+H110</x:f>
        <x:v>2.2</x:v>
      </x:c>
    </x:row>
    <x:row r="111">
      <x:c r="A111" s="12" t="str">
        <x:v>SRV-0110</x:v>
      </x:c>
      <x:c r="B111" s="14" t="n">
        <x:v>46174</x:v>
      </x:c>
      <x:c r="C111" s="12" t="str">
        <x:v>DLR-016</x:v>
      </x:c>
      <x:c r="D111" s="12" t="str">
        <x:v>VinFast HTA Mỹ Đình</x:v>
      </x:c>
      <x:c r="E111" s="12" t="str">
        <x:v>VinFast</x:v>
      </x:c>
      <x:c r="F111" s="12" t="n">
        <x:v>424</x:v>
      </x:c>
      <x:c r="G111" s="12" t="n">
        <x:v>0.4</x:v>
      </x:c>
      <x:c r="H111" s="12" t="n">
        <x:v>1.34</x:v>
      </x:c>
      <x:c r="I111" s="12" t="n">
        <x:v>0.1</x:v>
      </x:c>
      <x:c r="J111" s="12" t="n">
        <x:v>9</x:v>
      </x:c>
      <x:c r="K111" s="12" t="n">
        <x:v>44</x:v>
      </x:c>
      <x:c r="L111" s="16" t="n">
        <x:v>0.7702951300320506</x:v>
      </x:c>
      <x:c r="M111" s="16" t="n">
        <x:v>1.1297440469792628</x:v>
      </x:c>
      <x:c r="N111" s="12" t="n">
        <x:v>2.906988720480806</x:v>
      </x:c>
      <x:c r="O111" s="16" t="n">
        <x:v>0.020344292926532732</x:v>
      </x:c>
      <x:c r="P111" s="12" t="n">
        <x:v>89.08331362369806</x:v>
      </x:c>
      <x:c r="Q111" s="12" t="n">
        <x:f>G111+H111</x:f>
        <x:v>1.7400000000000002</x:v>
      </x:c>
    </x:row>
    <x:row r="112">
      <x:c r="A112" s="12" t="str">
        <x:v>SRV-0111</x:v>
      </x:c>
      <x:c r="B112" s="14" t="n">
        <x:v>46174</x:v>
      </x:c>
      <x:c r="C112" s="12" t="str">
        <x:v>DLR-017</x:v>
      </x:c>
      <x:c r="D112" s="12" t="str">
        <x:v>VinFast Quốc Oai</x:v>
      </x:c>
      <x:c r="E112" s="12" t="str">
        <x:v>VinFast</x:v>
      </x:c>
      <x:c r="F112" s="12" t="n">
        <x:v>514</x:v>
      </x:c>
      <x:c r="G112" s="12" t="n">
        <x:v>0.59</x:v>
      </x:c>
      <x:c r="H112" s="12" t="n">
        <x:v>0.93</x:v>
      </x:c>
      <x:c r="I112" s="12" t="n">
        <x:v>0.14</x:v>
      </x:c>
      <x:c r="J112" s="12" t="n">
        <x:v>20</x:v>
      </x:c>
      <x:c r="K112" s="12" t="n">
        <x:v>18</x:v>
      </x:c>
      <x:c r="L112" s="16" t="n">
        <x:v>0.7646134119780109</x:v>
      </x:c>
      <x:c r="M112" s="16" t="n">
        <x:v>1.0406001146902377</x:v>
      </x:c>
      <x:c r="N112" s="12" t="n">
        <x:v>1.7713416919986558</x:v>
      </x:c>
      <x:c r="O112" s="16" t="n">
        <x:v>0.022811211810238097</x:v>
      </x:c>
      <x:c r="P112" s="12" t="n">
        <x:v>90.13425237256791</x:v>
      </x:c>
      <x:c r="Q112" s="12" t="n">
        <x:f>G112+H112</x:f>
        <x:v>1.52</x:v>
      </x:c>
    </x:row>
    <x:row r="113">
      <x:c r="A113" s="12" t="str">
        <x:v>SRV-0112</x:v>
      </x:c>
      <x:c r="B113" s="14" t="n">
        <x:v>46174</x:v>
      </x:c>
      <x:c r="C113" s="12" t="str">
        <x:v>DLR-018</x:v>
      </x:c>
      <x:c r="D113" s="12" t="str">
        <x:v>OMODA &amp; JAECOO HTA Nam Từ Liêm</x:v>
      </x:c>
      <x:c r="E113" s="12" t="str">
        <x:v>OMODA &amp; JAECOO</x:v>
      </x:c>
      <x:c r="F113" s="12" t="n">
        <x:v>490</x:v>
      </x:c>
      <x:c r="G113" s="12" t="n">
        <x:v>0.68</x:v>
      </x:c>
      <x:c r="H113" s="12" t="n">
        <x:v>1.19</x:v>
      </x:c>
      <x:c r="I113" s="12" t="n">
        <x:v>0.12</x:v>
      </x:c>
      <x:c r="J113" s="12" t="n">
        <x:v>14</x:v>
      </x:c>
      <x:c r="K113" s="12" t="n">
        <x:v>38</x:v>
      </x:c>
      <x:c r="L113" s="16" t="n">
        <x:v>0.8621852829722382</x:v>
      </x:c>
      <x:c r="M113" s="16" t="n">
        <x:v>0.9540314660327738</x:v>
      </x:c>
      <x:c r="N113" s="12" t="n">
        <x:v>3.0795173919298033</x:v>
      </x:c>
      <x:c r="O113" s="16" t="n">
        <x:v>0.01554999736077847</x:v>
      </x:c>
      <x:c r="P113" s="12" t="n">
        <x:v>89.61900305854296</x:v>
      </x:c>
      <x:c r="Q113" s="12" t="n">
        <x:f>G113+H113</x:f>
        <x:v>1.87</x:v>
      </x:c>
    </x:row>
    <x:row r="114">
      <x:c r="A114" s="12" t="str">
        <x:v>SRV-0113</x:v>
      </x:c>
      <x:c r="B114" s="14" t="n">
        <x:v>46174</x:v>
      </x:c>
      <x:c r="C114" s="12" t="str">
        <x:v>DLR-019</x:v>
      </x:c>
      <x:c r="D114" s="12" t="str">
        <x:v>OMODA &amp; JAECOO HTA Việt Trì</x:v>
      </x:c>
      <x:c r="E114" s="12" t="str">
        <x:v>OMODA &amp; JAECOO</x:v>
      </x:c>
      <x:c r="F114" s="12" t="n">
        <x:v>384</x:v>
      </x:c>
      <x:c r="G114" s="12" t="n">
        <x:v>0.52</x:v>
      </x:c>
      <x:c r="H114" s="12" t="n">
        <x:v>0.84</x:v>
      </x:c>
      <x:c r="I114" s="12" t="n">
        <x:v>0.05</x:v>
      </x:c>
      <x:c r="J114" s="12" t="n">
        <x:v>16</x:v>
      </x:c>
      <x:c r="K114" s="12" t="n">
        <x:v>27</x:v>
      </x:c>
      <x:c r="L114" s="16" t="n">
        <x:v>0.8243884123293823</x:v>
      </x:c>
      <x:c r="M114" s="16" t="n">
        <x:v>1.128271145948157</x:v>
      </x:c>
      <x:c r="N114" s="12" t="n">
        <x:v>1.6313390711013689</x:v>
      </x:c>
      <x:c r="O114" s="16" t="n">
        <x:v>0.02960101137233521</x:v>
      </x:c>
      <x:c r="P114" s="12" t="n">
        <x:v>94.64687812586078</x:v>
      </x:c>
      <x:c r="Q114" s="12" t="n">
        <x:f>G114+H114</x:f>
        <x:v>1.3599999999999999</x:v>
      </x:c>
    </x:row>
    <x:row r="115">
      <x:c r="A115" s="12" t="str">
        <x:v>SRV-0114</x:v>
      </x:c>
      <x:c r="B115" s="14" t="n">
        <x:v>46174</x:v>
      </x:c>
      <x:c r="C115" s="12" t="str">
        <x:v>DLR-020</x:v>
      </x:c>
      <x:c r="D115" s="12" t="str">
        <x:v>Wuling HTA Long Biên</x:v>
      </x:c>
      <x:c r="E115" s="12" t="str">
        <x:v>Wuling</x:v>
      </x:c>
      <x:c r="F115" s="12" t="n">
        <x:v>598</x:v>
      </x:c>
      <x:c r="G115" s="12" t="n">
        <x:v>0.54</x:v>
      </x:c>
      <x:c r="H115" s="12" t="n">
        <x:v>1.5</x:v>
      </x:c>
      <x:c r="I115" s="12" t="n">
        <x:v>0.09</x:v>
      </x:c>
      <x:c r="J115" s="12" t="n">
        <x:v>24</x:v>
      </x:c>
      <x:c r="K115" s="12" t="n">
        <x:v>32</x:v>
      </x:c>
      <x:c r="L115" s="16" t="n">
        <x:v>0.8841865635404084</x:v>
      </x:c>
      <x:c r="M115" s="16" t="n">
        <x:v>0.9280123055752415</x:v>
      </x:c>
      <x:c r="N115" s="12" t="n">
        <x:v>2.4367045945577646</x:v>
      </x:c>
      <x:c r="O115" s="16" t="n">
        <x:v>0.02333153201854342</x:v>
      </x:c>
      <x:c r="P115" s="12" t="n">
        <x:v>91.58561711676995</x:v>
      </x:c>
      <x:c r="Q115" s="12" t="n">
        <x:f>G115+H115</x:f>
        <x:v>2.04</x:v>
      </x:c>
    </x:row>
    <x:row r="116">
      <x:c r="A116" s="12" t="str">
        <x:v>SRV-0115</x:v>
      </x:c>
      <x:c r="B116" s="14" t="n">
        <x:v>46204</x:v>
      </x:c>
      <x:c r="C116" s="12" t="str">
        <x:v>DLR-001</x:v>
      </x:c>
      <x:c r="D116" s="12" t="str">
        <x:v>Hà Thành Ford</x:v>
      </x:c>
      <x:c r="E116" s="12" t="str">
        <x:v>Ford</x:v>
      </x:c>
      <x:c r="F116" s="12" t="n">
        <x:v>634</x:v>
      </x:c>
      <x:c r="G116" s="12" t="n">
        <x:v>0.6</x:v>
      </x:c>
      <x:c r="H116" s="12" t="n">
        <x:v>2.02</x:v>
      </x:c>
      <x:c r="I116" s="12" t="n">
        <x:v>0.15</x:v>
      </x:c>
      <x:c r="J116" s="12" t="n">
        <x:v>11</x:v>
      </x:c>
      <x:c r="K116" s="12" t="n">
        <x:v>40</x:v>
      </x:c>
      <x:c r="L116" s="16" t="n">
        <x:v>0.8735942373202048</x:v>
      </x:c>
      <x:c r="M116" s="16" t="n">
        <x:v>0.9135168839242035</x:v>
      </x:c>
      <x:c r="N116" s="12" t="n">
        <x:v>1.9926744761524353</x:v>
      </x:c>
      <x:c r="O116" s="16" t="n">
        <x:v>0.0230522701826677</x:v>
      </x:c>
      <x:c r="P116" s="12" t="n">
        <x:v>95.29014293342406</x:v>
      </x:c>
      <x:c r="Q116" s="12" t="n">
        <x:f>G116+H116</x:f>
        <x:v>2.62</x:v>
      </x:c>
    </x:row>
    <x:row r="117">
      <x:c r="A117" s="12" t="str">
        <x:v>SRV-0116</x:v>
      </x:c>
      <x:c r="B117" s="14" t="n">
        <x:v>46204</x:v>
      </x:c>
      <x:c r="C117" s="12" t="str">
        <x:v>DLR-002</x:v>
      </x:c>
      <x:c r="D117" s="12" t="str">
        <x:v>Hà Thành Ford - Mỹ Đình</x:v>
      </x:c>
      <x:c r="E117" s="12" t="str">
        <x:v>Ford</x:v>
      </x:c>
      <x:c r="F117" s="12" t="n">
        <x:v>324</x:v>
      </x:c>
      <x:c r="G117" s="12" t="n">
        <x:v>0.4</x:v>
      </x:c>
      <x:c r="H117" s="12" t="n">
        <x:v>0.78</x:v>
      </x:c>
      <x:c r="I117" s="12" t="n">
        <x:v>0.09</x:v>
      </x:c>
      <x:c r="J117" s="12" t="n">
        <x:v>14</x:v>
      </x:c>
      <x:c r="K117" s="12" t="n">
        <x:v>23</x:v>
      </x:c>
      <x:c r="L117" s="16" t="n">
        <x:v>0.9346370145893124</x:v>
      </x:c>
      <x:c r="M117" s="16" t="n">
        <x:v>0.9224591434585991</x:v>
      </x:c>
      <x:c r="N117" s="12" t="n">
        <x:v>1.9151986306982058</x:v>
      </x:c>
      <x:c r="O117" s="16" t="n">
        <x:v>0.021782002189474785</x:v>
      </x:c>
      <x:c r="P117" s="12" t="n">
        <x:v>94.97269930413913</x:v>
      </x:c>
      <x:c r="Q117" s="12" t="n">
        <x:f>G117+H117</x:f>
        <x:v>1.1800000000000002</x:v>
      </x:c>
    </x:row>
    <x:row r="118">
      <x:c r="A118" s="12" t="str">
        <x:v>SRV-0117</x:v>
      </x:c>
      <x:c r="B118" s="14" t="n">
        <x:v>46204</x:v>
      </x:c>
      <x:c r="C118" s="12" t="str">
        <x:v>DLR-003</x:v>
      </x:c>
      <x:c r="D118" s="12" t="str">
        <x:v>Mỹ Đình Ford</x:v>
      </x:c>
      <x:c r="E118" s="12" t="str">
        <x:v>Ford</x:v>
      </x:c>
      <x:c r="F118" s="12" t="n">
        <x:v>467</x:v>
      </x:c>
      <x:c r="G118" s="12" t="n">
        <x:v>0.45</x:v>
      </x:c>
      <x:c r="H118" s="12" t="n">
        <x:v>1.33</x:v>
      </x:c>
      <x:c r="I118" s="12" t="n">
        <x:v>0.11</x:v>
      </x:c>
      <x:c r="J118" s="12" t="n">
        <x:v>12</x:v>
      </x:c>
      <x:c r="K118" s="12" t="n">
        <x:v>22</x:v>
      </x:c>
      <x:c r="L118" s="16" t="n">
        <x:v>0.8465509697050337</x:v>
      </x:c>
      <x:c r="M118" s="16" t="n">
        <x:v>1.1542840001095815</x:v>
      </x:c>
      <x:c r="N118" s="12" t="n">
        <x:v>2.1279962732553592</x:v>
      </x:c>
      <x:c r="O118" s="16" t="n">
        <x:v>0.024532373729603103</x:v>
      </x:c>
      <x:c r="P118" s="12" t="n">
        <x:v>91.64295448094686</x:v>
      </x:c>
      <x:c r="Q118" s="12" t="n">
        <x:f>G118+H118</x:f>
        <x:v>1.78</x:v>
      </x:c>
    </x:row>
    <x:row r="119">
      <x:c r="A119" s="12" t="str">
        <x:v>SRV-0118</x:v>
      </x:c>
      <x:c r="B119" s="14" t="n">
        <x:v>46204</x:v>
      </x:c>
      <x:c r="C119" s="12" t="str">
        <x:v>DLR-004</x:v>
      </x:c>
      <x:c r="D119" s="12" t="str">
        <x:v>Việt Trì Ford</x:v>
      </x:c>
      <x:c r="E119" s="12" t="str">
        <x:v>Ford</x:v>
      </x:c>
      <x:c r="F119" s="12" t="n">
        <x:v>585</x:v>
      </x:c>
      <x:c r="G119" s="12" t="n">
        <x:v>0.56</x:v>
      </x:c>
      <x:c r="H119" s="12" t="n">
        <x:v>1.39</x:v>
      </x:c>
      <x:c r="I119" s="12" t="n">
        <x:v>0.11</x:v>
      </x:c>
      <x:c r="J119" s="12" t="n">
        <x:v>17</x:v>
      </x:c>
      <x:c r="K119" s="12" t="n">
        <x:v>29</x:v>
      </x:c>
      <x:c r="L119" s="16" t="n">
        <x:v>0.837400092986282</x:v>
      </x:c>
      <x:c r="M119" s="16" t="n">
        <x:v>0.9623639170650341</x:v>
      </x:c>
      <x:c r="N119" s="12" t="n">
        <x:v>3.1529219745008383</x:v>
      </x:c>
      <x:c r="O119" s="16" t="n">
        <x:v>0.02908629899692368</x:v>
      </x:c>
      <x:c r="P119" s="12" t="n">
        <x:v>96.44892851463321</x:v>
      </x:c>
      <x:c r="Q119" s="12" t="n">
        <x:f>G119+H119</x:f>
        <x:v>1.95</x:v>
      </x:c>
    </x:row>
    <x:row r="120">
      <x:c r="A120" s="12" t="str">
        <x:v>SRV-0119</x:v>
      </x:c>
      <x:c r="B120" s="14" t="n">
        <x:v>46204</x:v>
      </x:c>
      <x:c r="C120" s="12" t="str">
        <x:v>DLR-005</x:v>
      </x:c>
      <x:c r="D120" s="12" t="str">
        <x:v>BYD HTA Tây Hồ</x:v>
      </x:c>
      <x:c r="E120" s="12" t="str">
        <x:v>BYD</x:v>
      </x:c>
      <x:c r="F120" s="12" t="n">
        <x:v>593</x:v>
      </x:c>
      <x:c r="G120" s="12" t="n">
        <x:v>0.78</x:v>
      </x:c>
      <x:c r="H120" s="12" t="n">
        <x:v>1.52</x:v>
      </x:c>
      <x:c r="I120" s="12" t="n">
        <x:v>0.09</x:v>
      </x:c>
      <x:c r="J120" s="12" t="n">
        <x:v>8</x:v>
      </x:c>
      <x:c r="K120" s="12" t="n">
        <x:v>20</x:v>
      </x:c>
      <x:c r="L120" s="16" t="n">
        <x:v>0.8692208282724251</x:v>
      </x:c>
      <x:c r="M120" s="16" t="n">
        <x:v>1.0583281172111103</x:v>
      </x:c>
      <x:c r="N120" s="12" t="n">
        <x:v>3.2689621421435904</x:v>
      </x:c>
      <x:c r="O120" s="16" t="n">
        <x:v>0.026918817067466478</x:v>
      </x:c>
      <x:c r="P120" s="12" t="n">
        <x:v>88.72058264087993</x:v>
      </x:c>
      <x:c r="Q120" s="12" t="n">
        <x:f>G120+H120</x:f>
        <x:v>2.3</x:v>
      </x:c>
    </x:row>
    <x:row r="121">
      <x:c r="A121" s="12" t="str">
        <x:v>SRV-0120</x:v>
      </x:c>
      <x:c r="B121" s="14" t="n">
        <x:v>46204</x:v>
      </x:c>
      <x:c r="C121" s="12" t="str">
        <x:v>DLR-007</x:v>
      </x:c>
      <x:c r="D121" s="12" t="str">
        <x:v>BYD Hà Đông</x:v>
      </x:c>
      <x:c r="E121" s="12" t="str">
        <x:v>BYD</x:v>
      </x:c>
      <x:c r="F121" s="12" t="n">
        <x:v>268</x:v>
      </x:c>
      <x:c r="G121" s="12" t="n">
        <x:v>0.26</x:v>
      </x:c>
      <x:c r="H121" s="12" t="n">
        <x:v>0.51</x:v>
      </x:c>
      <x:c r="I121" s="12" t="n">
        <x:v>0.09</x:v>
      </x:c>
      <x:c r="J121" s="12" t="n">
        <x:v>9</x:v>
      </x:c>
      <x:c r="K121" s="12" t="n">
        <x:v>13</x:v>
      </x:c>
      <x:c r="L121" s="16" t="n">
        <x:v>0.8804427634419743</x:v>
      </x:c>
      <x:c r="M121" s="16" t="n">
        <x:v>1.008633804883053</x:v>
      </x:c>
      <x:c r="N121" s="12" t="n">
        <x:v>3.39123020904625</x:v>
      </x:c>
      <x:c r="O121" s="16" t="n">
        <x:v>0.010806066908584617</x:v>
      </x:c>
      <x:c r="P121" s="12" t="n">
        <x:v>93.56291954515478</x:v>
      </x:c>
      <x:c r="Q121" s="12" t="n">
        <x:f>G121+H121</x:f>
        <x:v>0.77</x:v>
      </x:c>
    </x:row>
    <x:row r="122">
      <x:c r="A122" s="12" t="str">
        <x:v>SRV-0121</x:v>
      </x:c>
      <x:c r="B122" s="14" t="n">
        <x:v>46204</x:v>
      </x:c>
      <x:c r="C122" s="12" t="str">
        <x:v>DLR-008</x:v>
      </x:c>
      <x:c r="D122" s="12" t="str">
        <x:v>VinFast HTA Nguyễn Văn Linh</x:v>
      </x:c>
      <x:c r="E122" s="12" t="str">
        <x:v>VinFast</x:v>
      </x:c>
      <x:c r="F122" s="12" t="n">
        <x:v>301</x:v>
      </x:c>
      <x:c r="G122" s="12" t="n">
        <x:v>0.5</x:v>
      </x:c>
      <x:c r="H122" s="12" t="n">
        <x:v>0.74</x:v>
      </x:c>
      <x:c r="I122" s="12" t="n">
        <x:v>0.05</x:v>
      </x:c>
      <x:c r="J122" s="12" t="n">
        <x:v>17</x:v>
      </x:c>
      <x:c r="K122" s="12" t="n">
        <x:v>40</x:v>
      </x:c>
      <x:c r="L122" s="16" t="n">
        <x:v>0.8428849780028093</x:v>
      </x:c>
      <x:c r="M122" s="16" t="n">
        <x:v>0.8672597598256709</x:v>
      </x:c>
      <x:c r="N122" s="12" t="n">
        <x:v>3.044739113564324</x:v>
      </x:c>
      <x:c r="O122" s="16" t="n">
        <x:v>0.008771424911537649</x:v>
      </x:c>
      <x:c r="P122" s="12" t="n">
        <x:v>93.97194221773424</x:v>
      </x:c>
      <x:c r="Q122" s="12" t="n">
        <x:f>G122+H122</x:f>
        <x:v>1.24</x:v>
      </x:c>
    </x:row>
    <x:row r="123">
      <x:c r="A123" s="12" t="str">
        <x:v>SRV-0122</x:v>
      </x:c>
      <x:c r="B123" s="14" t="n">
        <x:v>46204</x:v>
      </x:c>
      <x:c r="C123" s="12" t="str">
        <x:v>DLR-009</x:v>
      </x:c>
      <x:c r="D123" s="12" t="str">
        <x:v>VinFast HTA Đông Anh</x:v>
      </x:c>
      <x:c r="E123" s="12" t="str">
        <x:v>VinFast</x:v>
      </x:c>
      <x:c r="F123" s="12" t="n">
        <x:v>735</x:v>
      </x:c>
      <x:c r="G123" s="12" t="n">
        <x:v>0.85</x:v>
      </x:c>
      <x:c r="H123" s="12" t="n">
        <x:v>1.92</x:v>
      </x:c>
      <x:c r="I123" s="12" t="n">
        <x:v>0.25</x:v>
      </x:c>
      <x:c r="J123" s="12" t="n">
        <x:v>16</x:v>
      </x:c>
      <x:c r="K123" s="12" t="n">
        <x:v>40</x:v>
      </x:c>
      <x:c r="L123" s="16" t="n">
        <x:v>0.7151298760777786</x:v>
      </x:c>
      <x:c r="M123" s="16" t="n">
        <x:v>1.1614550075765269</x:v>
      </x:c>
      <x:c r="N123" s="12" t="n">
        <x:v>2.3864326506069347</x:v>
      </x:c>
      <x:c r="O123" s="16" t="n">
        <x:v>0.02395243501763622</x:v>
      </x:c>
      <x:c r="P123" s="12" t="n">
        <x:v>92.10889078437856</x:v>
      </x:c>
      <x:c r="Q123" s="12" t="n">
        <x:f>G123+H123</x:f>
        <x:v>2.77</x:v>
      </x:c>
    </x:row>
    <x:row r="124">
      <x:c r="A124" s="12" t="str">
        <x:v>SRV-0123</x:v>
      </x:c>
      <x:c r="B124" s="14" t="n">
        <x:v>46204</x:v>
      </x:c>
      <x:c r="C124" s="12" t="str">
        <x:v>DLR-010</x:v>
      </x:c>
      <x:c r="D124" s="12" t="str">
        <x:v>VinFast HTA Đàm Quang Trung</x:v>
      </x:c>
      <x:c r="E124" s="12" t="str">
        <x:v>VinFast</x:v>
      </x:c>
      <x:c r="F124" s="12" t="n">
        <x:v>469</x:v>
      </x:c>
      <x:c r="G124" s="12" t="n">
        <x:v>0.75</x:v>
      </x:c>
      <x:c r="H124" s="12" t="n">
        <x:v>1.19</x:v>
      </x:c>
      <x:c r="I124" s="12" t="n">
        <x:v>0.13</x:v>
      </x:c>
      <x:c r="J124" s="12" t="n">
        <x:v>17</x:v>
      </x:c>
      <x:c r="K124" s="12" t="n">
        <x:v>34</x:v>
      </x:c>
      <x:c r="L124" s="16" t="n">
        <x:v>0.8052294375025757</x:v>
      </x:c>
      <x:c r="M124" s="16" t="n">
        <x:v>0.9017662400729566</x:v>
      </x:c>
      <x:c r="N124" s="12" t="n">
        <x:v>1.397018849641775</x:v>
      </x:c>
      <x:c r="O124" s="16" t="n">
        <x:v>0.016312441005380075</x:v>
      </x:c>
      <x:c r="P124" s="12" t="n">
        <x:v>91.70983425034778</x:v>
      </x:c>
      <x:c r="Q124" s="12" t="n">
        <x:f>G124+H124</x:f>
        <x:v>1.94</x:v>
      </x:c>
    </x:row>
    <x:row r="125">
      <x:c r="A125" s="12" t="str">
        <x:v>SRV-0124</x:v>
      </x:c>
      <x:c r="B125" s="14" t="n">
        <x:v>46204</x:v>
      </x:c>
      <x:c r="C125" s="12" t="str">
        <x:v>DLR-011</x:v>
      </x:c>
      <x:c r="D125" s="12" t="str">
        <x:v>VinFast HTA Phạm Văn Đồng</x:v>
      </x:c>
      <x:c r="E125" s="12" t="str">
        <x:v>VinFast</x:v>
      </x:c>
      <x:c r="F125" s="12" t="n">
        <x:v>303</x:v>
      </x:c>
      <x:c r="G125" s="12" t="n">
        <x:v>0.28</x:v>
      </x:c>
      <x:c r="H125" s="12" t="n">
        <x:v>0.81</x:v>
      </x:c>
      <x:c r="I125" s="12" t="n">
        <x:v>0.09</x:v>
      </x:c>
      <x:c r="J125" s="12" t="n">
        <x:v>12</x:v>
      </x:c>
      <x:c r="K125" s="12" t="n">
        <x:v>34</x:v>
      </x:c>
      <x:c r="L125" s="16" t="n">
        <x:v>0.7545581846087536</x:v>
      </x:c>
      <x:c r="M125" s="16" t="n">
        <x:v>1.0126355996951024</x:v>
      </x:c>
      <x:c r="N125" s="12" t="n">
        <x:v>2.7130939202650968</x:v>
      </x:c>
      <x:c r="O125" s="16" t="n">
        <x:v>0.021282154661177492</x:v>
      </x:c>
      <x:c r="P125" s="12" t="n">
        <x:v>94.79925430784824</x:v>
      </x:c>
      <x:c r="Q125" s="12" t="n">
        <x:f>G125+H125</x:f>
        <x:v>1.09</x:v>
      </x:c>
    </x:row>
    <x:row r="126">
      <x:c r="A126" s="12" t="str">
        <x:v>SRV-0125</x:v>
      </x:c>
      <x:c r="B126" s="14" t="n">
        <x:v>46204</x:v>
      </x:c>
      <x:c r="C126" s="12" t="str">
        <x:v>DLR-012</x:v>
      </x:c>
      <x:c r="D126" s="12" t="str">
        <x:v>VinFast HTA Võ Chí Công</x:v>
      </x:c>
      <x:c r="E126" s="12" t="str">
        <x:v>VinFast</x:v>
      </x:c>
      <x:c r="F126" s="12" t="n">
        <x:v>466</x:v>
      </x:c>
      <x:c r="G126" s="12" t="n">
        <x:v>0.7</x:v>
      </x:c>
      <x:c r="H126" s="12" t="n">
        <x:v>1.47</x:v>
      </x:c>
      <x:c r="I126" s="12" t="n">
        <x:v>0.12</x:v>
      </x:c>
      <x:c r="J126" s="12" t="n">
        <x:v>8</x:v>
      </x:c>
      <x:c r="K126" s="12" t="n">
        <x:v>35</x:v>
      </x:c>
      <x:c r="L126" s="16" t="n">
        <x:v>0.7290284546244988</x:v>
      </x:c>
      <x:c r="M126" s="16" t="n">
        <x:v>1.1375783446565237</x:v>
      </x:c>
      <x:c r="N126" s="12" t="n">
        <x:v>2.1616340061162007</x:v>
      </x:c>
      <x:c r="O126" s="16" t="n">
        <x:v>0.01474719517982212</x:v>
      </x:c>
      <x:c r="P126" s="12" t="n">
        <x:v>94.43444184686288</x:v>
      </x:c>
      <x:c r="Q126" s="12" t="n">
        <x:f>G126+H126</x:f>
        <x:v>2.17</x:v>
      </x:c>
    </x:row>
    <x:row r="127">
      <x:c r="A127" s="12" t="str">
        <x:v>SRV-0126</x:v>
      </x:c>
      <x:c r="B127" s="14" t="n">
        <x:v>46204</x:v>
      </x:c>
      <x:c r="C127" s="12" t="str">
        <x:v>DLR-013</x:v>
      </x:c>
      <x:c r="D127" s="12" t="str">
        <x:v>VinFast HTA Ninh Bình</x:v>
      </x:c>
      <x:c r="E127" s="12" t="str">
        <x:v>VinFast</x:v>
      </x:c>
      <x:c r="F127" s="12" t="n">
        <x:v>507</x:v>
      </x:c>
      <x:c r="G127" s="12" t="n">
        <x:v>0.79</x:v>
      </x:c>
      <x:c r="H127" s="12" t="n">
        <x:v>1.1</x:v>
      </x:c>
      <x:c r="I127" s="12" t="n">
        <x:v>0.07</x:v>
      </x:c>
      <x:c r="J127" s="12" t="n">
        <x:v>15</x:v>
      </x:c>
      <x:c r="K127" s="12" t="n">
        <x:v>45</x:v>
      </x:c>
      <x:c r="L127" s="16" t="n">
        <x:v>0.8787799564599197</x:v>
      </x:c>
      <x:c r="M127" s="16" t="n">
        <x:v>1.1475835852381424</x:v>
      </x:c>
      <x:c r="N127" s="12" t="n">
        <x:v>2.9766648689406665</x:v>
      </x:c>
      <x:c r="O127" s="16" t="n">
        <x:v>0.026485287840220022</x:v>
      </x:c>
      <x:c r="P127" s="12" t="n">
        <x:v>90.56209169206107</x:v>
      </x:c>
      <x:c r="Q127" s="12" t="n">
        <x:f>G127+H127</x:f>
        <x:v>1.8900000000000001</x:v>
      </x:c>
    </x:row>
    <x:row r="128">
      <x:c r="A128" s="12" t="str">
        <x:v>SRV-0127</x:v>
      </x:c>
      <x:c r="B128" s="14" t="n">
        <x:v>46204</x:v>
      </x:c>
      <x:c r="C128" s="12" t="str">
        <x:v>DLR-014</x:v>
      </x:c>
      <x:c r="D128" s="12" t="str">
        <x:v>VinFast HTA Nam Từ Liêm</x:v>
      </x:c>
      <x:c r="E128" s="12" t="str">
        <x:v>VinFast</x:v>
      </x:c>
      <x:c r="F128" s="12" t="n">
        <x:v>433</x:v>
      </x:c>
      <x:c r="G128" s="12" t="n">
        <x:v>0.67</x:v>
      </x:c>
      <x:c r="H128" s="12" t="n">
        <x:v>1.08</x:v>
      </x:c>
      <x:c r="I128" s="12" t="n">
        <x:v>0.14</x:v>
      </x:c>
      <x:c r="J128" s="12" t="n">
        <x:v>13</x:v>
      </x:c>
      <x:c r="K128" s="12" t="n">
        <x:v>20</x:v>
      </x:c>
      <x:c r="L128" s="16" t="n">
        <x:v>0.7552947778157343</x:v>
      </x:c>
      <x:c r="M128" s="16" t="n">
        <x:v>1.0492813754374049</x:v>
      </x:c>
      <x:c r="N128" s="12" t="n">
        <x:v>2.559004710585534</x:v>
      </x:c>
      <x:c r="O128" s="16" t="n">
        <x:v>0.01534762152219385</x:v>
      </x:c>
      <x:c r="P128" s="12" t="n">
        <x:v>93.60478402247998</x:v>
      </x:c>
      <x:c r="Q128" s="12" t="n">
        <x:f>G128+H128</x:f>
        <x:v>1.75</x:v>
      </x:c>
    </x:row>
    <x:row r="129">
      <x:c r="A129" s="12" t="str">
        <x:v>SRV-0128</x:v>
      </x:c>
      <x:c r="B129" s="14" t="n">
        <x:v>46204</x:v>
      </x:c>
      <x:c r="C129" s="12" t="str">
        <x:v>DLR-015</x:v>
      </x:c>
      <x:c r="D129" s="12" t="str">
        <x:v>VinFast HTA Văn Phú</x:v>
      </x:c>
      <x:c r="E129" s="12" t="str">
        <x:v>VinFast</x:v>
      </x:c>
      <x:c r="F129" s="12" t="n">
        <x:v>421</x:v>
      </x:c>
      <x:c r="G129" s="12" t="n">
        <x:v>0.39</x:v>
      </x:c>
      <x:c r="H129" s="12" t="n">
        <x:v>0.79</x:v>
      </x:c>
      <x:c r="I129" s="12" t="n">
        <x:v>0.1</x:v>
      </x:c>
      <x:c r="J129" s="12" t="n">
        <x:v>13</x:v>
      </x:c>
      <x:c r="K129" s="12" t="n">
        <x:v>18</x:v>
      </x:c>
      <x:c r="L129" s="16" t="n">
        <x:v>0.7533497797697092</x:v>
      </x:c>
      <x:c r="M129" s="16" t="n">
        <x:v>0.8650141130199323</x:v>
      </x:c>
      <x:c r="N129" s="12" t="n">
        <x:v>2.164516597983506</x:v>
      </x:c>
      <x:c r="O129" s="16" t="n">
        <x:v>0.008221510412438836</x:v>
      </x:c>
      <x:c r="P129" s="12" t="n">
        <x:v>88.81177284833903</x:v>
      </x:c>
      <x:c r="Q129" s="12" t="n">
        <x:f>G129+H129</x:f>
        <x:v>1.1800000000000002</x:v>
      </x:c>
    </x:row>
    <x:row r="130">
      <x:c r="A130" s="12" t="str">
        <x:v>SRV-0129</x:v>
      </x:c>
      <x:c r="B130" s="14" t="n">
        <x:v>46204</x:v>
      </x:c>
      <x:c r="C130" s="12" t="str">
        <x:v>DLR-016</x:v>
      </x:c>
      <x:c r="D130" s="12" t="str">
        <x:v>VinFast HTA Mỹ Đình</x:v>
      </x:c>
      <x:c r="E130" s="12" t="str">
        <x:v>VinFast</x:v>
      </x:c>
      <x:c r="F130" s="12" t="n">
        <x:v>216</x:v>
      </x:c>
      <x:c r="G130" s="12" t="n">
        <x:v>0.23</x:v>
      </x:c>
      <x:c r="H130" s="12" t="n">
        <x:v>0.54</x:v>
      </x:c>
      <x:c r="I130" s="12" t="n">
        <x:v>0.06</x:v>
      </x:c>
      <x:c r="J130" s="12" t="n">
        <x:v>23</x:v>
      </x:c>
      <x:c r="K130" s="12" t="n">
        <x:v>35</x:v>
      </x:c>
      <x:c r="L130" s="16" t="n">
        <x:v>0.8005579614728916</x:v>
      </x:c>
      <x:c r="M130" s="16" t="n">
        <x:v>1.1049128971355062</x:v>
      </x:c>
      <x:c r="N130" s="12" t="n">
        <x:v>1.9265470234788267</x:v>
      </x:c>
      <x:c r="O130" s="16" t="n">
        <x:v>0.030775750080238123</x:v>
      </x:c>
      <x:c r="P130" s="12" t="n">
        <x:v>96.56479637559347</x:v>
      </x:c>
      <x:c r="Q130" s="12" t="n">
        <x:f>G130+H130</x:f>
        <x:v>0.77</x:v>
      </x:c>
    </x:row>
    <x:row r="131">
      <x:c r="A131" s="12" t="str">
        <x:v>SRV-0130</x:v>
      </x:c>
      <x:c r="B131" s="14" t="n">
        <x:v>46204</x:v>
      </x:c>
      <x:c r="C131" s="12" t="str">
        <x:v>DLR-017</x:v>
      </x:c>
      <x:c r="D131" s="12" t="str">
        <x:v>VinFast Quốc Oai</x:v>
      </x:c>
      <x:c r="E131" s="12" t="str">
        <x:v>VinFast</x:v>
      </x:c>
      <x:c r="F131" s="12" t="n">
        <x:v>295</x:v>
      </x:c>
      <x:c r="G131" s="12" t="n">
        <x:v>0.45</x:v>
      </x:c>
      <x:c r="H131" s="12" t="n">
        <x:v>0.57</x:v>
      </x:c>
      <x:c r="I131" s="12" t="n">
        <x:v>0.07</x:v>
      </x:c>
      <x:c r="J131" s="12" t="n">
        <x:v>14</x:v>
      </x:c>
      <x:c r="K131" s="12" t="n">
        <x:v>28</x:v>
      </x:c>
      <x:c r="L131" s="16" t="n">
        <x:v>0.8924851882398883</x:v>
      </x:c>
      <x:c r="M131" s="16" t="n">
        <x:v>1.1181707370619591</x:v>
      </x:c>
      <x:c r="N131" s="12" t="n">
        <x:v>1.4683154236086957</x:v>
      </x:c>
      <x:c r="O131" s="16" t="n">
        <x:v>0.028739933112982126</x:v>
      </x:c>
      <x:c r="P131" s="12" t="n">
        <x:v>90.2406612445651</x:v>
      </x:c>
      <x:c r="Q131" s="12" t="n">
        <x:f>G131+H131</x:f>
        <x:v>1.02</x:v>
      </x:c>
    </x:row>
    <x:row r="132">
      <x:c r="A132" s="12" t="str">
        <x:v>SRV-0131</x:v>
      </x:c>
      <x:c r="B132" s="14" t="n">
        <x:v>46204</x:v>
      </x:c>
      <x:c r="C132" s="12" t="str">
        <x:v>DLR-018</x:v>
      </x:c>
      <x:c r="D132" s="12" t="str">
        <x:v>OMODA &amp; JAECOO HTA Nam Từ Liêm</x:v>
      </x:c>
      <x:c r="E132" s="12" t="str">
        <x:v>OMODA &amp; JAECOO</x:v>
      </x:c>
      <x:c r="F132" s="12" t="n">
        <x:v>631</x:v>
      </x:c>
      <x:c r="G132" s="12" t="n">
        <x:v>0.79</x:v>
      </x:c>
      <x:c r="H132" s="12" t="n">
        <x:v>1.93</x:v>
      </x:c>
      <x:c r="I132" s="12" t="n">
        <x:v>0.08</x:v>
      </x:c>
      <x:c r="J132" s="12" t="n">
        <x:v>22</x:v>
      </x:c>
      <x:c r="K132" s="12" t="n">
        <x:v>18</x:v>
      </x:c>
      <x:c r="L132" s="16" t="n">
        <x:v>0.8154961712148938</x:v>
      </x:c>
      <x:c r="M132" s="16" t="n">
        <x:v>1.173561706506021</x:v>
      </x:c>
      <x:c r="N132" s="12" t="n">
        <x:v>2.2402161989813334</x:v>
      </x:c>
      <x:c r="O132" s="16" t="n">
        <x:v>0.026398942641562038</x:v>
      </x:c>
      <x:c r="P132" s="12" t="n">
        <x:v>90.80898429025663</x:v>
      </x:c>
      <x:c r="Q132" s="12" t="n">
        <x:f>G132+H132</x:f>
        <x:v>2.7199999999999998</x:v>
      </x:c>
    </x:row>
    <x:row r="133">
      <x:c r="A133" s="12" t="str">
        <x:v>SRV-0132</x:v>
      </x:c>
      <x:c r="B133" s="14" t="n">
        <x:v>46204</x:v>
      </x:c>
      <x:c r="C133" s="12" t="str">
        <x:v>DLR-019</x:v>
      </x:c>
      <x:c r="D133" s="12" t="str">
        <x:v>OMODA &amp; JAECOO HTA Việt Trì</x:v>
      </x:c>
      <x:c r="E133" s="12" t="str">
        <x:v>OMODA &amp; JAECOO</x:v>
      </x:c>
      <x:c r="F133" s="12" t="n">
        <x:v>490</x:v>
      </x:c>
      <x:c r="G133" s="12" t="n">
        <x:v>0.69</x:v>
      </x:c>
      <x:c r="H133" s="12" t="n">
        <x:v>0.92</x:v>
      </x:c>
      <x:c r="I133" s="12" t="n">
        <x:v>0.16</x:v>
      </x:c>
      <x:c r="J133" s="12" t="n">
        <x:v>24</x:v>
      </x:c>
      <x:c r="K133" s="12" t="n">
        <x:v>19</x:v>
      </x:c>
      <x:c r="L133" s="16" t="n">
        <x:v>0.7458613124871232</x:v>
      </x:c>
      <x:c r="M133" s="16" t="n">
        <x:v>1.0498672043351285</x:v>
      </x:c>
      <x:c r="N133" s="12" t="n">
        <x:v>1.6371919899652796</x:v>
      </x:c>
      <x:c r="O133" s="16" t="n">
        <x:v>0.03196302855317565</x:v>
      </x:c>
      <x:c r="P133" s="12" t="n">
        <x:v>95.77291899174641</x:v>
      </x:c>
      <x:c r="Q133" s="12" t="n">
        <x:f>G133+H133</x:f>
        <x:v>1.6099999999999999</x:v>
      </x:c>
    </x:row>
    <x:row r="134">
      <x:c r="A134" s="12" t="str">
        <x:v>SRV-0133</x:v>
      </x:c>
      <x:c r="B134" s="14" t="n">
        <x:v>46204</x:v>
      </x:c>
      <x:c r="C134" s="12" t="str">
        <x:v>DLR-020</x:v>
      </x:c>
      <x:c r="D134" s="12" t="str">
        <x:v>Wuling HTA Long Biên</x:v>
      </x:c>
      <x:c r="E134" s="12" t="str">
        <x:v>Wuling</x:v>
      </x:c>
      <x:c r="F134" s="12" t="n">
        <x:v>451</x:v>
      </x:c>
      <x:c r="G134" s="12" t="n">
        <x:v>0.45</x:v>
      </x:c>
      <x:c r="H134" s="12" t="n">
        <x:v>1.3</x:v>
      </x:c>
      <x:c r="I134" s="12" t="n">
        <x:v>0.09</x:v>
      </x:c>
      <x:c r="J134" s="12" t="n">
        <x:v>13</x:v>
      </x:c>
      <x:c r="K134" s="12" t="n">
        <x:v>29</x:v>
      </x:c>
      <x:c r="L134" s="16" t="n">
        <x:v>0.8320211836033232</x:v>
      </x:c>
      <x:c r="M134" s="16" t="n">
        <x:v>0.9624909881062191</x:v>
      </x:c>
      <x:c r="N134" s="12" t="n">
        <x:v>1.73479653313492</x:v>
      </x:c>
      <x:c r="O134" s="16" t="n">
        <x:v>0.03415854309598969</x:v>
      </x:c>
      <x:c r="P134" s="12" t="n">
        <x:v>93.22969320454655</x:v>
      </x:c>
      <x:c r="Q134" s="12" t="n">
        <x:f>G134+H134</x:f>
        <x:v>1.75</x:v>
      </x:c>
    </x:row>
  </x:sheetData>
  <x:pageMargins left="0.7" right="0.7" top="0.75" bottom="0.75" header="0.3" footer="0.3"/>
  <x:tableParts count="1">
    <x:tablePart xmlns:r="http://schemas.openxmlformats.org/officeDocument/2006/relationships" r:id="R24e76c8a09b94f5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34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</x:cols>
  <x:sheetData>
    <x:row r="1">
      <x:c r="A1" s="6" t="str">
        <x:v>Mã báo cáo</x:v>
      </x:c>
      <x:c r="B1" s="6" t="str">
        <x:v>Ngày báo cáo</x:v>
      </x:c>
      <x:c r="C1" s="6" t="str">
        <x:v>Mã đại lý</x:v>
      </x:c>
      <x:c r="D1" s="6" t="str">
        <x:v>Đại lý</x:v>
      </x:c>
      <x:c r="E1" s="6" t="str">
        <x:v>Thương hiệu</x:v>
      </x:c>
      <x:c r="F1" s="6" t="str">
        <x:v>Tồn đầu kỳ (tỷ)</x:v>
      </x:c>
      <x:c r="G1" s="6" t="str">
        <x:v>Nhập trong kỳ (tỷ)</x:v>
      </x:c>
      <x:c r="H1" s="6" t="str">
        <x:v>Xuất trong kỳ (tỷ)</x:v>
      </x:c>
      <x:c r="I1" s="6" t="str">
        <x:v>Tồn cuối kỳ (tỷ)</x:v>
      </x:c>
      <x:c r="J1" s="6" t="str">
        <x:v>Vòng quay năm hóa</x:v>
      </x:c>
      <x:c r="K1" s="6" t="str">
        <x:v>Tỷ lệ chậm luân chuyển</x:v>
      </x:c>
    </x:row>
    <x:row r="2">
      <x:c r="A2" s="12" t="str">
        <x:v>PART-001</x:v>
      </x:c>
      <x:c r="B2" s="18" t="n">
        <x:v>46234</x:v>
      </x:c>
      <x:c r="C2" s="12" t="str">
        <x:v>DLR-001</x:v>
      </x:c>
      <x:c r="D2" s="12" t="str">
        <x:v>Hà Thành Ford</x:v>
      </x:c>
      <x:c r="E2" s="12" t="str">
        <x:v>Ford</x:v>
      </x:c>
      <x:c r="F2" s="12" t="n">
        <x:v>27.89</x:v>
      </x:c>
      <x:c r="G2" s="12" t="n">
        <x:v>19.01</x:v>
      </x:c>
      <x:c r="H2" s="12" t="n">
        <x:v>11.48</x:v>
      </x:c>
      <x:c r="I2" s="12" t="n">
        <x:v>35.42</x:v>
      </x:c>
      <x:c r="J2" s="12" t="n">
        <x:f>IFERROR(H2/AVERAGE(F2,I2)*12,0)</x:f>
        <x:v>4.351919128099826</x:v>
      </x:c>
      <x:c r="K2" s="16" t="n">
        <x:v>0.04583188000007865</x:v>
      </x:c>
    </x:row>
    <x:row r="3">
      <x:c r="A3" s="12" t="str">
        <x:v>PART-002</x:v>
      </x:c>
      <x:c r="B3" s="18" t="n">
        <x:v>46234</x:v>
      </x:c>
      <x:c r="C3" s="12" t="str">
        <x:v>DLR-002</x:v>
      </x:c>
      <x:c r="D3" s="12" t="str">
        <x:v>Hà Thành Ford - Mỹ Đình</x:v>
      </x:c>
      <x:c r="E3" s="12" t="str">
        <x:v>Ford</x:v>
      </x:c>
      <x:c r="F3" s="12" t="n">
        <x:v>17.72</x:v>
      </x:c>
      <x:c r="G3" s="12" t="n">
        <x:v>16</x:v>
      </x:c>
      <x:c r="H3" s="12" t="n">
        <x:v>19.98</x:v>
      </x:c>
      <x:c r="I3" s="12" t="n">
        <x:v>13.74</x:v>
      </x:c>
      <x:c r="J3" s="12" t="n">
        <x:f>IFERROR(H3/AVERAGE(F3,I3)*12,0)</x:f>
        <x:v>15.242212333121424</x:v>
      </x:c>
      <x:c r="K3" s="16" t="n">
        <x:v>0.028536883870020145</x:v>
      </x:c>
    </x:row>
    <x:row r="4">
      <x:c r="A4" s="12" t="str">
        <x:v>PART-003</x:v>
      </x:c>
      <x:c r="B4" s="18" t="n">
        <x:v>46234</x:v>
      </x:c>
      <x:c r="C4" s="12" t="str">
        <x:v>DLR-003</x:v>
      </x:c>
      <x:c r="D4" s="12" t="str">
        <x:v>Mỹ Đình Ford</x:v>
      </x:c>
      <x:c r="E4" s="12" t="str">
        <x:v>Ford</x:v>
      </x:c>
      <x:c r="F4" s="12" t="n">
        <x:v>34.3</x:v>
      </x:c>
      <x:c r="G4" s="12" t="n">
        <x:v>20.15</x:v>
      </x:c>
      <x:c r="H4" s="12" t="n">
        <x:v>9.96</x:v>
      </x:c>
      <x:c r="I4" s="12" t="n">
        <x:v>44.49</x:v>
      </x:c>
      <x:c r="J4" s="12" t="n">
        <x:f>IFERROR(H4/AVERAGE(F4,I4)*12,0)</x:f>
        <x:v>3.033887549181369</x:v>
      </x:c>
      <x:c r="K4" s="16" t="n">
        <x:v>0.029220707012586264</x:v>
      </x:c>
    </x:row>
    <x:row r="5">
      <x:c r="A5" s="12" t="str">
        <x:v>PART-004</x:v>
      </x:c>
      <x:c r="B5" s="18" t="n">
        <x:v>46234</x:v>
      </x:c>
      <x:c r="C5" s="12" t="str">
        <x:v>DLR-004</x:v>
      </x:c>
      <x:c r="D5" s="12" t="str">
        <x:v>Việt Trì Ford</x:v>
      </x:c>
      <x:c r="E5" s="12" t="str">
        <x:v>Ford</x:v>
      </x:c>
      <x:c r="F5" s="12" t="n">
        <x:v>15.54</x:v>
      </x:c>
      <x:c r="G5" s="12" t="n">
        <x:v>16.58</x:v>
      </x:c>
      <x:c r="H5" s="12" t="n">
        <x:v>10.72</x:v>
      </x:c>
      <x:c r="I5" s="12" t="n">
        <x:v>21.4</x:v>
      </x:c>
      <x:c r="J5" s="12" t="n">
        <x:f>IFERROR(H5/AVERAGE(F5,I5)*12,0)</x:f>
        <x:v>6.964807796426639</x:v>
      </x:c>
      <x:c r="K5" s="16" t="n">
        <x:v>0.034513715276919196</x:v>
      </x:c>
    </x:row>
    <x:row r="6">
      <x:c r="A6" s="12" t="str">
        <x:v>PART-005</x:v>
      </x:c>
      <x:c r="B6" s="18" t="n">
        <x:v>46234</x:v>
      </x:c>
      <x:c r="C6" s="12" t="str">
        <x:v>DLR-005</x:v>
      </x:c>
      <x:c r="D6" s="12" t="str">
        <x:v>BYD HTA Tây Hồ</x:v>
      </x:c>
      <x:c r="E6" s="12" t="str">
        <x:v>BYD</x:v>
      </x:c>
      <x:c r="F6" s="12" t="n">
        <x:v>19.29</x:v>
      </x:c>
      <x:c r="G6" s="12" t="n">
        <x:v>16.93</x:v>
      </x:c>
      <x:c r="H6" s="12" t="n">
        <x:v>19.31</x:v>
      </x:c>
      <x:c r="I6" s="12" t="n">
        <x:v>16.9</x:v>
      </x:c>
      <x:c r="J6" s="12" t="n">
        <x:f>IFERROR(H6/AVERAGE(F6,I6)*12,0)</x:f>
        <x:v>12.805747444045316</x:v>
      </x:c>
      <x:c r="K6" s="16" t="n">
        <x:v>0.028892709554888416</x:v>
      </x:c>
    </x:row>
    <x:row r="7">
      <x:c r="A7" s="12" t="str">
        <x:v>PART-007</x:v>
      </x:c>
      <x:c r="B7" s="18" t="n">
        <x:v>46234</x:v>
      </x:c>
      <x:c r="C7" s="12" t="str">
        <x:v>DLR-007</x:v>
      </x:c>
      <x:c r="D7" s="12" t="str">
        <x:v>BYD Hà Đông</x:v>
      </x:c>
      <x:c r="E7" s="12" t="str">
        <x:v>BYD</x:v>
      </x:c>
      <x:c r="F7" s="12" t="n">
        <x:v>32.51</x:v>
      </x:c>
      <x:c r="G7" s="12" t="n">
        <x:v>19.73</x:v>
      </x:c>
      <x:c r="H7" s="12" t="n">
        <x:v>9.34</x:v>
      </x:c>
      <x:c r="I7" s="12" t="n">
        <x:v>42.9</x:v>
      </x:c>
      <x:c r="J7" s="12" t="n">
        <x:f>IFERROR(H7/AVERAGE(F7,I7)*12,0)</x:f>
        <x:v>2.9725500596737833</x:v>
      </x:c>
      <x:c r="K7" s="16" t="n">
        <x:v>0.03011075745766386</x:v>
      </x:c>
    </x:row>
    <x:row r="8">
      <x:c r="A8" s="12" t="str">
        <x:v>PART-008</x:v>
      </x:c>
      <x:c r="B8" s="18" t="n">
        <x:v>46234</x:v>
      </x:c>
      <x:c r="C8" s="12" t="str">
        <x:v>DLR-008</x:v>
      </x:c>
      <x:c r="D8" s="12" t="str">
        <x:v>VinFast HTA Nguyễn Văn Linh</x:v>
      </x:c>
      <x:c r="E8" s="12" t="str">
        <x:v>VinFast</x:v>
      </x:c>
      <x:c r="F8" s="12" t="n">
        <x:v>28.66</x:v>
      </x:c>
      <x:c r="G8" s="12" t="n">
        <x:v>12.01</x:v>
      </x:c>
      <x:c r="H8" s="12" t="n">
        <x:v>9.63</x:v>
      </x:c>
      <x:c r="I8" s="12" t="n">
        <x:v>31.04</x:v>
      </x:c>
      <x:c r="J8" s="12" t="n">
        <x:f>IFERROR(H8/AVERAGE(F8,I8)*12,0)</x:f>
        <x:v>3.871356783919598</x:v>
      </x:c>
      <x:c r="K8" s="16" t="n">
        <x:v>0.043265039157122376</x:v>
      </x:c>
    </x:row>
    <x:row r="9">
      <x:c r="A9" s="12" t="str">
        <x:v>PART-009</x:v>
      </x:c>
      <x:c r="B9" s="18" t="n">
        <x:v>46234</x:v>
      </x:c>
      <x:c r="C9" s="12" t="str">
        <x:v>DLR-009</x:v>
      </x:c>
      <x:c r="D9" s="12" t="str">
        <x:v>VinFast HTA Đông Anh</x:v>
      </x:c>
      <x:c r="E9" s="12" t="str">
        <x:v>VinFast</x:v>
      </x:c>
      <x:c r="F9" s="12" t="n">
        <x:v>24.86</x:v>
      </x:c>
      <x:c r="G9" s="12" t="n">
        <x:v>16.68</x:v>
      </x:c>
      <x:c r="H9" s="12" t="n">
        <x:v>16.84</x:v>
      </x:c>
      <x:c r="I9" s="12" t="n">
        <x:v>24.7</x:v>
      </x:c>
      <x:c r="J9" s="12" t="n">
        <x:f>IFERROR(H9/AVERAGE(F9,I9)*12,0)</x:f>
        <x:v>8.154963680387409</x:v>
      </x:c>
      <x:c r="K9" s="16" t="n">
        <x:v>0.03766806935865483</x:v>
      </x:c>
    </x:row>
    <x:row r="10">
      <x:c r="A10" s="12" t="str">
        <x:v>PART-010</x:v>
      </x:c>
      <x:c r="B10" s="18" t="n">
        <x:v>46234</x:v>
      </x:c>
      <x:c r="C10" s="12" t="str">
        <x:v>DLR-010</x:v>
      </x:c>
      <x:c r="D10" s="12" t="str">
        <x:v>VinFast HTA Đàm Quang Trung</x:v>
      </x:c>
      <x:c r="E10" s="12" t="str">
        <x:v>VinFast</x:v>
      </x:c>
      <x:c r="F10" s="12" t="n">
        <x:v>24.5</x:v>
      </x:c>
      <x:c r="G10" s="12" t="n">
        <x:v>13.18</x:v>
      </x:c>
      <x:c r="H10" s="12" t="n">
        <x:v>16.49</x:v>
      </x:c>
      <x:c r="I10" s="12" t="n">
        <x:v>21.19</x:v>
      </x:c>
      <x:c r="J10" s="12" t="n">
        <x:f>IFERROR(H10/AVERAGE(F10,I10)*12,0)</x:f>
        <x:v>8.661851608667103</x:v>
      </x:c>
      <x:c r="K10" s="16" t="n">
        <x:v>0.04970647359828639</x:v>
      </x:c>
    </x:row>
    <x:row r="11">
      <x:c r="A11" s="12" t="str">
        <x:v>PART-011</x:v>
      </x:c>
      <x:c r="B11" s="18" t="n">
        <x:v>46234</x:v>
      </x:c>
      <x:c r="C11" s="12" t="str">
        <x:v>DLR-011</x:v>
      </x:c>
      <x:c r="D11" s="12" t="str">
        <x:v>VinFast HTA Phạm Văn Đồng</x:v>
      </x:c>
      <x:c r="E11" s="12" t="str">
        <x:v>VinFast</x:v>
      </x:c>
      <x:c r="F11" s="12" t="n">
        <x:v>25.77</x:v>
      </x:c>
      <x:c r="G11" s="12" t="n">
        <x:v>21.77</x:v>
      </x:c>
      <x:c r="H11" s="12" t="n">
        <x:v>11.57</x:v>
      </x:c>
      <x:c r="I11" s="12" t="n">
        <x:v>35.97</x:v>
      </x:c>
      <x:c r="J11" s="12" t="n">
        <x:f>IFERROR(H11/AVERAGE(F11,I11)*12,0)</x:f>
        <x:v>4.497570456754131</x:v>
      </x:c>
      <x:c r="K11" s="16" t="n">
        <x:v>0.036245497213311634</x:v>
      </x:c>
    </x:row>
    <x:row r="12">
      <x:c r="A12" s="12" t="str">
        <x:v>PART-012</x:v>
      </x:c>
      <x:c r="B12" s="18" t="n">
        <x:v>46234</x:v>
      </x:c>
      <x:c r="C12" s="12" t="str">
        <x:v>DLR-012</x:v>
      </x:c>
      <x:c r="D12" s="12" t="str">
        <x:v>VinFast HTA Võ Chí Công</x:v>
      </x:c>
      <x:c r="E12" s="12" t="str">
        <x:v>VinFast</x:v>
      </x:c>
      <x:c r="F12" s="12" t="n">
        <x:v>22.34</x:v>
      </x:c>
      <x:c r="G12" s="12" t="n">
        <x:v>21.11</x:v>
      </x:c>
      <x:c r="H12" s="12" t="n">
        <x:v>17.67</x:v>
      </x:c>
      <x:c r="I12" s="12" t="n">
        <x:v>25.78</x:v>
      </x:c>
      <x:c r="J12" s="12" t="n">
        <x:f>IFERROR(H12/AVERAGE(F12,I12)*12,0)</x:f>
        <x:v>8.812967581047381</x:v>
      </x:c>
      <x:c r="K12" s="16" t="n">
        <x:v>0.03316315919182295</x:v>
      </x:c>
    </x:row>
    <x:row r="13">
      <x:c r="A13" s="12" t="str">
        <x:v>PART-013</x:v>
      </x:c>
      <x:c r="B13" s="18" t="n">
        <x:v>46234</x:v>
      </x:c>
      <x:c r="C13" s="12" t="str">
        <x:v>DLR-013</x:v>
      </x:c>
      <x:c r="D13" s="12" t="str">
        <x:v>VinFast HTA Ninh Bình</x:v>
      </x:c>
      <x:c r="E13" s="12" t="str">
        <x:v>VinFast</x:v>
      </x:c>
      <x:c r="F13" s="12" t="n">
        <x:v>29.85</x:v>
      </x:c>
      <x:c r="G13" s="12" t="n">
        <x:v>16.1</x:v>
      </x:c>
      <x:c r="H13" s="12" t="n">
        <x:v>20.74</x:v>
      </x:c>
      <x:c r="I13" s="12" t="n">
        <x:v>25.2</x:v>
      </x:c>
      <x:c r="J13" s="12" t="n">
        <x:f>IFERROR(H13/AVERAGE(F13,I13)*12,0)</x:f>
        <x:v>9.041961852861036</x:v>
      </x:c>
      <x:c r="K13" s="16" t="n">
        <x:v>0.05031729490122791</x:v>
      </x:c>
    </x:row>
    <x:row r="14">
      <x:c r="A14" s="12" t="str">
        <x:v>PART-014</x:v>
      </x:c>
      <x:c r="B14" s="18" t="n">
        <x:v>46234</x:v>
      </x:c>
      <x:c r="C14" s="12" t="str">
        <x:v>DLR-014</x:v>
      </x:c>
      <x:c r="D14" s="12" t="str">
        <x:v>VinFast HTA Nam Từ Liêm</x:v>
      </x:c>
      <x:c r="E14" s="12" t="str">
        <x:v>VinFast</x:v>
      </x:c>
      <x:c r="F14" s="12" t="n">
        <x:v>26.25</x:v>
      </x:c>
      <x:c r="G14" s="12" t="n">
        <x:v>13.83</x:v>
      </x:c>
      <x:c r="H14" s="12" t="n">
        <x:v>18.92</x:v>
      </x:c>
      <x:c r="I14" s="12" t="n">
        <x:v>21.16</x:v>
      </x:c>
      <x:c r="J14" s="12" t="n">
        <x:f>IFERROR(H14/AVERAGE(F14,I14)*12,0)</x:f>
        <x:v>9.57772621809745</x:v>
      </x:c>
      <x:c r="K14" s="16" t="n">
        <x:v>0.027827763772309888</x:v>
      </x:c>
    </x:row>
    <x:row r="15">
      <x:c r="A15" s="12" t="str">
        <x:v>PART-015</x:v>
      </x:c>
      <x:c r="B15" s="18" t="n">
        <x:v>46234</x:v>
      </x:c>
      <x:c r="C15" s="12" t="str">
        <x:v>DLR-015</x:v>
      </x:c>
      <x:c r="D15" s="12" t="str">
        <x:v>VinFast HTA Văn Phú</x:v>
      </x:c>
      <x:c r="E15" s="12" t="str">
        <x:v>VinFast</x:v>
      </x:c>
      <x:c r="F15" s="12" t="n">
        <x:v>13.46</x:v>
      </x:c>
      <x:c r="G15" s="12" t="n">
        <x:v>23.47</x:v>
      </x:c>
      <x:c r="H15" s="12" t="n">
        <x:v>22.1</x:v>
      </x:c>
      <x:c r="I15" s="12" t="n">
        <x:v>14.83</x:v>
      </x:c>
      <x:c r="J15" s="12" t="n">
        <x:f>IFERROR(H15/AVERAGE(F15,I15)*12,0)</x:f>
        <x:v>18.748674443266175</x:v>
      </x:c>
      <x:c r="K15" s="16" t="n">
        <x:v>0.022594778097888756</x:v>
      </x:c>
    </x:row>
    <x:row r="16">
      <x:c r="A16" s="12" t="str">
        <x:v>PART-016</x:v>
      </x:c>
      <x:c r="B16" s="18" t="n">
        <x:v>46234</x:v>
      </x:c>
      <x:c r="C16" s="12" t="str">
        <x:v>DLR-016</x:v>
      </x:c>
      <x:c r="D16" s="12" t="str">
        <x:v>VinFast HTA Mỹ Đình</x:v>
      </x:c>
      <x:c r="E16" s="12" t="str">
        <x:v>VinFast</x:v>
      </x:c>
      <x:c r="F16" s="12" t="n">
        <x:v>27.71</x:v>
      </x:c>
      <x:c r="G16" s="12" t="n">
        <x:v>20.25</x:v>
      </x:c>
      <x:c r="H16" s="12" t="n">
        <x:v>11.47</x:v>
      </x:c>
      <x:c r="I16" s="12" t="n">
        <x:v>36.5</x:v>
      </x:c>
      <x:c r="J16" s="12" t="n">
        <x:f>IFERROR(H16/AVERAGE(F16,I16)*12,0)</x:f>
        <x:v>4.287182681825261</x:v>
      </x:c>
      <x:c r="K16" s="16" t="n">
        <x:v>0.026325163341343414</x:v>
      </x:c>
    </x:row>
    <x:row r="17">
      <x:c r="A17" s="12" t="str">
        <x:v>PART-017</x:v>
      </x:c>
      <x:c r="B17" s="18" t="n">
        <x:v>46234</x:v>
      </x:c>
      <x:c r="C17" s="12" t="str">
        <x:v>DLR-017</x:v>
      </x:c>
      <x:c r="D17" s="12" t="str">
        <x:v>VinFast Quốc Oai</x:v>
      </x:c>
      <x:c r="E17" s="12" t="str">
        <x:v>VinFast</x:v>
      </x:c>
      <x:c r="F17" s="12" t="n">
        <x:v>21.43</x:v>
      </x:c>
      <x:c r="G17" s="12" t="n">
        <x:v>13.15</x:v>
      </x:c>
      <x:c r="H17" s="12" t="n">
        <x:v>10.54</x:v>
      </x:c>
      <x:c r="I17" s="12" t="n">
        <x:v>24.04</x:v>
      </x:c>
      <x:c r="J17" s="12" t="n">
        <x:f>IFERROR(H17/AVERAGE(F17,I17)*12,0)</x:f>
        <x:v>5.563228502309214</x:v>
      </x:c>
      <x:c r="K17" s="16" t="n">
        <x:v>0.041355641206109475</x:v>
      </x:c>
    </x:row>
    <x:row r="18">
      <x:c r="A18" s="12" t="str">
        <x:v>PART-018</x:v>
      </x:c>
      <x:c r="B18" s="18" t="n">
        <x:v>46234</x:v>
      </x:c>
      <x:c r="C18" s="12" t="str">
        <x:v>DLR-018</x:v>
      </x:c>
      <x:c r="D18" s="12" t="str">
        <x:v>OMODA &amp; JAECOO HTA Nam Từ Liêm</x:v>
      </x:c>
      <x:c r="E18" s="12" t="str">
        <x:v>OMODA &amp; JAECOO</x:v>
      </x:c>
      <x:c r="F18" s="12" t="n">
        <x:v>13.01</x:v>
      </x:c>
      <x:c r="G18" s="12" t="n">
        <x:v>23</x:v>
      </x:c>
      <x:c r="H18" s="12" t="n">
        <x:v>11.86</x:v>
      </x:c>
      <x:c r="I18" s="12" t="n">
        <x:v>24.15</x:v>
      </x:c>
      <x:c r="J18" s="12" t="n">
        <x:f>IFERROR(H18/AVERAGE(F18,I18)*12,0)</x:f>
        <x:v>7.659849300322928</x:v>
      </x:c>
      <x:c r="K18" s="16" t="n">
        <x:v>0.016250950158261963</x:v>
      </x:c>
    </x:row>
    <x:row r="19">
      <x:c r="A19" s="12" t="str">
        <x:v>PART-019</x:v>
      </x:c>
      <x:c r="B19" s="18" t="n">
        <x:v>46234</x:v>
      </x:c>
      <x:c r="C19" s="12" t="str">
        <x:v>DLR-019</x:v>
      </x:c>
      <x:c r="D19" s="12" t="str">
        <x:v>OMODA &amp; JAECOO HTA Việt Trì</x:v>
      </x:c>
      <x:c r="E19" s="12" t="str">
        <x:v>OMODA &amp; JAECOO</x:v>
      </x:c>
      <x:c r="F19" s="12" t="n">
        <x:v>14.46</x:v>
      </x:c>
      <x:c r="G19" s="12" t="n">
        <x:v>11.07</x:v>
      </x:c>
      <x:c r="H19" s="12" t="n">
        <x:v>9.51</x:v>
      </x:c>
      <x:c r="I19" s="12" t="n">
        <x:v>16.02</x:v>
      </x:c>
      <x:c r="J19" s="12" t="n">
        <x:f>IFERROR(H19/AVERAGE(F19,I19)*12,0)</x:f>
        <x:v>7.488188976377953</x:v>
      </x:c>
      <x:c r="K19" s="16" t="n">
        <x:v>0.040670066725104904</x:v>
      </x:c>
    </x:row>
    <x:row r="20">
      <x:c r="A20" s="12" t="str">
        <x:v>PART-020</x:v>
      </x:c>
      <x:c r="B20" s="18" t="n">
        <x:v>46234</x:v>
      </x:c>
      <x:c r="C20" s="12" t="str">
        <x:v>DLR-020</x:v>
      </x:c>
      <x:c r="D20" s="12" t="str">
        <x:v>Wuling HTA Long Biên</x:v>
      </x:c>
      <x:c r="E20" s="12" t="str">
        <x:v>Wuling</x:v>
      </x:c>
      <x:c r="F20" s="12" t="n">
        <x:v>20.94</x:v>
      </x:c>
      <x:c r="G20" s="12" t="n">
        <x:v>15.84</x:v>
      </x:c>
      <x:c r="H20" s="12" t="n">
        <x:v>18.98</x:v>
      </x:c>
      <x:c r="I20" s="12" t="n">
        <x:v>17.79</x:v>
      </x:c>
      <x:c r="J20" s="12" t="n">
        <x:f>IFERROR(H20/AVERAGE(F20,I20)*12,0)</x:f>
        <x:v>11.761425251742834</x:v>
      </x:c>
      <x:c r="K20" s="16" t="n">
        <x:v>0.038612036483269496</x:v>
      </x:c>
    </x:row>
  </x:sheetData>
  <x:pageMargins left="0.7" right="0.7" top="0.75" bottom="0.75" header="0.3" footer="0.3"/>
  <x:tableParts count="1">
    <x:tablePart xmlns:r="http://schemas.openxmlformats.org/officeDocument/2006/relationships" r:id="R56fdf379073941c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6" hidden="0" customWidth="1"/>
    <x:col min="3" max="3" width="20" hidden="0" customWidth="1"/>
    <x:col min="4" max="4" width="16" hidden="0" customWidth="1"/>
    <x:col min="5" max="5" width="19" hidden="0" customWidth="1"/>
    <x:col min="6" max="6" width="19" hidden="0" customWidth="1"/>
    <x:col min="7" max="7" width="12" hidden="0" customWidth="1"/>
    <x:col min="8" max="8" width="23" hidden="0" customWidth="1"/>
    <x:col min="9" max="9" width="19" hidden="0" customWidth="1"/>
    <x:col min="10" max="10" width="12" hidden="0" customWidth="1"/>
    <x:col min="11" max="11" width="16" hidden="0" customWidth="1"/>
    <x:col min="12" max="12" width="18" hidden="0" customWidth="1"/>
    <x:col min="13" max="13" width="16" hidden="0" customWidth="1"/>
    <x:col min="14" max="14" width="12" hidden="0" customWidth="1"/>
  </x:cols>
  <x:sheetData>
    <x:row r="1">
      <x:c r="A1" s="6" t="str">
        <x:v>Mã đại lý</x:v>
      </x:c>
      <x:c r="B1" s="6" t="str">
        <x:v>Đại lý</x:v>
      </x:c>
      <x:c r="C1" s="6" t="str">
        <x:v>Thương hiệu</x:v>
      </x:c>
      <x:c r="D1" s="6" t="str">
        <x:v>Địa bàn</x:v>
      </x:c>
      <x:c r="E1" s="6" t="str">
        <x:v>Doanh thu KH (tỷ)</x:v>
      </x:c>
      <x:c r="F1" s="6" t="str">
        <x:v>Doanh thu TH (tỷ)</x:v>
      </x:c>
      <x:c r="G1" s="6" t="str">
        <x:v>Xe bán</x:v>
      </x:c>
      <x:c r="H1" s="6" t="str">
        <x:v>Doanh thu dịch vụ (tỷ)</x:v>
      </x:c>
      <x:c r="I1" s="6" t="str">
        <x:v>Tồn kho xe (tỷ)</x:v>
      </x:c>
      <x:c r="J1" s="6" t="str">
        <x:v>CSI</x:v>
      </x:c>
      <x:c r="K1" s="6" t="str">
        <x:v>EBITDA (tỷ)</x:v>
      </x:c>
      <x:c r="L1" s="6" t="str">
        <x:v>Tỷ lệ hoàn thành</x:v>
      </x:c>
      <x:c r="M1" s="6" t="str">
        <x:v>Biên EBITDA</x:v>
      </x:c>
      <x:c r="N1" s="6" t="str">
        <x:v>Xếp hạng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str">
        <x:v>Hà Nội</x:v>
      </x:c>
      <x:c r="E2" s="12" t="n">
        <x:v>280.43</x:v>
      </x:c>
      <x:c r="F2" s="12" t="n">
        <x:v>267.9</x:v>
      </x:c>
      <x:c r="G2" s="12" t="n">
        <x:v>226</x:v>
      </x:c>
      <x:c r="H2" s="12" t="n">
        <x:v>16.68</x:v>
      </x:c>
      <x:c r="I2" s="12" t="n">
        <x:v>131.62</x:v>
      </x:c>
      <x:c r="J2" s="12" t="n">
        <x:v>94.1</x:v>
      </x:c>
      <x:c r="K2" s="12" t="n">
        <x:v>15.59</x:v>
      </x:c>
      <x:c r="L2" s="16" t="n">
        <x:f>IFERROR(F2/E2,0)</x:f>
        <x:v>0.9553186178368932</x:v>
      </x:c>
      <x:c r="M2" s="16" t="n">
        <x:f>IFERROR(K2/(F2+H2),0)</x:f>
        <x:v>0.054782486471291025</x:v>
      </x:c>
      <x:c r="N2" s="12" t="n">
        <x:f>RANK.EQ(L2,$L$2:$L$21,0)</x:f>
        <x:v>16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str">
        <x:v>Hà Nội</x:v>
      </x:c>
      <x:c r="E3" s="12" t="n">
        <x:v>212.01</x:v>
      </x:c>
      <x:c r="F3" s="12" t="n">
        <x:v>195.49</x:v>
      </x:c>
      <x:c r="G3" s="12" t="n">
        <x:v>171</x:v>
      </x:c>
      <x:c r="H3" s="12" t="n">
        <x:v>10.89</x:v>
      </x:c>
      <x:c r="I3" s="12" t="n">
        <x:v>68.55</x:v>
      </x:c>
      <x:c r="J3" s="12" t="n">
        <x:v>91.9</x:v>
      </x:c>
      <x:c r="K3" s="12" t="n">
        <x:v>6.68</x:v>
      </x:c>
      <x:c r="L3" s="16" t="n">
        <x:f>IFERROR(F3/E3,0)</x:f>
        <x:v>0.9220791472100374</x:v>
      </x:c>
      <x:c r="M3" s="16" t="n">
        <x:f>IFERROR(K3/(F3+H3),0)</x:f>
        <x:v>0.03236747746874697</x:v>
      </x:c>
      <x:c r="N3" s="12" t="n">
        <x:f>RANK.EQ(L3,$L$2:$L$21,0)</x:f>
        <x:v>20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str">
        <x:v>Hà Nội</x:v>
      </x:c>
      <x:c r="E4" s="12" t="n">
        <x:v>258.64</x:v>
      </x:c>
      <x:c r="F4" s="12" t="n">
        <x:v>265.09</x:v>
      </x:c>
      <x:c r="G4" s="12" t="n">
        <x:v>227</x:v>
      </x:c>
      <x:c r="H4" s="12" t="n">
        <x:v>12.13</x:v>
      </x:c>
      <x:c r="I4" s="12" t="n">
        <x:v>105.09</x:v>
      </x:c>
      <x:c r="J4" s="12" t="n">
        <x:v>92.6</x:v>
      </x:c>
      <x:c r="K4" s="12" t="n">
        <x:v>8</x:v>
      </x:c>
      <x:c r="L4" s="16" t="n">
        <x:f>IFERROR(F4/E4,0)</x:f>
        <x:v>1.024938137952366</x:v>
      </x:c>
      <x:c r="M4" s="16" t="n">
        <x:f>IFERROR(K4/(F4+H4),0)</x:f>
        <x:v>0.028857946757088235</x:v>
      </x:c>
      <x:c r="N4" s="12" t="n">
        <x:f>RANK.EQ(L4,$L$2:$L$21,0)</x:f>
        <x:v>7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str">
        <x:v>Phú Thọ</x:v>
      </x:c>
      <x:c r="E5" s="12" t="n">
        <x:v>204.9</x:v>
      </x:c>
      <x:c r="F5" s="12" t="n">
        <x:v>215.79</x:v>
      </x:c>
      <x:c r="G5" s="12" t="n">
        <x:v>189</x:v>
      </x:c>
      <x:c r="H5" s="12" t="n">
        <x:v>11.98</x:v>
      </x:c>
      <x:c r="I5" s="12" t="n">
        <x:v>73.13</x:v>
      </x:c>
      <x:c r="J5" s="12" t="n">
        <x:v>94.3</x:v>
      </x:c>
      <x:c r="K5" s="12" t="n">
        <x:v>7.24</x:v>
      </x:c>
      <x:c r="L5" s="16" t="n">
        <x:f>IFERROR(F5/E5,0)</x:f>
        <x:v>1.053147877013177</x:v>
      </x:c>
      <x:c r="M5" s="16" t="n">
        <x:f>IFERROR(K5/(F5+H5),0)</x:f>
        <x:v>0.031786451244676654</x:v>
      </x:c>
      <x:c r="N5" s="12" t="n">
        <x:f>RANK.EQ(L5,$L$2:$L$21,0)</x:f>
        <x:v>2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str">
        <x:v>Hà Nội</x:v>
      </x:c>
      <x:c r="E6" s="12" t="n">
        <x:v>114.22</x:v>
      </x:c>
      <x:c r="F6" s="12" t="n">
        <x:v>116.76</x:v>
      </x:c>
      <x:c r="G6" s="12" t="n">
        <x:v>141</x:v>
      </x:c>
      <x:c r="H6" s="12" t="n">
        <x:v>12.45</x:v>
      </x:c>
      <x:c r="I6" s="12" t="n">
        <x:v>73.07</x:v>
      </x:c>
      <x:c r="J6" s="12" t="n">
        <x:v>91.6</x:v>
      </x:c>
      <x:c r="K6" s="12" t="n">
        <x:v>7.53</x:v>
      </x:c>
      <x:c r="L6" s="16" t="n">
        <x:f>IFERROR(F6/E6,0)</x:f>
        <x:v>1.0222377867273682</x:v>
      </x:c>
      <x:c r="M6" s="16" t="n">
        <x:f>IFERROR(K6/(F6+H6),0)</x:f>
        <x:v>0.05827722312514511</x:v>
      </x:c>
      <x:c r="N6" s="12" t="n">
        <x:f>RANK.EQ(L6,$L$2:$L$21,0)</x:f>
        <x:v>8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str">
        <x:v>Hà Nội</x:v>
      </x:c>
      <x:c r="E7" s="12" t="n">
        <x:v>146.27</x:v>
      </x:c>
      <x:c r="F7" s="12" t="n">
        <x:v>155.41</x:v>
      </x:c>
      <x:c r="G7" s="12" t="n">
        <x:v>194</x:v>
      </x:c>
      <x:c r="H7" s="12" t="n">
        <x:v>0</x:v>
      </x:c>
      <x:c r="I7" s="12" t="n">
        <x:v>53.6</x:v>
      </x:c>
      <x:c r="J7" s="12" t="n">
        <x:v>91.2</x:v>
      </x:c>
      <x:c r="K7" s="12" t="n">
        <x:v>3.59</x:v>
      </x:c>
      <x:c r="L7" s="16" t="n">
        <x:f>IFERROR(F7/E7,0)</x:f>
        <x:v>1.0624871812401722</x:v>
      </x:c>
      <x:c r="M7" s="16" t="n">
        <x:f>IFERROR(K7/(F7+H7),0)</x:f>
        <x:v>0.02310018660317869</x:v>
      </x:c>
      <x:c r="N7" s="12" t="n">
        <x:f>RANK.EQ(L7,$L$2:$L$21,0)</x:f>
        <x:v>1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str">
        <x:v>Hà Nội</x:v>
      </x:c>
      <x:c r="E8" s="12" t="n">
        <x:v>89.63</x:v>
      </x:c>
      <x:c r="F8" s="12" t="n">
        <x:v>93.85</x:v>
      </x:c>
      <x:c r="G8" s="12" t="n">
        <x:v>116</x:v>
      </x:c>
      <x:c r="H8" s="12" t="n">
        <x:v>9.22</x:v>
      </x:c>
      <x:c r="I8" s="12" t="n">
        <x:v>46.32</x:v>
      </x:c>
      <x:c r="J8" s="12" t="n">
        <x:v>93.1</x:v>
      </x:c>
      <x:c r="K8" s="12" t="n">
        <x:v>3.75</x:v>
      </x:c>
      <x:c r="L8" s="16" t="n">
        <x:f>IFERROR(F8/E8,0)</x:f>
        <x:v>1.0470824500725204</x:v>
      </x:c>
      <x:c r="M8" s="16" t="n">
        <x:f>IFERROR(K8/(F8+H8),0)</x:f>
        <x:v>0.03638304065198409</x:v>
      </x:c>
      <x:c r="N8" s="12" t="n">
        <x:f>RANK.EQ(L8,$L$2:$L$21,0)</x:f>
        <x:v>3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str">
        <x:v>Hà Nội</x:v>
      </x:c>
      <x:c r="E9" s="12" t="n">
        <x:v>246.88</x:v>
      </x:c>
      <x:c r="F9" s="12" t="n">
        <x:v>251.5</x:v>
      </x:c>
      <x:c r="G9" s="12" t="n">
        <x:v>316</x:v>
      </x:c>
      <x:c r="H9" s="12" t="n">
        <x:v>16.1</x:v>
      </x:c>
      <x:c r="I9" s="12" t="n">
        <x:v>67.53</x:v>
      </x:c>
      <x:c r="J9" s="12" t="n">
        <x:v>92.9</x:v>
      </x:c>
      <x:c r="K9" s="12" t="n">
        <x:v>13.37</x:v>
      </x:c>
      <x:c r="L9" s="16" t="n">
        <x:f>IFERROR(F9/E9,0)</x:f>
        <x:v>1.0187135450421259</x:v>
      </x:c>
      <x:c r="M9" s="16" t="n">
        <x:f>IFERROR(K9/(F9+H9),0)</x:f>
        <x:v>0.049962630792227194</x:v>
      </x:c>
      <x:c r="N9" s="12" t="n">
        <x:f>RANK.EQ(L9,$L$2:$L$21,0)</x:f>
        <x:v>9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str">
        <x:v>Hà Nội</x:v>
      </x:c>
      <x:c r="E10" s="12" t="n">
        <x:v>257.22</x:v>
      </x:c>
      <x:c r="F10" s="12" t="n">
        <x:v>266.86</x:v>
      </x:c>
      <x:c r="G10" s="12" t="n">
        <x:v>330</x:v>
      </x:c>
      <x:c r="H10" s="12" t="n">
        <x:v>15.66</x:v>
      </x:c>
      <x:c r="I10" s="12" t="n">
        <x:v>82.72</x:v>
      </x:c>
      <x:c r="J10" s="12" t="n">
        <x:v>93.2</x:v>
      </x:c>
      <x:c r="K10" s="12" t="n">
        <x:v>12.04</x:v>
      </x:c>
      <x:c r="L10" s="16" t="n">
        <x:f>IFERROR(F10/E10,0)</x:f>
        <x:v>1.0374776455952102</x:v>
      </x:c>
      <x:c r="M10" s="16" t="n">
        <x:f>IFERROR(K10/(F10+H10),0)</x:f>
        <x:v>0.04261645193260653</x:v>
      </x:c>
      <x:c r="N10" s="12" t="n">
        <x:f>RANK.EQ(L10,$L$2:$L$21,0)</x:f>
        <x:v>5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str">
        <x:v>Hà Nội</x:v>
      </x:c>
      <x:c r="E11" s="12" t="n">
        <x:v>198.31</x:v>
      </x:c>
      <x:c r="F11" s="12" t="n">
        <x:v>184.92</x:v>
      </x:c>
      <x:c r="G11" s="12" t="n">
        <x:v>239</x:v>
      </x:c>
      <x:c r="H11" s="12" t="n">
        <x:v>14.12</x:v>
      </x:c>
      <x:c r="I11" s="12" t="n">
        <x:v>44.02</x:v>
      </x:c>
      <x:c r="J11" s="12" t="n">
        <x:v>93.7</x:v>
      </x:c>
      <x:c r="K11" s="12" t="n">
        <x:v>8.32</x:v>
      </x:c>
      <x:c r="L11" s="16" t="n">
        <x:f>IFERROR(F11/E11,0)</x:f>
        <x:v>0.932479451364026</x:v>
      </x:c>
      <x:c r="M11" s="16" t="n">
        <x:f>IFERROR(K11/(F11+H11),0)</x:f>
        <x:v>0.041800643086816726</x:v>
      </x:c>
      <x:c r="N11" s="12" t="n">
        <x:f>RANK.EQ(L11,$L$2:$L$21,0)</x:f>
        <x:v>19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str">
        <x:v>Hà Nội</x:v>
      </x:c>
      <x:c r="E12" s="12" t="n">
        <x:v>217.44</x:v>
      </x:c>
      <x:c r="F12" s="12" t="n">
        <x:v>218.12</x:v>
      </x:c>
      <x:c r="G12" s="12" t="n">
        <x:v>279</x:v>
      </x:c>
      <x:c r="H12" s="12" t="n">
        <x:v>12.78</x:v>
      </x:c>
      <x:c r="I12" s="12" t="n">
        <x:v>86.13</x:v>
      </x:c>
      <x:c r="J12" s="12" t="n">
        <x:v>92.6</x:v>
      </x:c>
      <x:c r="K12" s="12" t="n">
        <x:v>10.96</x:v>
      </x:c>
      <x:c r="L12" s="16" t="n">
        <x:f>IFERROR(F12/E12,0)</x:f>
        <x:v>1.0031272994849154</x:v>
      </x:c>
      <x:c r="M12" s="16" t="n">
        <x:f>IFERROR(K12/(F12+H12),0)</x:f>
        <x:v>0.047466435686444354</x:v>
      </x:c>
      <x:c r="N12" s="12" t="n">
        <x:f>RANK.EQ(L12,$L$2:$L$21,0)</x:f>
        <x:v>14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str">
        <x:v>Hà Nội</x:v>
      </x:c>
      <x:c r="E13" s="12" t="n">
        <x:v>299.87</x:v>
      </x:c>
      <x:c r="F13" s="12" t="n">
        <x:v>286.96</x:v>
      </x:c>
      <x:c r="G13" s="12" t="n">
        <x:v>368</x:v>
      </x:c>
      <x:c r="H13" s="12" t="n">
        <x:v>13.96</x:v>
      </x:c>
      <x:c r="I13" s="12" t="n">
        <x:v>126.91</x:v>
      </x:c>
      <x:c r="J13" s="12" t="n">
        <x:v>93.7</x:v>
      </x:c>
      <x:c r="K13" s="12" t="n">
        <x:v>14.58</x:v>
      </x:c>
      <x:c r="L13" s="16" t="n">
        <x:f>IFERROR(F13/E13,0)</x:f>
        <x:v>0.956948010804682</x:v>
      </x:c>
      <x:c r="M13" s="16" t="n">
        <x:f>IFERROR(K13/(F13+H13),0)</x:f>
        <x:v>0.04845141565864682</x:v>
      </x:c>
      <x:c r="N13" s="12" t="n">
        <x:f>RANK.EQ(L13,$L$2:$L$21,0)</x:f>
        <x:v>15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str">
        <x:v>Ninh Bình</x:v>
      </x:c>
      <x:c r="E14" s="12" t="n">
        <x:v>234.54</x:v>
      </x:c>
      <x:c r="F14" s="12" t="n">
        <x:v>223.02</x:v>
      </x:c>
      <x:c r="G14" s="12" t="n">
        <x:v>280</x:v>
      </x:c>
      <x:c r="H14" s="12" t="n">
        <x:v>11.42</x:v>
      </x:c>
      <x:c r="I14" s="12" t="n">
        <x:v>77.1</x:v>
      </x:c>
      <x:c r="J14" s="12" t="n">
        <x:v>91.2</x:v>
      </x:c>
      <x:c r="K14" s="12" t="n">
        <x:v>10.33</x:v>
      </x:c>
      <x:c r="L14" s="16" t="n">
        <x:f>IFERROR(F14/E14,0)</x:f>
        <x:v>0.9508825786646202</x:v>
      </x:c>
      <x:c r="M14" s="16" t="n">
        <x:f>IFERROR(K14/(F14+H14),0)</x:f>
        <x:v>0.044062446681453676</x:v>
      </x:c>
      <x:c r="N14" s="12" t="n">
        <x:f>RANK.EQ(L14,$L$2:$L$21,0)</x:f>
        <x:v>17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str">
        <x:v>Hà Nội</x:v>
      </x:c>
      <x:c r="E15" s="12" t="n">
        <x:v>182.1</x:v>
      </x:c>
      <x:c r="F15" s="12" t="n">
        <x:v>184.14</x:v>
      </x:c>
      <x:c r="G15" s="12" t="n">
        <x:v>231</x:v>
      </x:c>
      <x:c r="H15" s="12" t="n">
        <x:v>9.37</x:v>
      </x:c>
      <x:c r="I15" s="12" t="n">
        <x:v>65.61</x:v>
      </x:c>
      <x:c r="J15" s="12" t="n">
        <x:v>92.3</x:v>
      </x:c>
      <x:c r="K15" s="12" t="n">
        <x:v>7.04</x:v>
      </x:c>
      <x:c r="L15" s="16" t="n">
        <x:f>IFERROR(F15/E15,0)</x:f>
        <x:v>1.0112026359143327</x:v>
      </x:c>
      <x:c r="M15" s="16" t="n">
        <x:f>IFERROR(K15/(F15+H15),0)</x:f>
        <x:v>0.03638054880884709</x:v>
      </x:c>
      <x:c r="N15" s="12" t="n">
        <x:f>RANK.EQ(L15,$L$2:$L$21,0)</x:f>
        <x:v>11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str">
        <x:v>Hà Nội</x:v>
      </x:c>
      <x:c r="E16" s="12" t="n">
        <x:v>321.55</x:v>
      </x:c>
      <x:c r="F16" s="12" t="n">
        <x:v>324.56</x:v>
      </x:c>
      <x:c r="G16" s="12" t="n">
        <x:v>407</x:v>
      </x:c>
      <x:c r="H16" s="12" t="n">
        <x:v>16.49</x:v>
      </x:c>
      <x:c r="I16" s="12" t="n">
        <x:v>96.43</x:v>
      </x:c>
      <x:c r="J16" s="12" t="n">
        <x:v>91.5</x:v>
      </x:c>
      <x:c r="K16" s="12" t="n">
        <x:v>11.04</x:v>
      </x:c>
      <x:c r="L16" s="16" t="n">
        <x:f>IFERROR(F16/E16,0)</x:f>
        <x:v>1.009360908101384</x:v>
      </x:c>
      <x:c r="M16" s="16" t="n">
        <x:f>IFERROR(K16/(F16+H16),0)</x:f>
        <x:v>0.032370620143673944</x:v>
      </x:c>
      <x:c r="N16" s="12" t="n">
        <x:f>RANK.EQ(L16,$L$2:$L$21,0)</x:f>
        <x:v>12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str">
        <x:v>Hà Nội</x:v>
      </x:c>
      <x:c r="E17" s="12" t="n">
        <x:v>184.82</x:v>
      </x:c>
      <x:c r="F17" s="12" t="n">
        <x:v>192.1</x:v>
      </x:c>
      <x:c r="G17" s="12" t="n">
        <x:v>244</x:v>
      </x:c>
      <x:c r="H17" s="12" t="n">
        <x:v>11.86</x:v>
      </x:c>
      <x:c r="I17" s="12" t="n">
        <x:v>89.24</x:v>
      </x:c>
      <x:c r="J17" s="12" t="n">
        <x:v>93.4</x:v>
      </x:c>
      <x:c r="K17" s="12" t="n">
        <x:v>8.18</x:v>
      </x:c>
      <x:c r="L17" s="16" t="n">
        <x:f>IFERROR(F17/E17,0)</x:f>
        <x:v>1.0393896764419435</x:v>
      </x:c>
      <x:c r="M17" s="16" t="n">
        <x:f>IFERROR(K17/(F17+H17),0)</x:f>
        <x:v>0.040105903118258485</x:v>
      </x:c>
      <x:c r="N17" s="12" t="n">
        <x:f>RANK.EQ(L17,$L$2:$L$21,0)</x:f>
        <x:v>4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str">
        <x:v>Hà Nội</x:v>
      </x:c>
      <x:c r="E18" s="12" t="n">
        <x:v>246.86</x:v>
      </x:c>
      <x:c r="F18" s="12" t="n">
        <x:v>249.88</x:v>
      </x:c>
      <x:c r="G18" s="12" t="n">
        <x:v>317</x:v>
      </x:c>
      <x:c r="H18" s="12" t="n">
        <x:v>13.87</x:v>
      </x:c>
      <x:c r="I18" s="12" t="n">
        <x:v>123.81</x:v>
      </x:c>
      <x:c r="J18" s="12" t="n">
        <x:v>92.2</x:v>
      </x:c>
      <x:c r="K18" s="12" t="n">
        <x:v>9.2</x:v>
      </x:c>
      <x:c r="L18" s="16" t="n">
        <x:f>IFERROR(F18/E18,0)</x:f>
        <x:v>1.0122336547030706</x:v>
      </x:c>
      <x:c r="M18" s="16" t="n">
        <x:f>IFERROR(K18/(F18+H18),0)</x:f>
        <x:v>0.03488151658767772</x:v>
      </x:c>
      <x:c r="N18" s="12" t="n">
        <x:f>RANK.EQ(L18,$L$2:$L$21,0)</x:f>
        <x:v>10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str">
        <x:v>Hà Nội</x:v>
      </x:c>
      <x:c r="E19" s="12" t="n">
        <x:v>89.29</x:v>
      </x:c>
      <x:c r="F19" s="12" t="n">
        <x:v>92.18</x:v>
      </x:c>
      <x:c r="G19" s="12" t="n">
        <x:v>135</x:v>
      </x:c>
      <x:c r="H19" s="12" t="n">
        <x:v>14.09</x:v>
      </x:c>
      <x:c r="I19" s="12" t="n">
        <x:v>33.2</x:v>
      </x:c>
      <x:c r="J19" s="12" t="n">
        <x:v>90.2</x:v>
      </x:c>
      <x:c r="K19" s="12" t="n">
        <x:v>6.42</x:v>
      </x:c>
      <x:c r="L19" s="16" t="n">
        <x:f>IFERROR(F19/E19,0)</x:f>
        <x:v>1.0323664464105724</x:v>
      </x:c>
      <x:c r="M19" s="16" t="n">
        <x:f>IFERROR(K19/(F19+H19),0)</x:f>
        <x:v>0.0604121577114896</x:v>
      </x:c>
      <x:c r="N19" s="12" t="n">
        <x:f>RANK.EQ(L19,$L$2:$L$21,0)</x:f>
        <x:v>6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str">
        <x:v>Phú Thọ</x:v>
      </x:c>
      <x:c r="E20" s="12" t="n">
        <x:v>101.2</x:v>
      </x:c>
      <x:c r="F20" s="12" t="n">
        <x:v>94.79</x:v>
      </x:c>
      <x:c r="G20" s="12" t="n">
        <x:v>141</x:v>
      </x:c>
      <x:c r="H20" s="12" t="n">
        <x:v>13.72</x:v>
      </x:c>
      <x:c r="I20" s="12" t="n">
        <x:v>32.93</x:v>
      </x:c>
      <x:c r="J20" s="12" t="n">
        <x:v>93.2</x:v>
      </x:c>
      <x:c r="K20" s="12" t="n">
        <x:v>6.69</x:v>
      </x:c>
      <x:c r="L20" s="16" t="n">
        <x:f>IFERROR(F20/E20,0)</x:f>
        <x:v>0.9366600790513835</x:v>
      </x:c>
      <x:c r="M20" s="16" t="n">
        <x:f>IFERROR(K20/(F20+H20),0)</x:f>
        <x:v>0.06165330384296378</x:v>
      </x:c>
      <x:c r="N20" s="12" t="n">
        <x:f>RANK.EQ(L20,$L$2:$L$21,0)</x:f>
        <x:v>18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str">
        <x:v>Hà Nội</x:v>
      </x:c>
      <x:c r="E21" s="12" t="n">
        <x:v>61.11</x:v>
      </x:c>
      <x:c r="F21" s="12" t="n">
        <x:v>61.6</x:v>
      </x:c>
      <x:c r="G21" s="12" t="n">
        <x:v>219</x:v>
      </x:c>
      <x:c r="H21" s="12" t="n">
        <x:v>15.22</x:v>
      </x:c>
      <x:c r="I21" s="12" t="n">
        <x:v>15.87</x:v>
      </x:c>
      <x:c r="J21" s="12" t="n">
        <x:v>90.9</x:v>
      </x:c>
      <x:c r="K21" s="12" t="n">
        <x:v>4.92</x:v>
      </x:c>
      <x:c r="L21" s="16" t="n">
        <x:f>IFERROR(F21/E21,0)</x:f>
        <x:v>1.0080183276059564</x:v>
      </x:c>
      <x:c r="M21" s="16" t="n">
        <x:f>IFERROR(K21/(F21+H21),0)</x:f>
        <x:v>0.0640458214006769</x:v>
      </x:c>
      <x:c r="N21" s="12" t="n">
        <x:f>RANK.EQ(L21,$L$2:$L$21,0)</x:f>
        <x:v>13</x:v>
      </x:c>
    </x:row>
  </x:sheetData>
  <x:conditionalFormatting sqref="L2:L2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58719cfb7a3474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8" hidden="0" customWidth="1"/>
    <x:col min="4" max="4" width="22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>
      <x:c r="A1" s="6" t="str">
        <x:v>Tháng</x:v>
      </x:c>
      <x:c r="B1" s="6" t="str">
        <x:v>Doanh thu KH</x:v>
      </x:c>
      <x:c r="C1" s="6" t="str">
        <x:v>Doanh thu xe TH</x:v>
      </x:c>
      <x:c r="D1" s="6" t="str">
        <x:v>Doanh thu dịch vụ TH</x:v>
      </x:c>
      <x:c r="E1" s="6" t="str">
        <x:v>Giá vốn xe</x:v>
      </x:c>
      <x:c r="F1" s="6" t="str">
        <x:v>OPEX</x:v>
      </x:c>
      <x:c r="G1" s="6" t="str">
        <x:v>EBITDA KH</x:v>
      </x:c>
      <x:c r="H1" s="6" t="str">
        <x:v>EBITDA TH</x:v>
      </x:c>
      <x:c r="I1" s="6" t="str">
        <x:v>OCF</x:v>
      </x:c>
      <x:c r="J1" s="6" t="str">
        <x:v>CAPEX</x:v>
      </x:c>
      <x:c r="K1" s="6" t="str">
        <x:v>Tỷ lệ DT</x:v>
      </x:c>
      <x:c r="L1" s="6" t="str">
        <x:v>Tỷ lệ EBITDA</x:v>
      </x:c>
    </x:row>
    <x:row r="2">
      <x:c r="A2" s="14" t="n">
        <x:v>46023</x:v>
      </x:c>
      <x:c r="B2" s="12" t="n">
        <x:v>489.88</x:v>
      </x:c>
      <x:c r="C2" s="12" t="n">
        <x:v>494.77</x:v>
      </x:c>
      <x:c r="D2" s="12" t="n">
        <x:v>35.08</x:v>
      </x:c>
      <x:c r="E2" s="12" t="n">
        <x:v>448.73</x:v>
      </x:c>
      <x:c r="F2" s="12" t="n">
        <x:v>29.19</x:v>
      </x:c>
      <x:c r="G2" s="12" t="n">
        <x:v>27.39</x:v>
      </x:c>
      <x:c r="H2" s="12" t="n">
        <x:v>28.78</x:v>
      </x:c>
      <x:c r="I2" s="12" t="n">
        <x:v>26.27</x:v>
      </x:c>
      <x:c r="J2" s="12" t="n">
        <x:v>16.54</x:v>
      </x:c>
      <x:c r="K2" s="16" t="n">
        <x:f>IFERROR((C2+D2)/B2,0)</x:f>
        <x:v>1.0815914101412591</x:v>
      </x:c>
      <x:c r="L2" s="16" t="n">
        <x:f>IFERROR(H2/G2,0)</x:f>
        <x:v>1.0507484483388099</x:v>
      </x:c>
    </x:row>
    <x:row r="3">
      <x:c r="A3" s="14" t="n">
        <x:v>46054</x:v>
      </x:c>
      <x:c r="B3" s="12" t="n">
        <x:v>509.87</x:v>
      </x:c>
      <x:c r="C3" s="12" t="n">
        <x:v>527.45</x:v>
      </x:c>
      <x:c r="D3" s="12" t="n">
        <x:v>32.68</x:v>
      </x:c>
      <x:c r="E3" s="12" t="n">
        <x:v>482.32</x:v>
      </x:c>
      <x:c r="F3" s="12" t="n">
        <x:v>35.32</x:v>
      </x:c>
      <x:c r="G3" s="12" t="n">
        <x:v>21.4</x:v>
      </x:c>
      <x:c r="H3" s="12" t="n">
        <x:v>20.93</x:v>
      </x:c>
      <x:c r="I3" s="12" t="n">
        <x:v>18.21</x:v>
      </x:c>
      <x:c r="J3" s="12" t="n">
        <x:v>23.95</x:v>
      </x:c>
      <x:c r="K3" s="16" t="n">
        <x:f>IFERROR((C3+D3)/B3,0)</x:f>
        <x:v>1.0985741463510306</x:v>
      </x:c>
      <x:c r="L3" s="16" t="n">
        <x:f>IFERROR(H3/G3,0)</x:f>
        <x:v>0.9780373831775702</x:v>
      </x:c>
    </x:row>
    <x:row r="4">
      <x:c r="A4" s="14" t="n">
        <x:v>46082</x:v>
      </x:c>
      <x:c r="B4" s="12" t="n">
        <x:v>567.49</x:v>
      </x:c>
      <x:c r="C4" s="12" t="n">
        <x:v>552.78</x:v>
      </x:c>
      <x:c r="D4" s="12" t="n">
        <x:v>45.34</x:v>
      </x:c>
      <x:c r="E4" s="12" t="n">
        <x:v>502.66</x:v>
      </x:c>
      <x:c r="F4" s="12" t="n">
        <x:v>34.49</x:v>
      </x:c>
      <x:c r="G4" s="12" t="n">
        <x:v>31.16</x:v>
      </x:c>
      <x:c r="H4" s="12" t="n">
        <x:v>31.05</x:v>
      </x:c>
      <x:c r="I4" s="12" t="n">
        <x:v>30.44</x:v>
      </x:c>
      <x:c r="J4" s="12" t="n">
        <x:v>13.18</x:v>
      </x:c>
      <x:c r="K4" s="16" t="n">
        <x:f>IFERROR((C4+D4)/B4,0)</x:f>
        <x:v>1.0539745193747907</x:v>
      </x:c>
      <x:c r="L4" s="16" t="n">
        <x:f>IFERROR(H4/G4,0)</x:f>
        <x:v>0.9964698331193839</x:v>
      </x:c>
    </x:row>
    <x:row r="5">
      <x:c r="A5" s="14" t="n">
        <x:v>46113</x:v>
      </x:c>
      <x:c r="B5" s="12" t="n">
        <x:v>545.85</x:v>
      </x:c>
      <x:c r="C5" s="12" t="n">
        <x:v>538.21</x:v>
      </x:c>
      <x:c r="D5" s="12" t="n">
        <x:v>37.88</x:v>
      </x:c>
      <x:c r="E5" s="12" t="n">
        <x:v>490.42</x:v>
      </x:c>
      <x:c r="F5" s="12" t="n">
        <x:v>30.25</x:v>
      </x:c>
      <x:c r="G5" s="12" t="n">
        <x:v>30.94</x:v>
      </x:c>
      <x:c r="H5" s="12" t="n">
        <x:v>30.42</x:v>
      </x:c>
      <x:c r="I5" s="12" t="n">
        <x:v>26.47</x:v>
      </x:c>
      <x:c r="J5" s="12" t="n">
        <x:v>19.91</x:v>
      </x:c>
      <x:c r="K5" s="16" t="n">
        <x:f>IFERROR((C5+D5)/B5,0)</x:f>
        <x:v>1.0553998351195384</x:v>
      </x:c>
      <x:c r="L5" s="16" t="n">
        <x:f>IFERROR(H5/G5,0)</x:f>
        <x:v>0.9831932773109244</x:v>
      </x:c>
    </x:row>
    <x:row r="6">
      <x:c r="A6" s="14" t="n">
        <x:v>46143</x:v>
      </x:c>
      <x:c r="B6" s="12" t="n">
        <x:v>607.92</x:v>
      </x:c>
      <x:c r="C6" s="12" t="n">
        <x:v>594.82</x:v>
      </x:c>
      <x:c r="D6" s="12" t="n">
        <x:v>32.93</x:v>
      </x:c>
      <x:c r="E6" s="12" t="n">
        <x:v>542.09</x:v>
      </x:c>
      <x:c r="F6" s="12" t="n">
        <x:v>40.3</x:v>
      </x:c>
      <x:c r="G6" s="12" t="n">
        <x:v>25.62</x:v>
      </x:c>
      <x:c r="H6" s="12" t="n">
        <x:v>23.63</x:v>
      </x:c>
      <x:c r="I6" s="12" t="n">
        <x:v>15.36</x:v>
      </x:c>
      <x:c r="J6" s="12" t="n">
        <x:v>8.55</x:v>
      </x:c>
      <x:c r="K6" s="16" t="n">
        <x:f>IFERROR((C6+D6)/B6,0)</x:f>
        <x:v>1.0326194236083697</x:v>
      </x:c>
      <x:c r="L6" s="16" t="n">
        <x:f>IFERROR(H6/G6,0)</x:f>
        <x:v>0.9223263075722091</x:v>
      </x:c>
    </x:row>
    <x:row r="7">
      <x:c r="A7" s="14" t="n">
        <x:v>46174</x:v>
      </x:c>
      <x:c r="B7" s="12" t="n">
        <x:v>560.76</x:v>
      </x:c>
      <x:c r="C7" s="12" t="n">
        <x:v>587.92</x:v>
      </x:c>
      <x:c r="D7" s="12" t="n">
        <x:v>35.6</x:v>
      </x:c>
      <x:c r="E7" s="12" t="n">
        <x:v>537.58</x:v>
      </x:c>
      <x:c r="F7" s="12" t="n">
        <x:v>29.74</x:v>
      </x:c>
      <x:c r="G7" s="12" t="n">
        <x:v>34.42</x:v>
      </x:c>
      <x:c r="H7" s="12" t="n">
        <x:v>32.7</x:v>
      </x:c>
      <x:c r="I7" s="12" t="n">
        <x:v>32.9</x:v>
      </x:c>
      <x:c r="J7" s="12" t="n">
        <x:v>8.11</x:v>
      </x:c>
      <x:c r="K7" s="16" t="n">
        <x:f>IFERROR((C7+D7)/B7,0)</x:f>
        <x:v>1.111919537770169</x:v>
      </x:c>
      <x:c r="L7" s="16" t="n">
        <x:f>IFERROR(H7/G7,0)</x:f>
        <x:v>0.9500290528762347</x:v>
      </x:c>
    </x:row>
    <x:row r="8">
      <x:c r="A8" s="14" t="n">
        <x:v>46204</x:v>
      </x:c>
      <x:c r="B8" s="12" t="n">
        <x:v>624.83</x:v>
      </x:c>
      <x:c r="C8" s="12" t="n">
        <x:v>644.97</x:v>
      </x:c>
      <x:c r="D8" s="12" t="n">
        <x:v>32.5</x:v>
      </x:c>
      <x:c r="E8" s="12" t="n">
        <x:v>588.53</x:v>
      </x:c>
      <x:c r="F8" s="12" t="n">
        <x:v>34.75</x:v>
      </x:c>
      <x:c r="G8" s="12" t="n">
        <x:v>31.22</x:v>
      </x:c>
      <x:c r="H8" s="12" t="n">
        <x:v>32.74</x:v>
      </x:c>
      <x:c r="I8" s="12" t="n">
        <x:v>31.38</x:v>
      </x:c>
      <x:c r="J8" s="12" t="n">
        <x:v>23.09</x:v>
      </x:c>
      <x:c r="K8" s="16" t="n">
        <x:f>IFERROR((C8+D8)/B8,0)</x:f>
        <x:v>1.0842469151609238</x:v>
      </x:c>
      <x:c r="L8" s="16" t="n">
        <x:f>IFERROR(H8/G8,0)</x:f>
        <x:v>1.048686739269699</x:v>
      </x:c>
    </x:row>
  </x:sheetData>
  <x:pageMargins left="0.7" right="0.7" top="0.75" bottom="0.75" header="0.3" footer="0.3"/>
  <x:tableParts count="1">
    <x:tablePart xmlns:r="http://schemas.openxmlformats.org/officeDocument/2006/relationships" r:id="R5d1659374635409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6" t="str">
        <x:v>Tháng</x:v>
      </x:c>
      <x:c r="B1" s="6" t="str">
        <x:v>Doanh thu hợp nhất</x:v>
      </x:c>
      <x:c r="C1" s="6" t="str">
        <x:v>EBITDA</x:v>
      </x:c>
      <x:c r="D1" s="6" t="str">
        <x:v>Biên EBITDA</x:v>
      </x:c>
      <x:c r="E1" s="6" t="str">
        <x:v>Loại dữ liệu</x:v>
      </x:c>
    </x:row>
    <x:row r="2">
      <x:c r="A2" s="14" t="n">
        <x:v>46023</x:v>
      </x:c>
      <x:c r="B2" s="12" t="n">
        <x:v>529.85</x:v>
      </x:c>
      <x:c r="C2" s="12" t="n">
        <x:v>28.78</x:v>
      </x:c>
      <x:c r="D2" s="16" t="n">
        <x:v>0.0543</x:v>
      </x:c>
      <x:c r="E2" s="12" t="str">
        <x:v>Thực hiện</x:v>
      </x:c>
    </x:row>
    <x:row r="3">
      <x:c r="A3" s="14" t="n">
        <x:v>46054</x:v>
      </x:c>
      <x:c r="B3" s="12" t="n">
        <x:v>560.13</x:v>
      </x:c>
      <x:c r="C3" s="12" t="n">
        <x:v>20.93</x:v>
      </x:c>
      <x:c r="D3" s="16" t="n">
        <x:v>0.0374</x:v>
      </x:c>
      <x:c r="E3" s="12" t="str">
        <x:v>Thực hiện</x:v>
      </x:c>
    </x:row>
    <x:row r="4">
      <x:c r="A4" s="14" t="n">
        <x:v>46082</x:v>
      </x:c>
      <x:c r="B4" s="12" t="n">
        <x:v>598.12</x:v>
      </x:c>
      <x:c r="C4" s="12" t="n">
        <x:v>31.05</x:v>
      </x:c>
      <x:c r="D4" s="16" t="n">
        <x:v>0.0519</x:v>
      </x:c>
      <x:c r="E4" s="12" t="str">
        <x:v>Thực hiện</x:v>
      </x:c>
    </x:row>
    <x:row r="5">
      <x:c r="A5" s="14" t="n">
        <x:v>46113</x:v>
      </x:c>
      <x:c r="B5" s="12" t="n">
        <x:v>576.09</x:v>
      </x:c>
      <x:c r="C5" s="12" t="n">
        <x:v>30.42</x:v>
      </x:c>
      <x:c r="D5" s="16" t="n">
        <x:v>0.0528</x:v>
      </x:c>
      <x:c r="E5" s="12" t="str">
        <x:v>Thực hiện</x:v>
      </x:c>
    </x:row>
    <x:row r="6">
      <x:c r="A6" s="14" t="n">
        <x:v>46143</x:v>
      </x:c>
      <x:c r="B6" s="12" t="n">
        <x:v>627.75</x:v>
      </x:c>
      <x:c r="C6" s="12" t="n">
        <x:v>23.63</x:v>
      </x:c>
      <x:c r="D6" s="16" t="n">
        <x:v>0.0376</x:v>
      </x:c>
      <x:c r="E6" s="12" t="str">
        <x:v>Thực hiện</x:v>
      </x:c>
    </x:row>
    <x:row r="7">
      <x:c r="A7" s="14" t="n">
        <x:v>46174</x:v>
      </x:c>
      <x:c r="B7" s="12" t="n">
        <x:v>623.52</x:v>
      </x:c>
      <x:c r="C7" s="12" t="n">
        <x:v>32.7</x:v>
      </x:c>
      <x:c r="D7" s="16" t="n">
        <x:v>0.0524</x:v>
      </x:c>
      <x:c r="E7" s="12" t="str">
        <x:v>Thực hiện</x:v>
      </x:c>
    </x:row>
    <x:row r="8">
      <x:c r="A8" s="14" t="n">
        <x:v>46204</x:v>
      </x:c>
      <x:c r="B8" s="12" t="n">
        <x:v>677.47</x:v>
      </x:c>
      <x:c r="C8" s="12" t="n">
        <x:v>32.74</x:v>
      </x:c>
      <x:c r="D8" s="16" t="n">
        <x:v>0.0483</x:v>
      </x:c>
      <x:c r="E8" s="12" t="str">
        <x:v>Thực hiện</x:v>
      </x:c>
    </x:row>
    <x:row r="9">
      <x:c r="A9" s="14" t="n">
        <x:v>46235</x:v>
      </x:c>
      <x:c r="B9" s="12" t="n">
        <x:v>691.61</x:v>
      </x:c>
      <x:c r="C9" s="12" t="n">
        <x:v>33.61</x:v>
      </x:c>
      <x:c r="D9" s="16" t="n">
        <x:v>0.0486</x:v>
      </x:c>
      <x:c r="E9" s="12" t="str">
        <x:v>Dự báo</x:v>
      </x:c>
    </x:row>
    <x:row r="10">
      <x:c r="A10" s="14" t="n">
        <x:v>46266</x:v>
      </x:c>
      <x:c r="B10" s="12" t="n">
        <x:v>704.78</x:v>
      </x:c>
      <x:c r="C10" s="12" t="n">
        <x:v>32.66</x:v>
      </x:c>
      <x:c r="D10" s="16" t="n">
        <x:v>0.0463</x:v>
      </x:c>
      <x:c r="E10" s="12" t="str">
        <x:v>Dự báo</x:v>
      </x:c>
    </x:row>
    <x:row r="11">
      <x:c r="A11" s="14" t="n">
        <x:v>46296</x:v>
      </x:c>
      <x:c r="B11" s="12" t="n">
        <x:v>709.53</x:v>
      </x:c>
      <x:c r="C11" s="12" t="n">
        <x:v>33.33</x:v>
      </x:c>
      <x:c r="D11" s="16" t="n">
        <x:v>0.047</x:v>
      </x:c>
      <x:c r="E11" s="12" t="str">
        <x:v>Dự báo</x:v>
      </x:c>
    </x:row>
    <x:row r="12">
      <x:c r="A12" s="14" t="n">
        <x:v>46327</x:v>
      </x:c>
      <x:c r="B12" s="12" t="n">
        <x:v>709.9</x:v>
      </x:c>
      <x:c r="C12" s="12" t="n">
        <x:v>36.09</x:v>
      </x:c>
      <x:c r="D12" s="16" t="n">
        <x:v>0.0508</x:v>
      </x:c>
      <x:c r="E12" s="12" t="str">
        <x:v>Dự báo</x:v>
      </x:c>
    </x:row>
    <x:row r="13">
      <x:c r="A13" s="14" t="n">
        <x:v>46357</x:v>
      </x:c>
      <x:c r="B13" s="12" t="n">
        <x:v>719.17</x:v>
      </x:c>
      <x:c r="C13" s="12" t="n">
        <x:v>34.6</x:v>
      </x:c>
      <x:c r="D13" s="16" t="n">
        <x:v>0.0481</x:v>
      </x:c>
      <x:c r="E13" s="12" t="str">
        <x:v>Dự báo</x:v>
      </x:c>
    </x:row>
  </x:sheetData>
  <x:pageMargins left="0.7" right="0.7" top="0.75" bottom="0.75" header="0.3" footer="0.3"/>
  <x:tableParts count="1">
    <x:tablePart xmlns:r="http://schemas.openxmlformats.org/officeDocument/2006/relationships" r:id="Rb46f86f7ae0c401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</x:cols>
  <x:sheetData>
    <x:row r="1">
      <x:c r="A1" s="6" t="str">
        <x:v>Kịch bản</x:v>
      </x:c>
      <x:c r="B1" s="6" t="str">
        <x:v>Hệ số doanh thu</x:v>
      </x:c>
      <x:c r="C1" s="6" t="str">
        <x:v>Hệ số biên</x:v>
      </x:c>
      <x:c r="D1" s="6" t="str">
        <x:v>Hệ số tồn kho</x:v>
      </x:c>
      <x:c r="E1" s="6" t="str">
        <x:v>Hệ số thu tiền</x:v>
      </x:c>
      <x:c r="F1" s="6" t="str">
        <x:v>Doanh thu năm</x:v>
      </x:c>
      <x:c r="G1" s="6" t="str">
        <x:v>EBITDA năm</x:v>
      </x:c>
      <x:c r="H1" s="6" t="str">
        <x:v>OCF dự kiến</x:v>
      </x:c>
    </x:row>
    <x:row r="2">
      <x:c r="A2" s="12" t="str">
        <x:v>Cơ sở</x:v>
      </x:c>
      <x:c r="B2" s="16" t="n">
        <x:v>1</x:v>
      </x:c>
      <x:c r="C2" s="16" t="n">
        <x:v>1</x:v>
      </x:c>
      <x:c r="D2" s="16" t="n">
        <x:v>1</x:v>
      </x:c>
      <x:c r="E2" s="16" t="n">
        <x:v>1</x:v>
      </x:c>
      <x:c r="F2" s="12" t="n">
        <x:v>7727.92</x:v>
      </x:c>
      <x:c r="G2" s="12" t="n">
        <x:v>370.54</x:v>
      </x:c>
      <x:c r="H2" s="12" t="n">
        <x:f>G2*E2</x:f>
        <x:v>370.54</x:v>
      </x:c>
    </x:row>
    <x:row r="3">
      <x:c r="A3" s="12" t="str">
        <x:v>Tích cực</x:v>
      </x:c>
      <x:c r="B3" s="16" t="n">
        <x:v>1.08</x:v>
      </x:c>
      <x:c r="C3" s="16" t="n">
        <x:v>1.03</x:v>
      </x:c>
      <x:c r="D3" s="16" t="n">
        <x:v>0.95</x:v>
      </x:c>
      <x:c r="E3" s="16" t="n">
        <x:v>1.05</x:v>
      </x:c>
      <x:c r="F3" s="12" t="n">
        <x:f>$F$2*B3</x:f>
        <x:v>8346.153600000001</x:v>
      </x:c>
      <x:c r="G3" s="12" t="n">
        <x:f>$G$2*B3*C3</x:f>
        <x:v>412.18869600000005</x:v>
      </x:c>
      <x:c r="H3" s="12" t="n">
        <x:f>G3*E3</x:f>
        <x:v>432.7981308000001</x:v>
      </x:c>
    </x:row>
    <x:row r="4">
      <x:c r="A4" s="12" t="str">
        <x:v>Tiêu cực</x:v>
      </x:c>
      <x:c r="B4" s="16" t="n">
        <x:v>0.9</x:v>
      </x:c>
      <x:c r="C4" s="16" t="n">
        <x:v>0.96</x:v>
      </x:c>
      <x:c r="D4" s="16" t="n">
        <x:v>1.12</x:v>
      </x:c>
      <x:c r="E4" s="16" t="n">
        <x:v>0.92</x:v>
      </x:c>
      <x:c r="F4" s="12" t="n">
        <x:f>$F$2*B4</x:f>
        <x:v>6955.128000000001</x:v>
      </x:c>
      <x:c r="G4" s="12" t="n">
        <x:f>$G$2*B4*C4</x:f>
        <x:v>320.14656</x:v>
      </x:c>
      <x:c r="H4" s="12" t="n">
        <x:f>G4*E4</x:f>
        <x:v>294.53483520000003</x:v>
      </x:c>
    </x:row>
  </x:sheetData>
  <x:pageMargins left="0.7" right="0.7" top="0.75" bottom="0.75" header="0.3" footer="0.3"/>
  <x:tableParts count="1">
    <x:tablePart xmlns:r="http://schemas.openxmlformats.org/officeDocument/2006/relationships" r:id="R859d8cdd887844a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36" hidden="0" customWidth="1"/>
    <x:col min="4" max="4" width="16" hidden="0" customWidth="1"/>
    <x:col min="5" max="5" width="16" hidden="0" customWidth="1"/>
    <x:col min="6" max="6" width="14" hidden="0" customWidth="1"/>
    <x:col min="7" max="7" width="26" hidden="0" customWidth="1"/>
    <x:col min="8" max="8" width="16" hidden="0" customWidth="1"/>
    <x:col min="9" max="9" width="19" hidden="0" customWidth="1"/>
  </x:cols>
  <x:sheetData>
    <x:row r="1">
      <x:c r="A1" s="6" t="str">
        <x:v>Mã KPI</x:v>
      </x:c>
      <x:c r="B1" s="6" t="str">
        <x:v>Góc nhìn</x:v>
      </x:c>
      <x:c r="C1" s="6" t="str">
        <x:v>Chỉ tiêu</x:v>
      </x:c>
      <x:c r="D1" s="6" t="str">
        <x:v>Mục tiêu</x:v>
      </x:c>
      <x:c r="E1" s="6" t="str">
        <x:v>Thực hiện</x:v>
      </x:c>
      <x:c r="F1" s="6" t="str">
        <x:v>Trọng số</x:v>
      </x:c>
      <x:c r="G1" s="6" t="str">
        <x:v>Chủ sở hữu</x:v>
      </x:c>
      <x:c r="H1" s="6" t="str">
        <x:v>Trạng thái</x:v>
      </x:c>
      <x:c r="I1" s="6" t="str">
        <x:v>Tỷ lệ hoàn thành</x:v>
      </x:c>
    </x:row>
    <x:row r="2">
      <x:c r="A2" s="12" t="str">
        <x:v>KPI-001</x:v>
      </x:c>
      <x:c r="B2" s="12" t="str">
        <x:v>Tài chính</x:v>
      </x:c>
      <x:c r="C2" s="12" t="str">
        <x:v>Tăng trưởng doanh thu hợp nhất</x:v>
      </x:c>
      <x:c r="D2" s="12" t="n">
        <x:v>0.12</x:v>
      </x:c>
      <x:c r="E2" s="12" t="n">
        <x:v>0.106</x:v>
      </x:c>
      <x:c r="F2" s="16" t="n">
        <x:v>0.15</x:v>
      </x:c>
      <x:c r="G2" s="12" t="str">
        <x:v>CFO</x:v>
      </x:c>
      <x:c r="H2" s="12" t="str">
        <x:v>Theo dõi</x:v>
      </x:c>
      <x:c r="I2" s="16" t="n">
        <x:f>IFERROR(E2/D2,0)</x:f>
        <x:v>0.8833333333333333</x:v>
      </x:c>
    </x:row>
    <x:row r="3">
      <x:c r="A3" s="12" t="str">
        <x:v>KPI-002</x:v>
      </x:c>
      <x:c r="B3" s="12" t="str">
        <x:v>Tài chính</x:v>
      </x:c>
      <x:c r="C3" s="12" t="str">
        <x:v>Biên EBITDA</x:v>
      </x:c>
      <x:c r="D3" s="12" t="n">
        <x:v>0.09</x:v>
      </x:c>
      <x:c r="E3" s="12" t="n">
        <x:v>0.087</x:v>
      </x:c>
      <x:c r="F3" s="16" t="n">
        <x:v>0.15</x:v>
      </x:c>
      <x:c r="G3" s="12" t="str">
        <x:v>CFO</x:v>
      </x:c>
      <x:c r="H3" s="12" t="str">
        <x:v>Theo dõi</x:v>
      </x:c>
      <x:c r="I3" s="16" t="n">
        <x:f>IFERROR(E3/D3,0)</x:f>
        <x:v>0.9666666666666667</x:v>
      </x:c>
    </x:row>
    <x:row r="4">
      <x:c r="A4" s="12" t="str">
        <x:v>KPI-003</x:v>
      </x:c>
      <x:c r="B4" s="12" t="str">
        <x:v>Kinh doanh</x:v>
      </x:c>
      <x:c r="C4" s="12" t="str">
        <x:v>Số xe bán ra</x:v>
      </x:c>
      <x:c r="D4" s="12" t="n">
        <x:v>12500</x:v>
      </x:c>
      <x:c r="E4" s="12" t="n">
        <x:v>11920</x:v>
      </x:c>
      <x:c r="F4" s="16" t="n">
        <x:v>0.15</x:v>
      </x:c>
      <x:c r="G4" s="12" t="str">
        <x:v>Giám đốc Kinh doanh</x:v>
      </x:c>
      <x:c r="H4" s="12" t="str">
        <x:v>Theo dõi</x:v>
      </x:c>
      <x:c r="I4" s="16" t="n">
        <x:f>IFERROR(E4/D4,0)</x:f>
        <x:v>0.9536</x:v>
      </x:c>
    </x:row>
    <x:row r="5">
      <x:c r="A5" s="12" t="str">
        <x:v>KPI-004</x:v>
      </x:c>
      <x:c r="B5" s="12" t="str">
        <x:v>Tồn kho</x:v>
      </x:c>
      <x:c r="C5" s="12" t="str">
        <x:v>Số ngày tồn kho bình quân</x:v>
      </x:c>
      <x:c r="D5" s="12" t="n">
        <x:v>60</x:v>
      </x:c>
      <x:c r="E5" s="12" t="n">
        <x:v>67</x:v>
      </x:c>
      <x:c r="F5" s="16" t="n">
        <x:v>0.1</x:v>
      </x:c>
      <x:c r="G5" s="12" t="str">
        <x:v>COO</x:v>
      </x:c>
      <x:c r="H5" s="12" t="str">
        <x:v>Cảnh báo</x:v>
      </x:c>
      <x:c r="I5" s="16" t="n">
        <x:f>IFERROR(E5/D5,0)</x:f>
        <x:v>1.1166666666666667</x:v>
      </x:c>
    </x:row>
    <x:row r="6">
      <x:c r="A6" s="12" t="str">
        <x:v>KPI-005</x:v>
      </x:c>
      <x:c r="B6" s="12" t="str">
        <x:v>Dịch vụ</x:v>
      </x:c>
      <x:c r="C6" s="12" t="str">
        <x:v>Tăng trưởng doanh thu dịch vụ</x:v>
      </x:c>
      <x:c r="D6" s="12" t="n">
        <x:v>0.15</x:v>
      </x:c>
      <x:c r="E6" s="12" t="n">
        <x:v>0.178</x:v>
      </x:c>
      <x:c r="F6" s="16" t="n">
        <x:v>0.1</x:v>
      </x:c>
      <x:c r="G6" s="12" t="str">
        <x:v>Giám đốc Dịch vụ</x:v>
      </x:c>
      <x:c r="H6" s="12" t="str">
        <x:v>Đạt</x:v>
      </x:c>
      <x:c r="I6" s="16" t="n">
        <x:f>IFERROR(E6/D6,0)</x:f>
        <x:v>1.1866666666666668</x:v>
      </x:c>
    </x:row>
    <x:row r="7">
      <x:c r="A7" s="12" t="str">
        <x:v>KPI-006</x:v>
      </x:c>
      <x:c r="B7" s="12" t="str">
        <x:v>Khách hàng</x:v>
      </x:c>
      <x:c r="C7" s="12" t="str">
        <x:v>CSI toàn hệ thống</x:v>
      </x:c>
      <x:c r="D7" s="12" t="n">
        <x:v>93</x:v>
      </x:c>
      <x:c r="E7" s="12" t="n">
        <x:v>93.4</x:v>
      </x:c>
      <x:c r="F7" s="16" t="n">
        <x:v>0.1</x:v>
      </x:c>
      <x:c r="G7" s="12" t="str">
        <x:v>CX Director</x:v>
      </x:c>
      <x:c r="H7" s="12" t="str">
        <x:v>Đạt</x:v>
      </x:c>
      <x:c r="I7" s="16" t="n">
        <x:f>IFERROR(E7/D7,0)</x:f>
        <x:v>1.0043010752688173</x:v>
      </x:c>
    </x:row>
    <x:row r="8">
      <x:c r="A8" s="12" t="str">
        <x:v>KPI-007</x:v>
      </x:c>
      <x:c r="B8" s="12" t="str">
        <x:v>Vận hành</x:v>
      </x:c>
      <x:c r="C8" s="12" t="str">
        <x:v>Hiệu suất khoang dịch vụ</x:v>
      </x:c>
      <x:c r="D8" s="12" t="n">
        <x:v>0.85</x:v>
      </x:c>
      <x:c r="E8" s="12" t="n">
        <x:v>0.82</x:v>
      </x:c>
      <x:c r="F8" s="16" t="n">
        <x:v>0.08</x:v>
      </x:c>
      <x:c r="G8" s="12" t="str">
        <x:v>COO</x:v>
      </x:c>
      <x:c r="H8" s="12" t="str">
        <x:v>Theo dõi</x:v>
      </x:c>
      <x:c r="I8" s="16" t="n">
        <x:f>IFERROR(E8/D8,0)</x:f>
        <x:v>0.9647058823529412</x:v>
      </x:c>
    </x:row>
    <x:row r="9">
      <x:c r="A9" s="12" t="str">
        <x:v>KPI-008</x:v>
      </x:c>
      <x:c r="B9" s="12" t="str">
        <x:v>Quản trị</x:v>
      </x:c>
      <x:c r="C9" s="12" t="str">
        <x:v>Tỷ lệ đóng hành động đúng hạn</x:v>
      </x:c>
      <x:c r="D9" s="12" t="n">
        <x:v>0.95</x:v>
      </x:c>
      <x:c r="E9" s="12" t="n">
        <x:v>0.88</x:v>
      </x:c>
      <x:c r="F9" s="16" t="n">
        <x:v>0.07</x:v>
      </x:c>
      <x:c r="G9" s="12" t="str">
        <x:v>Chief of Staff</x:v>
      </x:c>
      <x:c r="H9" s="12" t="str">
        <x:v>Cảnh báo</x:v>
      </x:c>
      <x:c r="I9" s="16" t="n">
        <x:f>IFERROR(E9/D9,0)</x:f>
        <x:v>0.9263157894736842</x:v>
      </x:c>
    </x:row>
    <x:row r="10">
      <x:c r="A10" s="12" t="str">
        <x:v>KPI-009</x:v>
      </x:c>
      <x:c r="B10" s="12" t="str">
        <x:v>Rủi ro</x:v>
      </x:c>
      <x:c r="C10" s="12" t="str">
        <x:v>Tỷ lệ khắc phục kiểm soát</x:v>
      </x:c>
      <x:c r="D10" s="12" t="n">
        <x:v>0.9</x:v>
      </x:c>
      <x:c r="E10" s="12" t="n">
        <x:v>0.84</x:v>
      </x:c>
      <x:c r="F10" s="16" t="n">
        <x:v>0.05</x:v>
      </x:c>
      <x:c r="G10" s="12" t="str">
        <x:v>Head of Internal Control</x:v>
      </x:c>
      <x:c r="H10" s="12" t="str">
        <x:v>Cảnh báo</x:v>
      </x:c>
      <x:c r="I10" s="16" t="n">
        <x:f>IFERROR(E10/D10,0)</x:f>
        <x:v>0.9333333333333332</x:v>
      </x:c>
    </x:row>
    <x:row r="11">
      <x:c r="A11" s="12" t="str">
        <x:v>KPI-010</x:v>
      </x:c>
      <x:c r="B11" s="12" t="str">
        <x:v>Con người</x:v>
      </x:c>
      <x:c r="C11" s="12" t="str">
        <x:v>Tỷ lệ hoàn thành đào tạo</x:v>
      </x:c>
      <x:c r="D11" s="12" t="n">
        <x:v>0.9</x:v>
      </x:c>
      <x:c r="E11" s="12" t="n">
        <x:v>0.92</x:v>
      </x:c>
      <x:c r="F11" s="16" t="n">
        <x:v>0.05</x:v>
      </x:c>
      <x:c r="G11" s="12" t="str">
        <x:v>CHRO</x:v>
      </x:c>
      <x:c r="H11" s="12" t="str">
        <x:v>Đạt</x:v>
      </x:c>
      <x:c r="I11" s="16" t="n">
        <x:f>IFERROR(E11/D11,0)</x:f>
        <x:v>1.0222222222222221</x:v>
      </x:c>
    </x:row>
  </x:sheetData>
  <x:pageMargins left="0.7" right="0.7" top="0.75" bottom="0.75" header="0.3" footer="0.3"/>
  <x:tableParts count="1">
    <x:tablePart xmlns:r="http://schemas.openxmlformats.org/officeDocument/2006/relationships" r:id="R572501203afd41b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20" hidden="0" customWidth="1"/>
    <x:col min="8" max="8" width="18" hidden="0" customWidth="1"/>
    <x:col min="9" max="9" width="18" hidden="0" customWidth="1"/>
    <x:col min="10" max="10" width="30" hidden="0" customWidth="1"/>
    <x:col min="11" max="11" width="14" hidden="0" customWidth="1"/>
  </x:cols>
  <x:sheetData>
    <x:row r="1">
      <x:c r="A1" s="6" t="str">
        <x:v>Mã dự án</x:v>
      </x:c>
      <x:c r="B1" s="6" t="str">
        <x:v>Tên dự án</x:v>
      </x:c>
      <x:c r="C1" s="6" t="str">
        <x:v>Nhóm</x:v>
      </x:c>
      <x:c r="D1" s="6" t="str">
        <x:v>Ngân sách (tỷ)</x:v>
      </x:c>
      <x:c r="E1" s="6" t="str">
        <x:v>Tiến độ KH</x:v>
      </x:c>
      <x:c r="F1" s="6" t="str">
        <x:v>Tiến độ TH</x:v>
      </x:c>
      <x:c r="G1" s="6" t="str">
        <x:v>Chủ trì</x:v>
      </x:c>
      <x:c r="H1" s="6" t="str">
        <x:v>Hạn hoàn thành</x:v>
      </x:c>
      <x:c r="I1" s="6" t="str">
        <x:v>Trạng thái</x:v>
      </x:c>
      <x:c r="J1" s="6" t="str">
        <x:v>Rủi ro chính</x:v>
      </x:c>
      <x:c r="K1" s="6" t="str">
        <x:v>Sai lệch</x:v>
      </x:c>
    </x:row>
    <x:row r="2">
      <x:c r="A2" s="12" t="str">
        <x:v>PRJ-001</x:v>
      </x:c>
      <x:c r="B2" s="12" t="str">
        <x:v>ERP tài chính – mua sắm</x:v>
      </x:c>
      <x:c r="C2" s="12" t="str">
        <x:v>Chuyển đổi số</x:v>
      </x:c>
      <x:c r="D2" s="12" t="n">
        <x:v>85</x:v>
      </x:c>
      <x:c r="E2" s="16" t="n">
        <x:v>0.72</x:v>
      </x:c>
      <x:c r="F2" s="16" t="n">
        <x:v>0.68</x:v>
      </x:c>
      <x:c r="G2" s="12" t="str">
        <x:v>CIO</x:v>
      </x:c>
      <x:c r="H2" s="18" t="n">
        <x:v>46371</x:v>
      </x:c>
      <x:c r="I2" s="12" t="str">
        <x:v>Theo dõi</x:v>
      </x:c>
      <x:c r="J2" s="12" t="str">
        <x:v>Tích hợp dữ liệu đại lý</x:v>
      </x:c>
      <x:c r="K2" s="16" t="n">
        <x:f>F2-E2</x:f>
        <x:v>-0.039999999999999925</x:v>
      </x:c>
    </x:row>
    <x:row r="3">
      <x:c r="A3" s="12" t="str">
        <x:v>PRJ-002</x:v>
      </x:c>
      <x:c r="B3" s="12" t="str">
        <x:v>CRM khách hàng toàn hệ thống</x:v>
      </x:c>
      <x:c r="C3" s="12" t="str">
        <x:v>Khách hàng</x:v>
      </x:c>
      <x:c r="D3" s="12" t="n">
        <x:v>42</x:v>
      </x:c>
      <x:c r="E3" s="16" t="n">
        <x:v>0.8</x:v>
      </x:c>
      <x:c r="F3" s="16" t="n">
        <x:v>0.77</x:v>
      </x:c>
      <x:c r="G3" s="12" t="str">
        <x:v>CX Director</x:v>
      </x:c>
      <x:c r="H3" s="18" t="n">
        <x:v>46325</x:v>
      </x:c>
      <x:c r="I3" s="12" t="str">
        <x:v>Đang triển khai</x:v>
      </x:c>
      <x:c r="J3" s="12" t="str">
        <x:v>Chất lượng dữ liệu khách hàng</x:v>
      </x:c>
      <x:c r="K3" s="16" t="n">
        <x:f>F3-E3</x:f>
        <x:v>-0.030000000000000027</x:v>
      </x:c>
    </x:row>
    <x:row r="4">
      <x:c r="A4" s="12" t="str">
        <x:v>PRJ-003</x:v>
      </x:c>
      <x:c r="B4" s="12" t="str">
        <x:v>Mở rộng VinFast Ninh Bình</x:v>
      </x:c>
      <x:c r="C4" s="12" t="str">
        <x:v>Mạng lưới</x:v>
      </x:c>
      <x:c r="D4" s="12" t="n">
        <x:v>68</x:v>
      </x:c>
      <x:c r="E4" s="16" t="n">
        <x:v>0.62</x:v>
      </x:c>
      <x:c r="F4" s="16" t="n">
        <x:v>0.55</x:v>
      </x:c>
      <x:c r="G4" s="12" t="str">
        <x:v>COO</x:v>
      </x:c>
      <x:c r="H4" s="18" t="n">
        <x:v>46356</x:v>
      </x:c>
      <x:c r="I4" s="12" t="str">
        <x:v>Cảnh báo</x:v>
      </x:c>
      <x:c r="J4" s="12" t="str">
        <x:v>Tiến độ xây dựng</x:v>
      </x:c>
      <x:c r="K4" s="16" t="n">
        <x:f>F4-E4</x:f>
        <x:v>-0.06999999999999995</x:v>
      </x:c>
    </x:row>
    <x:row r="5">
      <x:c r="A5" s="12" t="str">
        <x:v>PRJ-004</x:v>
      </x:c>
      <x:c r="B5" s="12" t="str">
        <x:v>Kho phụ tùng tập trung</x:v>
      </x:c>
      <x:c r="C5" s="12" t="str">
        <x:v>Chuỗi cung ứng</x:v>
      </x:c>
      <x:c r="D5" s="12" t="n">
        <x:v>55</x:v>
      </x:c>
      <x:c r="E5" s="16" t="n">
        <x:v>0.48</x:v>
      </x:c>
      <x:c r="F5" s="16" t="n">
        <x:v>0.5</x:v>
      </x:c>
      <x:c r="G5" s="12" t="str">
        <x:v>COO</x:v>
      </x:c>
      <x:c r="H5" s="18" t="n">
        <x:v>46446</x:v>
      </x:c>
      <x:c r="I5" s="12" t="str">
        <x:v>Đang triển khai</x:v>
      </x:c>
      <x:c r="J5" s="12" t="str">
        <x:v>Thiết kế vận hành</x:v>
      </x:c>
      <x:c r="K5" s="16" t="n">
        <x:f>F5-E5</x:f>
        <x:v>0.020000000000000018</x:v>
      </x:c>
    </x:row>
    <x:row r="6">
      <x:c r="A6" s="12" t="str">
        <x:v>PRJ-005</x:v>
      </x:c>
      <x:c r="B6" s="12" t="str">
        <x:v>Executive Data Hub</x:v>
      </x:c>
      <x:c r="C6" s="12" t="str">
        <x:v>Dữ liệu</x:v>
      </x:c>
      <x:c r="D6" s="12" t="n">
        <x:v>32</x:v>
      </x:c>
      <x:c r="E6" s="16" t="n">
        <x:v>0.66</x:v>
      </x:c>
      <x:c r="F6" s="16" t="n">
        <x:v>0.63</x:v>
      </x:c>
      <x:c r="G6" s="12" t="str">
        <x:v>CIO</x:v>
      </x:c>
      <x:c r="H6" s="18" t="n">
        <x:v>46295</x:v>
      </x:c>
      <x:c r="I6" s="12" t="str">
        <x:v>Theo dõi</x:v>
      </x:c>
      <x:c r="J6" s="12" t="str">
        <x:v>Chuẩn hóa master data</x:v>
      </x:c>
      <x:c r="K6" s="16" t="n">
        <x:f>F6-E6</x:f>
        <x:v>-0.030000000000000027</x:v>
      </x:c>
    </x:row>
  </x:sheetData>
  <x:dataValidations count="1">
    <x:dataValidation type="list" sqref="I2:I200">
      <x:formula1>"Kế hoạch,Đang triển khai,Theo dõi,Cảnh báo,Hoàn thành"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dede1d345d42e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8" hidden="0" customWidth="1"/>
    <x:col min="4" max="4" width="13" hidden="0" customWidth="1"/>
    <x:col min="5" max="5" width="13" hidden="0" customWidth="1"/>
    <x:col min="6" max="6" width="22" hidden="0" customWidth="1"/>
    <x:col min="7" max="7" width="42" hidden="0" customWidth="1"/>
    <x:col min="8" max="8" width="14" hidden="0" customWidth="1"/>
    <x:col min="9" max="9" width="16" hidden="0" customWidth="1"/>
  </x:cols>
  <x:sheetData>
    <x:row r="1">
      <x:c r="A1" s="6" t="str">
        <x:v>Mã rủi ro</x:v>
      </x:c>
      <x:c r="B1" s="6" t="str">
        <x:v>Nhóm</x:v>
      </x:c>
      <x:c r="C1" s="6" t="str">
        <x:v>Mô tả</x:v>
      </x:c>
      <x:c r="D1" s="6" t="str">
        <x:v>Xác suất</x:v>
      </x:c>
      <x:c r="E1" s="6" t="str">
        <x:v>Tác động</x:v>
      </x:c>
      <x:c r="F1" s="6" t="str">
        <x:v>Chủ sở hữu</x:v>
      </x:c>
      <x:c r="G1" s="6" t="str">
        <x:v>Biện pháp ứng phó</x:v>
      </x:c>
      <x:c r="H1" s="6" t="str">
        <x:v>Mức độ</x:v>
      </x:c>
      <x:c r="I1" s="6" t="str">
        <x:v>Điểm rủi ro</x:v>
      </x:c>
    </x:row>
    <x:row r="2">
      <x:c r="A2" s="12" t="str">
        <x:v>RSK-001</x:v>
      </x:c>
      <x:c r="B2" s="12" t="str">
        <x:v>Tồn kho</x:v>
      </x:c>
      <x:c r="C2" s="12" t="str">
        <x:v>Tồn kho xe điện và xe mới vượt ngưỡng</x:v>
      </x:c>
      <x:c r="D2" s="12" t="n">
        <x:v>4</x:v>
      </x:c>
      <x:c r="E2" s="12" t="n">
        <x:v>4</x:v>
      </x:c>
      <x:c r="F2" s="12" t="str">
        <x:v>COO</x:v>
      </x:c>
      <x:c r="G2" s="12" t="str">
        <x:v>Tái phân bổ tồn kho và chiến dịch bán hàng</x:v>
      </x:c>
      <x:c r="H2" s="12" t="str">
        <x:v>Cao</x:v>
      </x:c>
      <x:c r="I2" s="12" t="n">
        <x:f>D2*E2</x:f>
        <x:v>16</x:v>
      </x:c>
    </x:row>
    <x:row r="3">
      <x:c r="A3" s="12" t="str">
        <x:v>RSK-002</x:v>
      </x:c>
      <x:c r="B3" s="12" t="str">
        <x:v>Tài chính</x:v>
      </x:c>
      <x:c r="C3" s="12" t="str">
        <x:v>Dòng tiền chịu áp lực do vốn lưu động</x:v>
      </x:c>
      <x:c r="D3" s="12" t="n">
        <x:v>4</x:v>
      </x:c>
      <x:c r="E3" s="12" t="n">
        <x:v>5</x:v>
      </x:c>
      <x:c r="F3" s="12" t="str">
        <x:v>CFO</x:v>
      </x:c>
      <x:c r="G3" s="12" t="str">
        <x:v>War-room công nợ và hạn mức tồn kho</x:v>
      </x:c>
      <x:c r="H3" s="12" t="str">
        <x:v>Rất cao</x:v>
      </x:c>
      <x:c r="I3" s="12" t="n">
        <x:f>D3*E3</x:f>
        <x:v>20</x:v>
      </x:c>
    </x:row>
    <x:row r="4">
      <x:c r="A4" s="12" t="str">
        <x:v>RSK-003</x:v>
      </x:c>
      <x:c r="B4" s="12" t="str">
        <x:v>Thương hiệu</x:v>
      </x:c>
      <x:c r="C4" s="12" t="str">
        <x:v>Biến động chính sách bán hàng từ hãng</x:v>
      </x:c>
      <x:c r="D4" s="12" t="n">
        <x:v>3</x:v>
      </x:c>
      <x:c r="E4" s="12" t="n">
        <x:v>4</x:v>
      </x:c>
      <x:c r="F4" s="12" t="str">
        <x:v>Commercial Director</x:v>
      </x:c>
      <x:c r="G4" s="12" t="str">
        <x:v>Đa dạng hóa danh mục và kiểm soát rebate</x:v>
      </x:c>
      <x:c r="H4" s="12" t="str">
        <x:v>Cao</x:v>
      </x:c>
      <x:c r="I4" s="12" t="n">
        <x:f>D4*E4</x:f>
        <x:v>12</x:v>
      </x:c>
    </x:row>
    <x:row r="5">
      <x:c r="A5" s="12" t="str">
        <x:v>RSK-004</x:v>
      </x:c>
      <x:c r="B5" s="12" t="str">
        <x:v>Dịch vụ</x:v>
      </x:c>
      <x:c r="C5" s="12" t="str">
        <x:v>Thiếu kỹ thuật viên EV có chứng chỉ</x:v>
      </x:c>
      <x:c r="D5" s="12" t="n">
        <x:v>3</x:v>
      </x:c>
      <x:c r="E5" s="12" t="n">
        <x:v>4</x:v>
      </x:c>
      <x:c r="F5" s="12" t="str">
        <x:v>Service Director</x:v>
      </x:c>
      <x:c r="G5" s="12" t="str">
        <x:v>Đào tạo nhanh và giữ chân nhân sự</x:v>
      </x:c>
      <x:c r="H5" s="12" t="str">
        <x:v>Cao</x:v>
      </x:c>
      <x:c r="I5" s="12" t="n">
        <x:f>D5*E5</x:f>
        <x:v>12</x:v>
      </x:c>
    </x:row>
    <x:row r="6">
      <x:c r="A6" s="12" t="str">
        <x:v>RSK-005</x:v>
      </x:c>
      <x:c r="B6" s="12" t="str">
        <x:v>Công nghệ</x:v>
      </x:c>
      <x:c r="C6" s="12" t="str">
        <x:v>Dữ liệu đại lý chưa đồng nhất</x:v>
      </x:c>
      <x:c r="D6" s="12" t="n">
        <x:v>4</x:v>
      </x:c>
      <x:c r="E6" s="12" t="n">
        <x:v>3</x:v>
      </x:c>
      <x:c r="F6" s="12" t="str">
        <x:v>CIO</x:v>
      </x:c>
      <x:c r="G6" s="12" t="str">
        <x:v>Data governance và master data</x:v>
      </x:c>
      <x:c r="H6" s="12" t="str">
        <x:v>Cao</x:v>
      </x:c>
      <x:c r="I6" s="12" t="n">
        <x:f>D6*E6</x:f>
        <x:v>12</x:v>
      </x:c>
    </x:row>
    <x:row r="7">
      <x:c r="A7" s="12" t="str">
        <x:v>RSK-006</x:v>
      </x:c>
      <x:c r="B7" s="12" t="str">
        <x:v>Tuân thủ</x:v>
      </x:c>
      <x:c r="C7" s="12" t="str">
        <x:v>Rủi ro hợp đồng và bảo vệ dữ liệu khách hàng</x:v>
      </x:c>
      <x:c r="D7" s="12" t="n">
        <x:v>2</x:v>
      </x:c>
      <x:c r="E7" s="12" t="n">
        <x:v>5</x:v>
      </x:c>
      <x:c r="F7" s="12" t="str">
        <x:v>Legal Director</x:v>
      </x:c>
      <x:c r="G7" s="12" t="str">
        <x:v>Rà soát mẫu hợp đồng và consent</x:v>
      </x:c>
      <x:c r="H7" s="12" t="str">
        <x:v>Cao</x:v>
      </x:c>
      <x:c r="I7" s="12" t="n">
        <x:f>D7*E7</x:f>
        <x:v>10</x:v>
      </x:c>
    </x:row>
  </x:sheetData>
  <x:conditionalFormatting sqref="I2:I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29a56af6c8641da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28" hidden="0" customWidth="1"/>
    <x:col min="4" max="4" width="30" hidden="0" customWidth="1"/>
    <x:col min="5" max="5" width="38" hidden="0" customWidth="1"/>
    <x:col min="6" max="6" width="22" hidden="0" customWidth="1"/>
    <x:col min="7" max="7" width="16" hidden="0" customWidth="1"/>
    <x:col min="8" max="8" width="20" hidden="0" customWidth="1"/>
    <x:col min="9" max="9" width="20" hidden="0" customWidth="1"/>
    <x:col min="10" max="10" width="16" hidden="0" customWidth="1"/>
  </x:cols>
  <x:sheetData>
    <x:row r="1">
      <x:c r="A1" s="6" t="str">
        <x:v>Mã kiểm soát</x:v>
      </x:c>
      <x:c r="B1" s="6" t="str">
        <x:v>Quy trình</x:v>
      </x:c>
      <x:c r="C1" s="6" t="str">
        <x:v>Hoạt động</x:v>
      </x:c>
      <x:c r="D1" s="6" t="str">
        <x:v>Rủi ro</x:v>
      </x:c>
      <x:c r="E1" s="6" t="str">
        <x:v>Kiểm soát chính</x:v>
      </x:c>
      <x:c r="F1" s="6" t="str">
        <x:v>Chủ sở hữu</x:v>
      </x:c>
      <x:c r="G1" s="6" t="str">
        <x:v>Tần suất</x:v>
      </x:c>
      <x:c r="H1" s="6" t="str">
        <x:v>Đánh giá thiết kế</x:v>
      </x:c>
      <x:c r="I1" s="6" t="str">
        <x:v>Đánh giá vận hành</x:v>
      </x:c>
      <x:c r="J1" s="6" t="str">
        <x:v>Kết luận</x:v>
      </x:c>
    </x:row>
    <x:row r="2">
      <x:c r="A2" s="12" t="str">
        <x:v>RCM-001</x:v>
      </x:c>
      <x:c r="B2" s="12" t="str">
        <x:v>Bán hàng</x:v>
      </x:c>
      <x:c r="C2" s="12" t="str">
        <x:v>Phê duyệt chiết khấu vượt khung</x:v>
      </x:c>
      <x:c r="D2" s="12" t="str">
        <x:v>Chiết khấu sai thẩm quyền</x:v>
      </x:c>
      <x:c r="E2" s="12" t="str">
        <x:v>Phê duyệt 2 cấp trên DMS</x:v>
      </x:c>
      <x:c r="F2" s="12" t="str">
        <x:v>Phòng Kinh doanh</x:v>
      </x:c>
      <x:c r="G2" s="12" t="str">
        <x:v>Hàng ngày</x:v>
      </x:c>
      <x:c r="H2" s="12" t="str">
        <x:v>Thiết kế tốt</x:v>
      </x:c>
      <x:c r="I2" s="12" t="str">
        <x:v>Vận hành một phần</x:v>
      </x:c>
      <x:c r="J2" s="12" t="str">
        <x:v>Khắc phục</x:v>
      </x:c>
    </x:row>
    <x:row r="3">
      <x:c r="A3" s="12" t="str">
        <x:v>RCM-002</x:v>
      </x:c>
      <x:c r="B3" s="12" t="str">
        <x:v>Tồn kho</x:v>
      </x:c>
      <x:c r="C3" s="12" t="str">
        <x:v>Nhập xe và phân bổ tồn kho</x:v>
      </x:c>
      <x:c r="D3" s="12" t="str">
        <x:v>Tồn kho già hóa</x:v>
      </x:c>
      <x:c r="E3" s="12" t="str">
        <x:v>Ngưỡng tồn theo model/dealer</x:v>
      </x:c>
      <x:c r="F3" s="12" t="str">
        <x:v>Supply Chain</x:v>
      </x:c>
      <x:c r="G3" s="12" t="str">
        <x:v>Hàng tuần</x:v>
      </x:c>
      <x:c r="H3" s="12" t="str">
        <x:v>Thiết kế tốt</x:v>
      </x:c>
      <x:c r="I3" s="12" t="str">
        <x:v>Chưa ổn định</x:v>
      </x:c>
      <x:c r="J3" s="12" t="str">
        <x:v>Khắc phục</x:v>
      </x:c>
    </x:row>
    <x:row r="4">
      <x:c r="A4" s="12" t="str">
        <x:v>RCM-003</x:v>
      </x:c>
      <x:c r="B4" s="12" t="str">
        <x:v>Dịch vụ</x:v>
      </x:c>
      <x:c r="C4" s="12" t="str">
        <x:v>Đóng lệnh sửa chữa</x:v>
      </x:c>
      <x:c r="D4" s="12" t="str">
        <x:v>Ghi nhận thiếu doanh thu/phụ tùng</x:v>
      </x:c>
      <x:c r="E4" s="12" t="str">
        <x:v>Đối chiếu RO – hóa đơn – xuất kho</x:v>
      </x:c>
      <x:c r="F4" s="12" t="str">
        <x:v>Service Finance</x:v>
      </x:c>
      <x:c r="G4" s="12" t="str">
        <x:v>Hàng ngày</x:v>
      </x:c>
      <x:c r="H4" s="12" t="str">
        <x:v>Thiết kế tốt</x:v>
      </x:c>
      <x:c r="I4" s="12" t="str">
        <x:v>Hiệu quả</x:v>
      </x:c>
      <x:c r="J4" s="12" t="str">
        <x:v>Đạt</x:v>
      </x:c>
    </x:row>
    <x:row r="5">
      <x:c r="A5" s="12" t="str">
        <x:v>RCM-004</x:v>
      </x:c>
      <x:c r="B5" s="12" t="str">
        <x:v>Mua sắm</x:v>
      </x:c>
      <x:c r="C5" s="12" t="str">
        <x:v>Lựa chọn nhà cung cấp</x:v>
      </x:c>
      <x:c r="D5" s="12" t="str">
        <x:v>Xung đột lợi ích</x:v>
      </x:c>
      <x:c r="E5" s="12" t="str">
        <x:v>Tách biệt đề xuất, phê duyệt, nhận hàng</x:v>
      </x:c>
      <x:c r="F5" s="12" t="str">
        <x:v>Procurement</x:v>
      </x:c>
      <x:c r="G5" s="12" t="str">
        <x:v>Theo giao dịch</x:v>
      </x:c>
      <x:c r="H5" s="12" t="str">
        <x:v>Cần cải thiện</x:v>
      </x:c>
      <x:c r="I5" s="12" t="str">
        <x:v>Chưa hiệu quả</x:v>
      </x:c>
      <x:c r="J5" s="12" t="str">
        <x:v>Cảnh báo</x:v>
      </x:c>
    </x:row>
    <x:row r="6">
      <x:c r="A6" s="12" t="str">
        <x:v>RCM-005</x:v>
      </x:c>
      <x:c r="B6" s="12" t="str">
        <x:v>Dữ liệu</x:v>
      </x:c>
      <x:c r="C6" s="12" t="str">
        <x:v>Quản trị dữ liệu khách hàng</x:v>
      </x:c>
      <x:c r="D6" s="12" t="str">
        <x:v>Rò rỉ hoặc dùng sai mục đích</x:v>
      </x:c>
      <x:c r="E6" s="12" t="str">
        <x:v>Consent và phân quyền truy cập</x:v>
      </x:c>
      <x:c r="F6" s="12" t="str">
        <x:v>CIO/Legal</x:v>
      </x:c>
      <x:c r="G6" s="12" t="str">
        <x:v>Liên tục</x:v>
      </x:c>
      <x:c r="H6" s="12" t="str">
        <x:v>Cần cải thiện</x:v>
      </x:c>
      <x:c r="I6" s="12" t="str">
        <x:v>Vận hành một phần</x:v>
      </x:c>
      <x:c r="J6" s="12" t="str">
        <x:v>Khắc phục</x:v>
      </x:c>
    </x:row>
  </x:sheetData>
  <x:pageMargins left="0.7" right="0.7" top="0.75" bottom="0.75" header="0.3" footer="0.3"/>
  <x:tableParts count="1">
    <x:tablePart xmlns:r="http://schemas.openxmlformats.org/officeDocument/2006/relationships" r:id="R2ee09c0d58d54d5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4" hidden="0" customWidth="1"/>
    <x:col min="4" max="4" width="20" hidden="0" customWidth="1"/>
    <x:col min="5" max="5" width="20" hidden="0" customWidth="1"/>
    <x:col min="6" max="6" width="15" hidden="0" customWidth="1"/>
    <x:col min="7" max="7" width="16" hidden="0" customWidth="1"/>
    <x:col min="8" max="8" width="18" hidden="0" customWidth="1"/>
    <x:col min="9" max="9" width="38" hidden="0" customWidth="1"/>
  </x:cols>
  <x:sheetData>
    <x:row r="1">
      <x:c r="A1" s="6" t="str">
        <x:v>Mã hồ sơ</x:v>
      </x:c>
      <x:c r="B1" s="6" t="str">
        <x:v>Vấn đề cần quyết định</x:v>
      </x:c>
      <x:c r="C1" s="6" t="str">
        <x:v>Bối cảnh</x:v>
      </x:c>
      <x:c r="D1" s="6" t="str">
        <x:v>Người đề xuất</x:v>
      </x:c>
      <x:c r="E1" s="6" t="str">
        <x:v>Cấp phê duyệt</x:v>
      </x:c>
      <x:c r="F1" s="6" t="str">
        <x:v>Ngày trình</x:v>
      </x:c>
      <x:c r="G1" s="6" t="str">
        <x:v>Hạn quyết định</x:v>
      </x:c>
      <x:c r="H1" s="6" t="str">
        <x:v>Trạng thái</x:v>
      </x:c>
      <x:c r="I1" s="6" t="str">
        <x:v>Khuyến nghị</x:v>
      </x:c>
    </x:row>
    <x:row r="2">
      <x:c r="A2" s="12" t="str">
        <x:v>DEC-001</x:v>
      </x:c>
      <x:c r="B2" s="12" t="str">
        <x:v>Điều chỉnh chính sách tồn kho quý III</x:v>
      </x:c>
      <x:c r="C2" s="12" t="str">
        <x:v>Kiểm soát vốn lưu động</x:v>
      </x:c>
      <x:c r="D2" s="12" t="str">
        <x:v>CFO/COO</x:v>
      </x:c>
      <x:c r="E2" s="12" t="str">
        <x:v>Chủ tịch HĐQT</x:v>
      </x:c>
      <x:c r="F2" s="18" t="n">
        <x:v>46221</x:v>
      </x:c>
      <x:c r="G2" s="18" t="n">
        <x:v>46228</x:v>
      </x:c>
      <x:c r="H2" s="12" t="str">
        <x:v>Chờ quyết định</x:v>
      </x:c>
      <x:c r="I2" s="12" t="str">
        <x:v>Áp dụng hạn mức tồn theo thương hiệu</x:v>
      </x:c>
    </x:row>
    <x:row r="3">
      <x:c r="A3" s="12" t="str">
        <x:v>DEC-002</x:v>
      </x:c>
      <x:c r="B3" s="12" t="str">
        <x:v>Phê duyệt giai đoạn 2 Executive Data Hub</x:v>
      </x:c>
      <x:c r="C3" s="12" t="str">
        <x:v>Chuẩn hóa dữ liệu điều hành</x:v>
      </x:c>
      <x:c r="D3" s="12" t="str">
        <x:v>CIO</x:v>
      </x:c>
      <x:c r="E3" s="12" t="str">
        <x:v>HĐQT</x:v>
      </x:c>
      <x:c r="F3" s="18" t="n">
        <x:v>46223</x:v>
      </x:c>
      <x:c r="G3" s="18" t="n">
        <x:v>46233</x:v>
      </x:c>
      <x:c r="H3" s="12" t="str">
        <x:v>Đang xem xét</x:v>
      </x:c>
      <x:c r="I3" s="12" t="str">
        <x:v>Triển khai theo 3 wave</x:v>
      </x:c>
    </x:row>
    <x:row r="4">
      <x:c r="A4" s="12" t="str">
        <x:v>DEC-003</x:v>
      </x:c>
      <x:c r="B4" s="12" t="str">
        <x:v>Kế hoạch đào tạo kỹ thuật viên EV</x:v>
      </x:c>
      <x:c r="C4" s="12" t="str">
        <x:v>Đảm bảo năng lực dịch vụ xe điện</x:v>
      </x:c>
      <x:c r="D4" s="12" t="str">
        <x:v>Service Director</x:v>
      </x:c>
      <x:c r="E4" s="12" t="str">
        <x:v>Tổng Giám đốc</x:v>
      </x:c>
      <x:c r="F4" s="18" t="n">
        <x:v>46218</x:v>
      </x:c>
      <x:c r="G4" s="18" t="n">
        <x:v>46225</x:v>
      </x:c>
      <x:c r="H4" s="12" t="str">
        <x:v>Đã phê duyệt</x:v>
      </x:c>
      <x:c r="I4" s="12" t="str">
        <x:v>Đào tạo 60 KTV trong 6 tháng</x:v>
      </x:c>
    </x:row>
  </x:sheetData>
  <x:dataValidations count="1">
    <x:dataValidation type="list" sqref="H2:H200">
      <x:formula1>"Mới,Đang xem xét,Chờ quyết định,Đã phê duyệt,Từ chối,Đã đóng"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9293b41d424044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22" hidden="0" customWidth="1"/>
    <x:col min="5" max="5" width="15" hidden="0" customWidth="1"/>
    <x:col min="6" max="6" width="18" hidden="0" customWidth="1"/>
    <x:col min="7" max="7" width="14" hidden="0" customWidth="1"/>
    <x:col min="8" max="8" width="18" hidden="0" customWidth="1"/>
    <x:col min="9" max="9" width="34" hidden="0" customWidth="1"/>
    <x:col min="10" max="10" width="34" hidden="0" customWidth="1"/>
  </x:cols>
  <x:sheetData>
    <x:row r="1">
      <x:c r="A1" s="6" t="str">
        <x:v>Mã hành động</x:v>
      </x:c>
      <x:c r="B1" s="6" t="str">
        <x:v>Nguồn chỉ đạo</x:v>
      </x:c>
      <x:c r="C1" s="6" t="str">
        <x:v>Nội dung</x:v>
      </x:c>
      <x:c r="D1" s="6" t="str">
        <x:v>Chủ trì</x:v>
      </x:c>
      <x:c r="E1" s="6" t="str">
        <x:v>Ngày giao</x:v>
      </x:c>
      <x:c r="F1" s="6" t="str">
        <x:v>Hạn hoàn thành</x:v>
      </x:c>
      <x:c r="G1" s="6" t="str">
        <x:v>Tiến độ</x:v>
      </x:c>
      <x:c r="H1" s="6" t="str">
        <x:v>Trạng thái</x:v>
      </x:c>
      <x:c r="I1" s="6" t="str">
        <x:v>Vướng mắc</x:v>
      </x:c>
      <x:c r="J1" s="6" t="str">
        <x:v>Hành động tiếp theo</x:v>
      </x:c>
    </x:row>
    <x:row r="2">
      <x:c r="A2" s="12" t="str">
        <x:v>ACT-001</x:v>
      </x:c>
      <x:c r="B2" s="12" t="str">
        <x:v>Chủ tịch HĐQT</x:v>
      </x:c>
      <x:c r="C2" s="12" t="str">
        <x:v>Thiết lập war-room vốn lưu động</x:v>
      </x:c>
      <x:c r="D2" s="12" t="str">
        <x:v>CFO</x:v>
      </x:c>
      <x:c r="E2" s="18" t="n">
        <x:v>46213</x:v>
      </x:c>
      <x:c r="F2" s="18" t="n">
        <x:v>46227</x:v>
      </x:c>
      <x:c r="G2" s="16" t="n">
        <x:v>0.75</x:v>
      </x:c>
      <x:c r="H2" s="12" t="str">
        <x:v>Đang thực hiện</x:v>
      </x:c>
      <x:c r="I2" s="12" t="str">
        <x:v>Thiếu dữ liệu tồn kho đồng nhất</x:v>
      </x:c>
      <x:c r="J2" s="12" t="str">
        <x:v>CIO cung cấp data mart tạm thời</x:v>
      </x:c>
    </x:row>
    <x:row r="3">
      <x:c r="A3" s="12" t="str">
        <x:v>ACT-002</x:v>
      </x:c>
      <x:c r="B3" s="12" t="str">
        <x:v>Ban Điều hành</x:v>
      </x:c>
      <x:c r="C3" s="12" t="str">
        <x:v>Recovery plan dự án VinFast Ninh Bình</x:v>
      </x:c>
      <x:c r="D3" s="12" t="str">
        <x:v>COO</x:v>
      </x:c>
      <x:c r="E3" s="18" t="n">
        <x:v>46215</x:v>
      </x:c>
      <x:c r="F3" s="18" t="n">
        <x:v>46225</x:v>
      </x:c>
      <x:c r="G3" s="16" t="n">
        <x:v>0.6</x:v>
      </x:c>
      <x:c r="H3" s="12" t="str">
        <x:v>Quá hạn</x:v>
      </x:c>
      <x:c r="I3" s="12" t="str">
        <x:v>Nhà thầu chậm</x:v>
      </x:c>
      <x:c r="J3" s="12" t="str">
        <x:v>Đề xuất thay gói thầu phụ</x:v>
      </x:c>
    </x:row>
    <x:row r="4">
      <x:c r="A4" s="12" t="str">
        <x:v>ACT-003</x:v>
      </x:c>
      <x:c r="B4" s="12" t="str">
        <x:v>Ủy ban Kiểm toán</x:v>
      </x:c>
      <x:c r="C4" s="12" t="str">
        <x:v>Hoàn thiện phân quyền mua sắm</x:v>
      </x:c>
      <x:c r="D4" s="12" t="str">
        <x:v>Head of Internal Control</x:v>
      </x:c>
      <x:c r="E4" s="18" t="n">
        <x:v>46204</x:v>
      </x:c>
      <x:c r="F4" s="18" t="n">
        <x:v>46234</x:v>
      </x:c>
      <x:c r="G4" s="16" t="n">
        <x:v>0.8</x:v>
      </x:c>
      <x:c r="H4" s="12" t="str">
        <x:v>Đang thực hiện</x:v>
      </x:c>
      <x:c r="I4" s="12" t="str">
        <x:v>Cần thống nhất giữa các đơn vị</x:v>
      </x:c>
      <x:c r="J4" s="12" t="str">
        <x:v>Ban hành interim control</x:v>
      </x:c>
    </x:row>
    <x:row r="5">
      <x:c r="A5" s="12" t="str">
        <x:v>ACT-004</x:v>
      </x:c>
      <x:c r="B5" s="12" t="str">
        <x:v>Tổng Giám đốc</x:v>
      </x:c>
      <x:c r="C5" s="12" t="str">
        <x:v>Chuẩn hóa dashboard dealer performance</x:v>
      </x:c>
      <x:c r="D5" s="12" t="str">
        <x:v>CIO</x:v>
      </x:c>
      <x:c r="E5" s="18" t="n">
        <x:v>46211</x:v>
      </x:c>
      <x:c r="F5" s="18" t="n">
        <x:v>46239</x:v>
      </x:c>
      <x:c r="G5" s="16" t="n">
        <x:v>0.68</x:v>
      </x:c>
      <x:c r="H5" s="12" t="str">
        <x:v>Đang thực hiện</x:v>
      </x:c>
      <x:c r="I5" s="12" t="str">
        <x:v>Master data chưa sạch</x:v>
      </x:c>
      <x:c r="J5" s="12" t="str">
        <x:v>Ưu tiên top 10 KPI</x:v>
      </x:c>
    </x:row>
  </x:sheetData>
  <x:dataValidations count="1">
    <x:dataValidation type="list" sqref="H2:H200">
      <x:formula1>"Mới,Đang thực hiện,Quá hạn,Hoàn thành,Tạm dừng"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4711ef30ea48c2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36" hidden="0" customWidth="1"/>
    <x:col min="8" max="8" width="18" hidden="0" customWidth="1"/>
  </x:cols>
  <x:sheetData>
    <x:row r="1">
      <x:c r="A1" s="6" t="str">
        <x:v>Mã cuộc họp</x:v>
      </x:c>
      <x:c r="B1" s="6" t="str">
        <x:v>Tên cuộc họp</x:v>
      </x:c>
      <x:c r="C1" s="6" t="str">
        <x:v>Cấp họp</x:v>
      </x:c>
      <x:c r="D1" s="6" t="str">
        <x:v>Bắt đầu</x:v>
      </x:c>
      <x:c r="E1" s="6" t="str">
        <x:v>Kết thúc</x:v>
      </x:c>
      <x:c r="F1" s="6" t="str">
        <x:v>Đơn vị chuẩn bị</x:v>
      </x:c>
      <x:c r="G1" s="6" t="str">
        <x:v>Tài liệu</x:v>
      </x:c>
      <x:c r="H1" s="6" t="str">
        <x:v>Trạng thái</x:v>
      </x:c>
    </x:row>
    <x:row r="2">
      <x:c r="A2" s="12" t="str">
        <x:v>MTG-001</x:v>
      </x:c>
      <x:c r="B2" s="12" t="str">
        <x:v>Họp HĐQT thường kỳ tháng 8</x:v>
      </x:c>
      <x:c r="C2" s="12" t="str">
        <x:v>HĐQT</x:v>
      </x:c>
      <x:c r="D2" s="22" t="n">
        <x:v>46239.375</x:v>
      </x:c>
      <x:c r="E2" s="22" t="n">
        <x:v>46239.479166666664</x:v>
      </x:c>
      <x:c r="F2" s="12" t="str">
        <x:v>Văn phòng HĐQT</x:v>
      </x:c>
      <x:c r="G2" s="12" t="str">
        <x:v>Board Pack; Decision Memo</x:v>
      </x:c>
      <x:c r="H2" s="12" t="str">
        <x:v>Đang chuẩn bị</x:v>
      </x:c>
    </x:row>
    <x:row r="3">
      <x:c r="A3" s="12" t="str">
        <x:v>MTG-002</x:v>
      </x:c>
      <x:c r="B3" s="12" t="str">
        <x:v>Business Review tháng 7</x:v>
      </x:c>
      <x:c r="C3" s="12" t="str">
        <x:v>Ban Điều hành</x:v>
      </x:c>
      <x:c r="D3" s="22" t="n">
        <x:v>46232.583333333336</x:v>
      </x:c>
      <x:c r="E3" s="22" t="n">
        <x:v>46232.6875</x:v>
      </x:c>
      <x:c r="F3" s="12" t="str">
        <x:v>FP&amp;A</x:v>
      </x:c>
      <x:c r="G3" s="12" t="str">
        <x:v>KPI; Dealer Ranking; Forecast</x:v>
      </x:c>
      <x:c r="H3" s="12" t="str">
        <x:v>Đang chuẩn bị</x:v>
      </x:c>
    </x:row>
    <x:row r="4">
      <x:c r="A4" s="12" t="str">
        <x:v>MTG-003</x:v>
      </x:c>
      <x:c r="B4" s="12" t="str">
        <x:v>Ủy ban Kiểm toán</x:v>
      </x:c>
      <x:c r="C4" s="12" t="str">
        <x:v>Ủy ban Kiểm toán</x:v>
      </x:c>
      <x:c r="D4" s="22" t="n">
        <x:v>46246.375</x:v>
      </x:c>
      <x:c r="E4" s="22" t="n">
        <x:v>46246.458333333336</x:v>
      </x:c>
      <x:c r="F4" s="12" t="str">
        <x:v>Kiểm soát nội bộ</x:v>
      </x:c>
      <x:c r="G4" s="12" t="str">
        <x:v>Risk; RCM; Audit Findings</x:v>
      </x:c>
      <x:c r="H4" s="12" t="str">
        <x:v>Kế hoạch</x:v>
      </x:c>
    </x:row>
  </x:sheetData>
  <x:pageMargins left="0.7" right="0.7" top="0.75" bottom="0.75" header="0.3" footer="0.3"/>
  <x:tableParts count="1">
    <x:tablePart xmlns:r="http://schemas.openxmlformats.org/officeDocument/2006/relationships" r:id="R1a092039adfe4a19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22" hidden="0" customWidth="1"/>
    <x:col min="5" max="5" width="16" hidden="0" customWidth="1"/>
    <x:col min="6" max="6" width="18" hidden="0" customWidth="1"/>
    <x:col min="7" max="7" width="14" hidden="0" customWidth="1"/>
    <x:col min="8" max="8" width="18" hidden="0" customWidth="1"/>
  </x:cols>
  <x:sheetData>
    <x:row r="1">
      <x:c r="A1" s="6" t="str">
        <x:v>Mã nghị quyết</x:v>
      </x:c>
      <x:c r="B1" s="6" t="str">
        <x:v>Tên văn bản</x:v>
      </x:c>
      <x:c r="C1" s="6" t="str">
        <x:v>Nội dung chính</x:v>
      </x:c>
      <x:c r="D1" s="6" t="str">
        <x:v>Chủ trì</x:v>
      </x:c>
      <x:c r="E1" s="6" t="str">
        <x:v>Ngày ban hành</x:v>
      </x:c>
      <x:c r="F1" s="6" t="str">
        <x:v>Hạn hoàn thành</x:v>
      </x:c>
      <x:c r="G1" s="6" t="str">
        <x:v>Tiến độ</x:v>
      </x:c>
      <x:c r="H1" s="6" t="str">
        <x:v>Trạng thái</x:v>
      </x:c>
    </x:row>
    <x:row r="2">
      <x:c r="A2" s="12" t="str">
        <x:v>RES-001</x:v>
      </x:c>
      <x:c r="B2" s="12" t="str">
        <x:v>Nghị quyết HĐQT 07/2026</x:v>
      </x:c>
      <x:c r="C2" s="12" t="str">
        <x:v>Tối ưu vốn lưu động và tồn kho</x:v>
      </x:c>
      <x:c r="D2" s="12" t="str">
        <x:v>CFO/COO</x:v>
      </x:c>
      <x:c r="E2" s="18" t="n">
        <x:v>46211</x:v>
      </x:c>
      <x:c r="F2" s="18" t="n">
        <x:v>46295</x:v>
      </x:c>
      <x:c r="G2" s="16" t="n">
        <x:v>0.55</x:v>
      </x:c>
      <x:c r="H2" s="12" t="str">
        <x:v>Đang thực hiện</x:v>
      </x:c>
    </x:row>
    <x:row r="3">
      <x:c r="A3" s="12" t="str">
        <x:v>RES-002</x:v>
      </x:c>
      <x:c r="B3" s="12" t="str">
        <x:v>Nghị quyết HĐQT 08/2026</x:v>
      </x:c>
      <x:c r="C3" s="12" t="str">
        <x:v>Đầu tư Executive Data Hub</x:v>
      </x:c>
      <x:c r="D3" s="12" t="str">
        <x:v>CIO</x:v>
      </x:c>
      <x:c r="E3" s="18" t="n">
        <x:v>46211</x:v>
      </x:c>
      <x:c r="F3" s="18" t="n">
        <x:v>46387</x:v>
      </x:c>
      <x:c r="G3" s="16" t="n">
        <x:v>0.35</x:v>
      </x:c>
      <x:c r="H3" s="12" t="str">
        <x:v>Đang thực hiện</x:v>
      </x:c>
    </x:row>
    <x:row r="4">
      <x:c r="A4" s="12" t="str">
        <x:v>RES-003</x:v>
      </x:c>
      <x:c r="B4" s="12" t="str">
        <x:v>Kết luận TGĐ 15/2026</x:v>
      </x:c>
      <x:c r="C4" s="12" t="str">
        <x:v>Chuẩn hóa chất lượng dịch vụ</x:v>
      </x:c>
      <x:c r="D4" s="12" t="str">
        <x:v>Service Director</x:v>
      </x:c>
      <x:c r="E4" s="18" t="n">
        <x:v>46218</x:v>
      </x:c>
      <x:c r="F4" s="18" t="n">
        <x:v>46326</x:v>
      </x:c>
      <x:c r="G4" s="16" t="n">
        <x:v>0.62</x:v>
      </x:c>
      <x:c r="H4" s="12" t="str">
        <x:v>Đang thực hiện</x:v>
      </x:c>
    </x:row>
  </x:sheetData>
  <x:pageMargins left="0.7" right="0.7" top="0.75" bottom="0.75" header="0.3" footer="0.3"/>
  <x:tableParts count="1">
    <x:tablePart xmlns:r="http://schemas.openxmlformats.org/officeDocument/2006/relationships" r:id="Rd154214fa61d4245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8" hidden="0" customWidth="1"/>
    <x:col min="10" max="10" width="34" hidden="0" customWidth="1"/>
    <x:col min="11" max="11" width="18" hidden="0" customWidth="1"/>
    <x:col min="12" max="12" width="18" hidden="0" customWidth="1"/>
  </x:cols>
  <x:sheetData>
    <x:row r="1">
      <x:c r="A1" s="6" t="str">
        <x:v>Mã đầu tư</x:v>
      </x:c>
      <x:c r="B1" s="6" t="str">
        <x:v>Tên dự án</x:v>
      </x:c>
      <x:c r="C1" s="6" t="str">
        <x:v>Lĩnh vực</x:v>
      </x:c>
      <x:c r="D1" s="6" t="str">
        <x:v>Tổng mức đầu tư</x:v>
      </x:c>
      <x:c r="E1" s="6" t="str">
        <x:v>NPV</x:v>
      </x:c>
      <x:c r="F1" s="6" t="str">
        <x:v>IRR</x:v>
      </x:c>
      <x:c r="G1" s="6" t="str">
        <x:v>Payback</x:v>
      </x:c>
      <x:c r="H1" s="6" t="str">
        <x:v>Điểm rủi ro</x:v>
      </x:c>
      <x:c r="I1" s="6" t="str">
        <x:v>Điểm chiến lược</x:v>
      </x:c>
      <x:c r="J1" s="6" t="str">
        <x:v>Khuyến nghị</x:v>
      </x:c>
      <x:c r="K1" s="6" t="str">
        <x:v>Cấp phê duyệt</x:v>
      </x:c>
      <x:c r="L1" s="6" t="str">
        <x:v>Trạng thái</x:v>
      </x:c>
    </x:row>
    <x:row r="2">
      <x:c r="A2" s="12" t="str">
        <x:v>INVEST-001</x:v>
      </x:c>
      <x:c r="B2" s="12" t="str">
        <x:v>Executive Data Hub</x:v>
      </x:c>
      <x:c r="C2" s="12" t="str">
        <x:v>Công nghệ</x:v>
      </x:c>
      <x:c r="D2" s="12" t="n">
        <x:v>32</x:v>
      </x:c>
      <x:c r="E2" s="12" t="n">
        <x:v>12</x:v>
      </x:c>
      <x:c r="F2" s="16" t="n">
        <x:v>0.243</x:v>
      </x:c>
      <x:c r="G2" s="12" t="n">
        <x:v>3.4</x:v>
      </x:c>
      <x:c r="H2" s="12" t="n">
        <x:v>8</x:v>
      </x:c>
      <x:c r="I2" s="12" t="n">
        <x:v>4.7</x:v>
      </x:c>
      <x:c r="J2" s="12" t="str">
        <x:v>Ưu tiên triển khai</x:v>
      </x:c>
      <x:c r="K2" s="12" t="str">
        <x:v>HĐQT</x:v>
      </x:c>
      <x:c r="L2" s="12" t="str">
        <x:v>Đang triển khai</x:v>
      </x:c>
    </x:row>
    <x:row r="3">
      <x:c r="A3" s="12" t="str">
        <x:v>INVEST-002</x:v>
      </x:c>
      <x:c r="B3" s="12" t="str">
        <x:v>Kho phụ tùng tập trung</x:v>
      </x:c>
      <x:c r="C3" s="12" t="str">
        <x:v>Logistics</x:v>
      </x:c>
      <x:c r="D3" s="12" t="n">
        <x:v>55</x:v>
      </x:c>
      <x:c r="E3" s="12" t="n">
        <x:v>8</x:v>
      </x:c>
      <x:c r="F3" s="16" t="n">
        <x:v>0.171</x:v>
      </x:c>
      <x:c r="G3" s="12" t="n">
        <x:v>5.6</x:v>
      </x:c>
      <x:c r="H3" s="12" t="n">
        <x:v>12</x:v>
      </x:c>
      <x:c r="I3" s="12" t="n">
        <x:v>4.2</x:v>
      </x:c>
      <x:c r="J3" s="12" t="str">
        <x:v>Tiếp tục thẩm định</x:v>
      </x:c>
      <x:c r="K3" s="12" t="str">
        <x:v>HĐQT</x:v>
      </x:c>
      <x:c r="L3" s="12" t="str">
        <x:v>Đang xem xét</x:v>
      </x:c>
    </x:row>
    <x:row r="4">
      <x:c r="A4" s="12" t="str">
        <x:v>INVEST-003</x:v>
      </x:c>
      <x:c r="B4" s="12" t="str">
        <x:v>Mở rộng đại lý xe điện Ninh Bình</x:v>
      </x:c>
      <x:c r="C4" s="12" t="str">
        <x:v>Mạng lưới</x:v>
      </x:c>
      <x:c r="D4" s="12" t="n">
        <x:v>68</x:v>
      </x:c>
      <x:c r="E4" s="12" t="n">
        <x:v>10</x:v>
      </x:c>
      <x:c r="F4" s="16" t="n">
        <x:v>0.158</x:v>
      </x:c>
      <x:c r="G4" s="12" t="n">
        <x:v>6.1</x:v>
      </x:c>
      <x:c r="H4" s="12" t="n">
        <x:v>15</x:v>
      </x:c>
      <x:c r="I4" s="12" t="n">
        <x:v>4</x:v>
      </x:c>
      <x:c r="J4" s="12" t="str">
        <x:v>Phê duyệt theo giai đoạn</x:v>
      </x:c>
      <x:c r="K4" s="12" t="str">
        <x:v>HĐQT</x:v>
      </x:c>
      <x:c r="L4" s="12" t="str">
        <x:v>Cảnh báo</x:v>
      </x:c>
    </x:row>
  </x:sheetData>
  <x:pageMargins left="0.7" right="0.7" top="0.75" bottom="0.75" header="0.3" footer="0.3"/>
  <x:tableParts count="1">
    <x:tablePart xmlns:r="http://schemas.openxmlformats.org/officeDocument/2006/relationships" r:id="R321cad9d68ff4576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2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</x:cols>
  <x:sheetData>
    <x:row r="1">
      <x:c r="A1" s="6" t="str">
        <x:v>Mã kiểm tra</x:v>
      </x:c>
      <x:c r="B1" s="6" t="str">
        <x:v>Bảng dữ liệu</x:v>
      </x:c>
      <x:c r="C1" s="6" t="str">
        <x:v>Trường dữ liệu</x:v>
      </x:c>
      <x:c r="D1" s="6" t="str">
        <x:v>Tiêu chí</x:v>
      </x:c>
      <x:c r="E1" s="6" t="str">
        <x:v>Ngưỡng</x:v>
      </x:c>
      <x:c r="F1" s="6" t="str">
        <x:v>Kết quả</x:v>
      </x:c>
      <x:c r="G1" s="6" t="str">
        <x:v>Trạng thái</x:v>
      </x:c>
      <x:c r="H1" s="6" t="str">
        <x:v>Nguồn</x:v>
      </x:c>
    </x:row>
    <x:row r="2">
      <x:c r="A2" s="12" t="str">
        <x:v>DQ-001</x:v>
      </x:c>
      <x:c r="B2" s="12" t="str">
        <x:v>Ban_hang</x:v>
      </x:c>
      <x:c r="C2" s="12" t="str">
        <x:v>Mã đại lý</x:v>
      </x:c>
      <x:c r="D2" s="12" t="str">
        <x:v>Tính hợp lệ</x:v>
      </x:c>
      <x:c r="E2" s="12" t="str">
        <x:v>100%</x:v>
      </x:c>
      <x:c r="F2" s="12" t="str">
        <x:v>100%</x:v>
      </x:c>
      <x:c r="G2" s="12" t="str">
        <x:v>Đạt</x:v>
      </x:c>
      <x:c r="H2" s="12" t="str">
        <x:v>DMS</x:v>
      </x:c>
    </x:row>
    <x:row r="3">
      <x:c r="A3" s="12" t="str">
        <x:v>DQ-002</x:v>
      </x:c>
      <x:c r="B3" s="12" t="str">
        <x:v>Ton_kho</x:v>
      </x:c>
      <x:c r="C3" s="12" t="str">
        <x:v>Mẫu xe</x:v>
      </x:c>
      <x:c r="D3" s="12" t="str">
        <x:v>Tính đầy đủ</x:v>
      </x:c>
      <x:c r="E3" s="12" t="str">
        <x:v>100%</x:v>
      </x:c>
      <x:c r="F3" s="12" t="str">
        <x:v>97.5%</x:v>
      </x:c>
      <x:c r="G3" s="12" t="str">
        <x:v>Theo dõi</x:v>
      </x:c>
      <x:c r="H3" s="12" t="str">
        <x:v>Dealer inventory report</x:v>
      </x:c>
    </x:row>
    <x:row r="4">
      <x:c r="A4" s="12" t="str">
        <x:v>DQ-003</x:v>
      </x:c>
      <x:c r="B4" s="12" t="str">
        <x:v>Dich_vu</x:v>
      </x:c>
      <x:c r="C4" s="12" t="str">
        <x:v>CSI</x:v>
      </x:c>
      <x:c r="D4" s="12" t="str">
        <x:v>Tính kịp thời</x:v>
      </x:c>
      <x:c r="E4" s="12" t="str">
        <x:v>98%</x:v>
      </x:c>
      <x:c r="F4" s="12" t="str">
        <x:v>94%</x:v>
      </x:c>
      <x:c r="G4" s="12" t="str">
        <x:v>Cảnh báo</x:v>
      </x:c>
      <x:c r="H4" s="12" t="str">
        <x:v>CRM/Survey</x:v>
      </x:c>
    </x:row>
    <x:row r="5">
      <x:c r="A5" s="12" t="str">
        <x:v>DQ-004</x:v>
      </x:c>
      <x:c r="B5" s="12" t="str">
        <x:v>Tai_chinh</x:v>
      </x:c>
      <x:c r="C5" s="12" t="str">
        <x:v>EBITDA</x:v>
      </x:c>
      <x:c r="D5" s="12" t="str">
        <x:v>Đối chiếu</x:v>
      </x:c>
      <x:c r="E5" s="12" t="str">
        <x:v>100%</x:v>
      </x:c>
      <x:c r="F5" s="12" t="str">
        <x:v>100%</x:v>
      </x:c>
      <x:c r="G5" s="12" t="str">
        <x:v>Đạt</x:v>
      </x:c>
      <x:c r="H5" s="12" t="str">
        <x:v>ERP</x:v>
      </x:c>
    </x:row>
    <x:row r="6">
      <x:c r="A6" s="12" t="str">
        <x:v>DQ-005</x:v>
      </x:c>
      <x:c r="B6" s="12" t="str">
        <x:v>Hanh_dong</x:v>
      </x:c>
      <x:c r="C6" s="12" t="str">
        <x:v>Hạn hoàn thành</x:v>
      </x:c>
      <x:c r="D6" s="12" t="str">
        <x:v>Tính đầy đủ</x:v>
      </x:c>
      <x:c r="E6" s="12" t="str">
        <x:v>100%</x:v>
      </x:c>
      <x:c r="F6" s="12" t="str">
        <x:v>100%</x:v>
      </x:c>
      <x:c r="G6" s="12" t="str">
        <x:v>Đạt</x:v>
      </x:c>
      <x:c r="H6" s="12" t="str">
        <x:v>Executive Office</x:v>
      </x:c>
    </x:row>
  </x:sheetData>
  <x:pageMargins left="0.7" right="0.7" top="0.75" bottom="0.75" header="0.3" footer="0.3"/>
  <x:tableParts count="1">
    <x:tablePart xmlns:r="http://schemas.openxmlformats.org/officeDocument/2006/relationships" r:id="R331c5a340dca4318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16" hidden="0" customWidth="1"/>
    <x:col min="5" max="5" width="20" hidden="0" customWidth="1"/>
    <x:col min="6" max="6" width="20" hidden="0" customWidth="1"/>
    <x:col min="7" max="7" width="22" hidden="0" customWidth="1"/>
    <x:col min="8" max="8" width="28" hidden="0" customWidth="1"/>
  </x:cols>
  <x:sheetData>
    <x:row r="1">
      <x:c r="A1" s="29" t="str">
        <x:v>Mã</x:v>
      </x:c>
      <x:c r="B1" s="29" t="str">
        <x:v>Nhóm</x:v>
      </x:c>
      <x:c r="C1" s="29" t="str">
        <x:v>Giả định</x:v>
      </x:c>
      <x:c r="D1" s="29" t="str">
        <x:v>Giá trị</x:v>
      </x:c>
      <x:c r="E1" s="29" t="str">
        <x:v>Đơn vị</x:v>
      </x:c>
      <x:c r="F1" s="29" t="str">
        <x:v>Phân loại</x:v>
      </x:c>
      <x:c r="G1" s="29" t="str">
        <x:v>Owner</x:v>
      </x:c>
      <x:c r="H1" s="29" t="str">
        <x:v>Nguồn</x:v>
      </x:c>
    </x:row>
    <x:row r="2">
      <x:c r="A2" s="12" t="str">
        <x:v>A01</x:v>
      </x:c>
      <x:c r="B2" s="12" t="str">
        <x:v>Tài chính</x:v>
      </x:c>
      <x:c r="C2" s="12" t="str">
        <x:v>Tăng trưởng doanh thu cơ sở</x:v>
      </x:c>
      <x:c r="D2" s="33" t="n">
        <x:v>0.12</x:v>
      </x:c>
      <x:c r="E2" s="12" t="str">
        <x:v>Tỷ lệ</x:v>
      </x:c>
      <x:c r="F2" s="12" t="str">
        <x:v>Kịch bản cơ sở</x:v>
      </x:c>
      <x:c r="G2" s="12" t="str">
        <x:v>CFO</x:v>
      </x:c>
      <x:c r="H2" s="32" t="str">
        <x:v>Giả định mô phỏng</x:v>
      </x:c>
    </x:row>
    <x:row r="3">
      <x:c r="A3" s="12" t="str">
        <x:v>A02</x:v>
      </x:c>
      <x:c r="B3" s="12" t="str">
        <x:v>Tài chính</x:v>
      </x:c>
      <x:c r="C3" s="12" t="str">
        <x:v>Biên EBITDA mục tiêu</x:v>
      </x:c>
      <x:c r="D3" s="33" t="n">
        <x:v>0.095</x:v>
      </x:c>
      <x:c r="E3" s="12" t="str">
        <x:v>Tỷ lệ</x:v>
      </x:c>
      <x:c r="F3" s="12" t="str">
        <x:v>Kịch bản cơ sở</x:v>
      </x:c>
      <x:c r="G3" s="12" t="str">
        <x:v>CFO</x:v>
      </x:c>
      <x:c r="H3" s="32" t="str">
        <x:v>Giả định mô phỏng</x:v>
      </x:c>
    </x:row>
    <x:row r="4">
      <x:c r="A4" s="12" t="str">
        <x:v>A03</x:v>
      </x:c>
      <x:c r="B4" s="12" t="str">
        <x:v>Vốn lưu động</x:v>
      </x:c>
      <x:c r="C4" s="12" t="str">
        <x:v>Số ngày tồn kho mục tiêu</x:v>
      </x:c>
      <x:c r="D4" s="33" t="n">
        <x:v>55</x:v>
      </x:c>
      <x:c r="E4" s="12" t="str">
        <x:v>Ngày</x:v>
      </x:c>
      <x:c r="F4" s="12" t="str">
        <x:v>Ngưỡng quản trị</x:v>
      </x:c>
      <x:c r="G4" s="12" t="str">
        <x:v>COO/CFO</x:v>
      </x:c>
      <x:c r="H4" s="32" t="str">
        <x:v>Giả định mô phỏng</x:v>
      </x:c>
    </x:row>
    <x:row r="5">
      <x:c r="A5" s="12" t="str">
        <x:v>A04</x:v>
      </x:c>
      <x:c r="B5" s="12" t="str">
        <x:v>Bán hàng</x:v>
      </x:c>
      <x:c r="C5" s="12" t="str">
        <x:v>Tỷ lệ chuyển đổi lead → đơn hàng</x:v>
      </x:c>
      <x:c r="D5" s="33" t="n">
        <x:v>0.105</x:v>
      </x:c>
      <x:c r="E5" s="12" t="str">
        <x:v>Tỷ lệ</x:v>
      </x:c>
      <x:c r="F5" s="12" t="str">
        <x:v>Mục tiêu hệ thống</x:v>
      </x:c>
      <x:c r="G5" s="12" t="str">
        <x:v>Commercial Director</x:v>
      </x:c>
      <x:c r="H5" s="32" t="str">
        <x:v>Giả định mô phỏng</x:v>
      </x:c>
    </x:row>
    <x:row r="6">
      <x:c r="A6" s="12" t="str">
        <x:v>A05</x:v>
      </x:c>
      <x:c r="B6" s="12" t="str">
        <x:v>Bán hàng</x:v>
      </x:c>
      <x:c r="C6" s="12" t="str">
        <x:v>Tỷ lệ đơn hàng → giao xe</x:v>
      </x:c>
      <x:c r="D6" s="33" t="n">
        <x:v>0.88</x:v>
      </x:c>
      <x:c r="E6" s="12" t="str">
        <x:v>Tỷ lệ</x:v>
      </x:c>
      <x:c r="F6" s="12" t="str">
        <x:v>Mục tiêu hệ thống</x:v>
      </x:c>
      <x:c r="G6" s="12" t="str">
        <x:v>Commercial Director</x:v>
      </x:c>
      <x:c r="H6" s="32" t="str">
        <x:v>Giả định mô phỏng</x:v>
      </x:c>
    </x:row>
    <x:row r="7">
      <x:c r="A7" s="12" t="str">
        <x:v>A06</x:v>
      </x:c>
      <x:c r="B7" s="12" t="str">
        <x:v>Giá</x:v>
      </x:c>
      <x:c r="C7" s="12" t="str">
        <x:v>Trần chiết khấu bình quân</x:v>
      </x:c>
      <x:c r="D7" s="31" t="n">
        <x:v>0.045</x:v>
      </x:c>
      <x:c r="E7" s="12" t="str">
        <x:v>Tỷ lệ</x:v>
      </x:c>
      <x:c r="F7" s="12" t="str">
        <x:v>Ngưỡng kiểm soát</x:v>
      </x:c>
      <x:c r="G7" s="12" t="str">
        <x:v>CFO/Commercial</x:v>
      </x:c>
      <x:c r="H7" s="32" t="str">
        <x:v>Giả định mô phỏng</x:v>
      </x:c>
    </x:row>
    <x:row r="8">
      <x:c r="A8" s="12" t="str">
        <x:v>A07</x:v>
      </x:c>
      <x:c r="B8" s="12" t="str">
        <x:v>Dịch vụ</x:v>
      </x:c>
      <x:c r="C8" s="12" t="str">
        <x:v>Bay utilization mục tiêu</x:v>
      </x:c>
      <x:c r="D8" s="33" t="n">
        <x:v>0.85</x:v>
      </x:c>
      <x:c r="E8" s="12" t="str">
        <x:v>Tỷ lệ</x:v>
      </x:c>
      <x:c r="F8" s="12" t="str">
        <x:v>Mục tiêu vận hành</x:v>
      </x:c>
      <x:c r="G8" s="12" t="str">
        <x:v>Service Director</x:v>
      </x:c>
      <x:c r="H8" s="32" t="str">
        <x:v>Giả định mô phỏng</x:v>
      </x:c>
    </x:row>
    <x:row r="9">
      <x:c r="A9" s="12" t="str">
        <x:v>A08</x:v>
      </x:c>
      <x:c r="B9" s="12" t="str">
        <x:v>Khách hàng</x:v>
      </x:c>
      <x:c r="C9" s="12" t="str">
        <x:v>CSI mục tiêu</x:v>
      </x:c>
      <x:c r="D9" s="31" t="n">
        <x:v>93</x:v>
      </x:c>
      <x:c r="E9" s="12" t="str">
        <x:v>Điểm</x:v>
      </x:c>
      <x:c r="F9" s="12" t="str">
        <x:v>Mục tiêu trải nghiệm</x:v>
      </x:c>
      <x:c r="G9" s="12" t="str">
        <x:v>CX Director</x:v>
      </x:c>
      <x:c r="H9" s="32" t="str">
        <x:v>Giả định mô phỏng</x:v>
      </x:c>
    </x:row>
    <x:row r="10">
      <x:c r="A10" s="12" t="str">
        <x:v>A09</x:v>
      </x:c>
      <x:c r="B10" s="12" t="str">
        <x:v>Rủi ro</x:v>
      </x:c>
      <x:c r="C10" s="12" t="str">
        <x:v>Ngưỡng cảnh báo EWS</x:v>
      </x:c>
      <x:c r="D10" s="31" t="n">
        <x:v>70</x:v>
      </x:c>
      <x:c r="E10" s="12" t="str">
        <x:v>Điểm</x:v>
      </x:c>
      <x:c r="F10" s="12" t="str">
        <x:v>Ngưỡng hệ thống</x:v>
      </x:c>
      <x:c r="G10" s="12" t="str">
        <x:v>CRO</x:v>
      </x:c>
      <x:c r="H10" s="32" t="str">
        <x:v>Giả định mô phỏng</x:v>
      </x:c>
    </x:row>
    <x:row r="11">
      <x:c r="A11" s="12" t="str">
        <x:v>A10</x:v>
      </x:c>
      <x:c r="B11" s="12" t="str">
        <x:v>Nhân sự</x:v>
      </x:c>
      <x:c r="C11" s="12" t="str">
        <x:v>Năng suất doanh thu/nhân viên</x:v>
      </x:c>
      <x:c r="D11" s="31" t="n">
        <x:v>3.2</x:v>
      </x:c>
      <x:c r="E11" s="12" t="str">
        <x:v>Tỷ đồng/người</x:v>
      </x:c>
      <x:c r="F11" s="12" t="str">
        <x:v>Mục tiêu</x:v>
      </x:c>
      <x:c r="G11" s="12" t="str">
        <x:v>CHRO/CFO</x:v>
      </x:c>
      <x:c r="H11" s="32" t="str">
        <x:v>Giả định mô phỏng</x:v>
      </x:c>
    </x:row>
  </x:sheetData>
  <x:pageMargins left="0.7" right="0.7" top="0.75" bottom="0.75" header="0.3" footer="0.3"/>
  <x:tableParts count="1">
    <x:tablePart xmlns:r="http://schemas.openxmlformats.org/officeDocument/2006/relationships" r:id="R35ae1a5b998e48ab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44" hidden="0" customWidth="1"/>
    <x:col min="5" max="5" width="34" hidden="0" customWidth="1"/>
    <x:col min="6" max="6" width="14" hidden="0" customWidth="1"/>
    <x:col min="7" max="7" width="22" hidden="0" customWidth="1"/>
    <x:col min="8" max="8" width="14" hidden="0" customWidth="1"/>
    <x:col min="9" max="9" width="18" hidden="0" customWidth="1"/>
  </x:cols>
  <x:sheetData>
    <x:row r="1">
      <x:c r="A1" s="29" t="str">
        <x:v>Mã mục tiêu</x:v>
      </x:c>
      <x:c r="B1" s="29" t="str">
        <x:v>Góc nhìn</x:v>
      </x:c>
      <x:c r="C1" s="29" t="str">
        <x:v>Mục tiêu chiến lược</x:v>
      </x:c>
      <x:c r="D1" s="29" t="str">
        <x:v>Mô tả</x:v>
      </x:c>
      <x:c r="E1" s="29" t="str">
        <x:v>KPI dẫn dắt</x:v>
      </x:c>
      <x:c r="F1" s="29" t="str">
        <x:v>Trọng số</x:v>
      </x:c>
      <x:c r="G1" s="29" t="str">
        <x:v>Owner</x:v>
      </x:c>
      <x:c r="H1" s="29" t="str">
        <x:v>Chu kỳ</x:v>
      </x:c>
      <x:c r="I1" s="29" t="str">
        <x:v>Trạng thái</x:v>
      </x:c>
    </x:row>
    <x:row r="2">
      <x:c r="A2" s="12" t="str">
        <x:v>STR-01</x:v>
      </x:c>
      <x:c r="B2" s="12" t="str">
        <x:v>Tài chính</x:v>
      </x:c>
      <x:c r="C2" s="12" t="str">
        <x:v>Tăng trưởng có lợi nhuận</x:v>
      </x:c>
      <x:c r="D2" s="12" t="str">
        <x:v>Tăng doanh thu đa thương hiệu nhưng bảo toàn biên</x:v>
      </x:c>
      <x:c r="E2" s="12" t="str">
        <x:v>Doanh thu; EBITDA; ROIC</x:v>
      </x:c>
      <x:c r="F2" s="12" t="n">
        <x:v>0.25</x:v>
      </x:c>
      <x:c r="G2" s="12" t="str">
        <x:v>CFO</x:v>
      </x:c>
      <x:c r="H2" s="12" t="str">
        <x:v>2026</x:v>
      </x:c>
      <x:c r="I2" s="12" t="str">
        <x:v>Đang thực hiện</x:v>
      </x:c>
    </x:row>
    <x:row r="3">
      <x:c r="A3" s="12" t="str">
        <x:v>STR-02</x:v>
      </x:c>
      <x:c r="B3" s="12" t="str">
        <x:v>Khách hàng</x:v>
      </x:c>
      <x:c r="C3" s="12" t="str">
        <x:v>Trải nghiệm nhất quán</x:v>
      </x:c>
      <x:c r="D3" s="12" t="str">
        <x:v>Chuẩn hóa hành trình khách hàng toàn mạng lưới</x:v>
      </x:c>
      <x:c r="E3" s="12" t="str">
        <x:v>CSI; NPS; Repeat Rate</x:v>
      </x:c>
      <x:c r="F3" s="12" t="n">
        <x:v>0.2</x:v>
      </x:c>
      <x:c r="G3" s="12" t="str">
        <x:v>CX Director</x:v>
      </x:c>
      <x:c r="H3" s="12" t="str">
        <x:v>2026</x:v>
      </x:c>
      <x:c r="I3" s="12" t="str">
        <x:v>Đang thực hiện</x:v>
      </x:c>
    </x:row>
    <x:row r="4">
      <x:c r="A4" s="12" t="str">
        <x:v>STR-03</x:v>
      </x:c>
      <x:c r="B4" s="12" t="str">
        <x:v>Quy trình</x:v>
      </x:c>
      <x:c r="C4" s="12" t="str">
        <x:v>Vận hành dealer xuất sắc</x:v>
      </x:c>
      <x:c r="D4" s="12" t="str">
        <x:v>Tối ưu tồn kho, giao xe và aftersales</x:v>
      </x:c>
      <x:c r="E4" s="12" t="str">
        <x:v>Inventory Days; OTD; Bay Utilization</x:v>
      </x:c>
      <x:c r="F4" s="12" t="n">
        <x:v>0.25</x:v>
      </x:c>
      <x:c r="G4" s="12" t="str">
        <x:v>COO</x:v>
      </x:c>
      <x:c r="H4" s="12" t="str">
        <x:v>2026</x:v>
      </x:c>
      <x:c r="I4" s="12" t="str">
        <x:v>Cảnh báo</x:v>
      </x:c>
    </x:row>
    <x:row r="5">
      <x:c r="A5" s="12" t="str">
        <x:v>STR-04</x:v>
      </x:c>
      <x:c r="B5" s="12" t="str">
        <x:v>Năng lực</x:v>
      </x:c>
      <x:c r="C5" s="12" t="str">
        <x:v>Nền tảng dữ liệu điều hành</x:v>
      </x:c>
      <x:c r="D5" s="12" t="str">
        <x:v>Một nguồn dữ liệu chung và cảnh báo sớm</x:v>
      </x:c>
      <x:c r="E5" s="12" t="str">
        <x:v>DQ Score; Automation Rate</x:v>
      </x:c>
      <x:c r="F5" s="12" t="n">
        <x:v>0.15</x:v>
      </x:c>
      <x:c r="G5" s="12" t="str">
        <x:v>CIO</x:v>
      </x:c>
      <x:c r="H5" s="12" t="str">
        <x:v>2026</x:v>
      </x:c>
      <x:c r="I5" s="12" t="str">
        <x:v>Đang thực hiện</x:v>
      </x:c>
    </x:row>
    <x:row r="6">
      <x:c r="A6" s="12" t="str">
        <x:v>STR-05</x:v>
      </x:c>
      <x:c r="B6" s="12" t="str">
        <x:v>Con người</x:v>
      </x:c>
      <x:c r="C6" s="12" t="str">
        <x:v>Năng lực EV và lãnh đạo kế cận</x:v>
      </x:c>
      <x:c r="D6" s="12" t="str">
        <x:v>Phát triển kỹ thuật viên EV và quản lý đại lý</x:v>
      </x:c>
      <x:c r="E6" s="12" t="str">
        <x:v>Training; Succession Coverage</x:v>
      </x:c>
      <x:c r="F6" s="12" t="n">
        <x:v>0.15</x:v>
      </x:c>
      <x:c r="G6" s="12" t="str">
        <x:v>CHRO</x:v>
      </x:c>
      <x:c r="H6" s="12" t="str">
        <x:v>2026</x:v>
      </x:c>
      <x:c r="I6" s="12" t="str">
        <x:v>Theo dõi</x:v>
      </x:c>
    </x:row>
  </x:sheetData>
  <x:pageMargins left="0.7" right="0.7" top="0.75" bottom="0.75" header="0.3" footer="0.3"/>
  <x:tableParts count="1">
    <x:tablePart xmlns:r="http://schemas.openxmlformats.org/officeDocument/2006/relationships" r:id="Rf5ef088310de4309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8" hidden="0" customWidth="1"/>
    <x:col min="5" max="5" width="42" hidden="0" customWidth="1"/>
    <x:col min="6" max="6" width="16" hidden="0" customWidth="1"/>
    <x:col min="7" max="7" width="24" hidden="0" customWidth="1"/>
  </x:cols>
  <x:sheetData>
    <x:row r="1">
      <x:c r="A1" s="29" t="str">
        <x:v>Mã</x:v>
      </x:c>
      <x:c r="B1" s="29" t="str">
        <x:v>Value Driver cấp 1</x:v>
      </x:c>
      <x:c r="C1" s="29" t="str">
        <x:v>Value Driver cấp 2</x:v>
      </x:c>
      <x:c r="D1" s="29" t="str">
        <x:v>KPI thành phần</x:v>
      </x:c>
      <x:c r="E1" s="29" t="str">
        <x:v>Công thức logic</x:v>
      </x:c>
      <x:c r="F1" s="29" t="str">
        <x:v>Loại</x:v>
      </x:c>
      <x:c r="G1" s="29" t="str">
        <x:v>Owner</x:v>
      </x:c>
    </x:row>
    <x:row r="2">
      <x:c r="A2" s="12" t="str">
        <x:v>KPI-T01</x:v>
      </x:c>
      <x:c r="B2" s="12" t="str">
        <x:v>Enterprise Value</x:v>
      </x:c>
      <x:c r="C2" s="12" t="str">
        <x:v>EBITDA</x:v>
      </x:c>
      <x:c r="D2" s="12" t="str">
        <x:v>Doanh thu</x:v>
      </x:c>
      <x:c r="E2" s="12" t="str">
        <x:v>Xe bán × giá bán TB</x:v>
      </x:c>
      <x:c r="F2" s="12" t="str">
        <x:v>Lagging</x:v>
      </x:c>
      <x:c r="G2" s="12" t="str">
        <x:v>CFO</x:v>
      </x:c>
    </x:row>
    <x:row r="3">
      <x:c r="A3" s="12" t="str">
        <x:v>KPI-T02</x:v>
      </x:c>
      <x:c r="B3" s="12" t="str">
        <x:v>Enterprise Value</x:v>
      </x:c>
      <x:c r="C3" s="12" t="str">
        <x:v>EBITDA</x:v>
      </x:c>
      <x:c r="D3" s="12" t="str">
        <x:v>Biên gộp xe</x:v>
      </x:c>
      <x:c r="E3" s="12" t="str">
        <x:v>Giá bán – giá vốn – discount leakage</x:v>
      </x:c>
      <x:c r="F3" s="12" t="str">
        <x:v>Driver</x:v>
      </x:c>
      <x:c r="G3" s="12" t="str">
        <x:v>CFO/Commercial</x:v>
      </x:c>
    </x:row>
    <x:row r="4">
      <x:c r="A4" s="12" t="str">
        <x:v>KPI-T03</x:v>
      </x:c>
      <x:c r="B4" s="12" t="str">
        <x:v>Enterprise Value</x:v>
      </x:c>
      <x:c r="C4" s="12" t="str">
        <x:v>EBITDA</x:v>
      </x:c>
      <x:c r="D4" s="12" t="str">
        <x:v>Lợi nhuận aftersales</x:v>
      </x:c>
      <x:c r="E4" s="12" t="str">
        <x:v>RO × doanh thu/RO × biên</x:v>
      </x:c>
      <x:c r="F4" s="12" t="str">
        <x:v>Driver</x:v>
      </x:c>
      <x:c r="G4" s="12" t="str">
        <x:v>Service Director</x:v>
      </x:c>
    </x:row>
    <x:row r="5">
      <x:c r="A5" s="12" t="str">
        <x:v>KPI-T04</x:v>
      </x:c>
      <x:c r="B5" s="12" t="str">
        <x:v>Working Capital</x:v>
      </x:c>
      <x:c r="C5" s="12" t="str">
        <x:v>Cash Conversion</x:v>
      </x:c>
      <x:c r="D5" s="12" t="str">
        <x:v>Tồn kho xe</x:v>
      </x:c>
      <x:c r="E5" s="12" t="str">
        <x:v>Số xe tồn ÷ bán TB tháng</x:v>
      </x:c>
      <x:c r="F5" s="12" t="str">
        <x:v>Driver</x:v>
      </x:c>
      <x:c r="G5" s="12" t="str">
        <x:v>COO</x:v>
      </x:c>
    </x:row>
    <x:row r="6">
      <x:c r="A6" s="12" t="str">
        <x:v>KPI-T05</x:v>
      </x:c>
      <x:c r="B6" s="12" t="str">
        <x:v>Customer</x:v>
      </x:c>
      <x:c r="C6" s="12" t="str">
        <x:v>Retention</x:v>
      </x:c>
      <x:c r="D6" s="12" t="str">
        <x:v>CSI/NPS</x:v>
      </x:c>
      <x:c r="E6" s="12" t="str">
        <x:v>Chất lượng giao xe + dịch vụ</x:v>
      </x:c>
      <x:c r="F6" s="12" t="str">
        <x:v>Leading</x:v>
      </x:c>
      <x:c r="G6" s="12" t="str">
        <x:v>CX Director</x:v>
      </x:c>
    </x:row>
    <x:row r="7">
      <x:c r="A7" s="12" t="str">
        <x:v>KPI-T06</x:v>
      </x:c>
      <x:c r="B7" s="12" t="str">
        <x:v>Execution</x:v>
      </x:c>
      <x:c r="C7" s="12" t="str">
        <x:v>Delivery</x:v>
      </x:c>
      <x:c r="D7" s="12" t="str">
        <x:v>Action Closure</x:v>
      </x:c>
      <x:c r="E7" s="12" t="str">
        <x:v>Đóng đúng hạn ÷ tổng hành động</x:v>
      </x:c>
      <x:c r="F7" s="12" t="str">
        <x:v>Leading</x:v>
      </x:c>
      <x:c r="G7" s="12" t="str">
        <x:v>Chief of Staff</x:v>
      </x:c>
    </x:row>
    <x:row r="8">
      <x:c r="A8" s="12" t="str">
        <x:v>KPI-T07</x:v>
      </x:c>
      <x:c r="B8" s="12" t="str">
        <x:v>Risk</x:v>
      </x:c>
      <x:c r="C8" s="12" t="str">
        <x:v>Resilience</x:v>
      </x:c>
      <x:c r="D8" s="12" t="str">
        <x:v>EWS Score</x:v>
      </x:c>
      <x:c r="E8" s="12" t="str">
        <x:v>Tài chính + vận hành + tuân thủ</x:v>
      </x:c>
      <x:c r="F8" s="12" t="str">
        <x:v>Leading</x:v>
      </x:c>
      <x:c r="G8" s="12" t="str">
        <x:v>CRO</x:v>
      </x:c>
    </x:row>
  </x:sheetData>
  <x:pageMargins left="0.7" right="0.7" top="0.75" bottom="0.75" header="0.3" footer="0.3"/>
  <x:tableParts count="1">
    <x:tablePart xmlns:r="http://schemas.openxmlformats.org/officeDocument/2006/relationships" r:id="Rb9ab0354ba03427e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20" hidden="0" customWidth="1"/>
    <x:col min="5" max="5" width="12" hidden="0" customWidth="1"/>
    <x:col min="6" max="6" width="16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6" hidden="0" customWidth="1"/>
    <x:col min="12" max="12" width="18" hidden="0" customWidth="1"/>
    <x:col min="13" max="13" width="18" hidden="0" customWidth="1"/>
  </x:cols>
  <x:sheetData>
    <x:row r="1">
      <x:c r="A1" s="29" t="str">
        <x:v>Tháng</x:v>
      </x:c>
      <x:c r="B1" s="29" t="str">
        <x:v>Mã đại lý</x:v>
      </x:c>
      <x:c r="C1" s="29" t="str">
        <x:v>Đại lý</x:v>
      </x:c>
      <x:c r="D1" s="29" t="str">
        <x:v>Thương hiệu</x:v>
      </x:c>
      <x:c r="E1" s="29" t="str">
        <x:v>Lead</x:v>
      </x:c>
      <x:c r="F1" s="29" t="str">
        <x:v>Lead đạt chuẩn</x:v>
      </x:c>
      <x:c r="G1" s="29" t="str">
        <x:v>Test drive</x:v>
      </x:c>
      <x:c r="H1" s="29" t="str">
        <x:v>Đơn hàng</x:v>
      </x:c>
      <x:c r="I1" s="29" t="str">
        <x:v>Giao xe</x:v>
      </x:c>
      <x:c r="J1" s="29" t="str">
        <x:v>Lost</x:v>
      </x:c>
      <x:c r="K1" s="29" t="str">
        <x:v>Lead→Order</x:v>
      </x:c>
      <x:c r="L1" s="29" t="str">
        <x:v>Order→Delivery</x:v>
      </x:c>
      <x:c r="M1" s="29" t="str">
        <x:v>Lead→Delivery</x:v>
      </x:c>
    </x:row>
    <x:row r="2">
      <x:c r="A2" s="14" t="n">
        <x:v>46023</x:v>
      </x:c>
      <x:c r="B2" s="12" t="str">
        <x:v>DLR-001</x:v>
      </x:c>
      <x:c r="C2" s="12" t="str">
        <x:v>Hà Thành Ford</x:v>
      </x:c>
      <x:c r="D2" s="12" t="str">
        <x:v>Ford</x:v>
      </x:c>
      <x:c r="E2" s="12" t="n">
        <x:v>400</x:v>
      </x:c>
      <x:c r="F2" s="12" t="n">
        <x:v>292</x:v>
      </x:c>
      <x:c r="G2" s="12" t="n">
        <x:v>99</x:v>
      </x:c>
      <x:c r="H2" s="12" t="n">
        <x:v>38</x:v>
      </x:c>
      <x:c r="I2" s="12" t="n">
        <x:v>31</x:v>
      </x:c>
      <x:c r="J2" s="12" t="n">
        <x:v>369</x:v>
      </x:c>
      <x:c r="K2" s="34" t="n">
        <x:f>IFERROR(H2/E2,0)</x:f>
        <x:v>0.095</x:v>
      </x:c>
      <x:c r="L2" s="34" t="n">
        <x:f>IFERROR(I2/H2,0)</x:f>
        <x:v>0.8157894736842105</x:v>
      </x:c>
      <x:c r="M2" s="34" t="n">
        <x:f>IFERROR(I2/E2,0)</x:f>
        <x:v>0.0775</x:v>
      </x:c>
    </x:row>
    <x:row r="3">
      <x:c r="A3" s="14" t="n">
        <x:v>46023</x:v>
      </x:c>
      <x:c r="B3" s="12" t="str">
        <x:v>DLR-002</x:v>
      </x:c>
      <x:c r="C3" s="12" t="str">
        <x:v>Hà Thành Ford - Mỹ Đình</x:v>
      </x:c>
      <x:c r="D3" s="12" t="str">
        <x:v>Ford</x:v>
      </x:c>
      <x:c r="E3" s="12" t="n">
        <x:v>178</x:v>
      </x:c>
      <x:c r="F3" s="12" t="n">
        <x:v>101</x:v>
      </x:c>
      <x:c r="G3" s="12" t="n">
        <x:v>54</x:v>
      </x:c>
      <x:c r="H3" s="12" t="n">
        <x:v>21</x:v>
      </x:c>
      <x:c r="I3" s="12" t="n">
        <x:v>18</x:v>
      </x:c>
      <x:c r="J3" s="12" t="n">
        <x:v>160</x:v>
      </x:c>
      <x:c r="K3" s="34" t="n">
        <x:f>IFERROR(H3/E3,0)</x:f>
        <x:v>0.11797752808988764</x:v>
      </x:c>
      <x:c r="L3" s="34" t="n">
        <x:f>IFERROR(I3/H3,0)</x:f>
        <x:v>0.8571428571428571</x:v>
      </x:c>
      <x:c r="M3" s="34" t="n">
        <x:f>IFERROR(I3/E3,0)</x:f>
        <x:v>0.10112359550561797</x:v>
      </x:c>
    </x:row>
    <x:row r="4">
      <x:c r="A4" s="14" t="n">
        <x:v>46023</x:v>
      </x:c>
      <x:c r="B4" s="12" t="str">
        <x:v>DLR-003</x:v>
      </x:c>
      <x:c r="C4" s="12" t="str">
        <x:v>Mỹ Đình Ford</x:v>
      </x:c>
      <x:c r="D4" s="12" t="str">
        <x:v>Ford</x:v>
      </x:c>
      <x:c r="E4" s="12" t="n">
        <x:v>261</x:v>
      </x:c>
      <x:c r="F4" s="12" t="n">
        <x:v>152</x:v>
      </x:c>
      <x:c r="G4" s="12" t="n">
        <x:v>69</x:v>
      </x:c>
      <x:c r="H4" s="12" t="n">
        <x:v>24</x:v>
      </x:c>
      <x:c r="I4" s="12" t="n">
        <x:v>23</x:v>
      </x:c>
      <x:c r="J4" s="12" t="n">
        <x:v>238</x:v>
      </x:c>
      <x:c r="K4" s="34" t="n">
        <x:f>IFERROR(H4/E4,0)</x:f>
        <x:v>0.09195402298850575</x:v>
      </x:c>
      <x:c r="L4" s="34" t="n">
        <x:f>IFERROR(I4/H4,0)</x:f>
        <x:v>0.9583333333333334</x:v>
      </x:c>
      <x:c r="M4" s="34" t="n">
        <x:f>IFERROR(I4/E4,0)</x:f>
        <x:v>0.08812260536398467</x:v>
      </x:c>
    </x:row>
    <x:row r="5">
      <x:c r="A5" s="14" t="n">
        <x:v>46023</x:v>
      </x:c>
      <x:c r="B5" s="12" t="str">
        <x:v>DLR-004</x:v>
      </x:c>
      <x:c r="C5" s="12" t="str">
        <x:v>Việt Trì Ford</x:v>
      </x:c>
      <x:c r="D5" s="12" t="str">
        <x:v>Ford</x:v>
      </x:c>
      <x:c r="E5" s="12" t="n">
        <x:v>211</x:v>
      </x:c>
      <x:c r="F5" s="12" t="n">
        <x:v>162</x:v>
      </x:c>
      <x:c r="G5" s="12" t="n">
        <x:v>54</x:v>
      </x:c>
      <x:c r="H5" s="12" t="n">
        <x:v>23</x:v>
      </x:c>
      <x:c r="I5" s="12" t="n">
        <x:v>19</x:v>
      </x:c>
      <x:c r="J5" s="12" t="n">
        <x:v>192</x:v>
      </x:c>
      <x:c r="K5" s="34" t="n">
        <x:f>IFERROR(H5/E5,0)</x:f>
        <x:v>0.10900473933649289</x:v>
      </x:c>
      <x:c r="L5" s="34" t="n">
        <x:f>IFERROR(I5/H5,0)</x:f>
        <x:v>0.8260869565217391</x:v>
      </x:c>
      <x:c r="M5" s="34" t="n">
        <x:f>IFERROR(I5/E5,0)</x:f>
        <x:v>0.09004739336492891</x:v>
      </x:c>
    </x:row>
    <x:row r="6">
      <x:c r="A6" s="14" t="n">
        <x:v>46023</x:v>
      </x:c>
      <x:c r="B6" s="12" t="str">
        <x:v>DLR-005</x:v>
      </x:c>
      <x:c r="C6" s="12" t="str">
        <x:v>BYD HTA Tây Hồ</x:v>
      </x:c>
      <x:c r="D6" s="12" t="str">
        <x:v>BYD</x:v>
      </x:c>
      <x:c r="E6" s="12" t="n">
        <x:v>499</x:v>
      </x:c>
      <x:c r="F6" s="12" t="n">
        <x:v>384</x:v>
      </x:c>
      <x:c r="G6" s="12" t="n">
        <x:v>221</x:v>
      </x:c>
      <x:c r="H6" s="12" t="n">
        <x:v>96</x:v>
      </x:c>
      <x:c r="I6" s="12" t="n">
        <x:v>84</x:v>
      </x:c>
      <x:c r="J6" s="12" t="n">
        <x:v>415</x:v>
      </x:c>
      <x:c r="K6" s="34" t="n">
        <x:f>IFERROR(H6/E6,0)</x:f>
        <x:v>0.19238476953907815</x:v>
      </x:c>
      <x:c r="L6" s="34" t="n">
        <x:f>IFERROR(I6/H6,0)</x:f>
        <x:v>0.875</x:v>
      </x:c>
      <x:c r="M6" s="34" t="n">
        <x:f>IFERROR(I6/E6,0)</x:f>
        <x:v>0.1683366733466934</x:v>
      </x:c>
    </x:row>
    <x:row r="7">
      <x:c r="A7" s="14" t="n">
        <x:v>46023</x:v>
      </x:c>
      <x:c r="B7" s="12" t="str">
        <x:v>DLR-006</x:v>
      </x:c>
      <x:c r="C7" s="12" t="str">
        <x:v>BYD HTA Hoàn Kiếm</x:v>
      </x:c>
      <x:c r="D7" s="12" t="str">
        <x:v>BYD</x:v>
      </x:c>
      <x:c r="E7" s="12" t="n">
        <x:v>357</x:v>
      </x:c>
      <x:c r="F7" s="12" t="n">
        <x:v>230</x:v>
      </x:c>
      <x:c r="G7" s="12" t="n">
        <x:v>125</x:v>
      </x:c>
      <x:c r="H7" s="12" t="n">
        <x:v>53</x:v>
      </x:c>
      <x:c r="I7" s="12" t="n">
        <x:v>42</x:v>
      </x:c>
      <x:c r="J7" s="12" t="n">
        <x:v>315</x:v>
      </x:c>
      <x:c r="K7" s="34" t="n">
        <x:f>IFERROR(H7/E7,0)</x:f>
        <x:v>0.1484593837535014</x:v>
      </x:c>
      <x:c r="L7" s="34" t="n">
        <x:f>IFERROR(I7/H7,0)</x:f>
        <x:v>0.7924528301886793</x:v>
      </x:c>
      <x:c r="M7" s="34" t="n">
        <x:f>IFERROR(I7/E7,0)</x:f>
        <x:v>0.11764705882352941</x:v>
      </x:c>
    </x:row>
    <x:row r="8">
      <x:c r="A8" s="14" t="n">
        <x:v>46023</x:v>
      </x:c>
      <x:c r="B8" s="12" t="str">
        <x:v>DLR-007</x:v>
      </x:c>
      <x:c r="C8" s="12" t="str">
        <x:v>BYD Hà Đông</x:v>
      </x:c>
      <x:c r="D8" s="12" t="str">
        <x:v>BYD</x:v>
      </x:c>
      <x:c r="E8" s="12" t="n">
        <x:v>397</x:v>
      </x:c>
      <x:c r="F8" s="12" t="n">
        <x:v>249</x:v>
      </x:c>
      <x:c r="G8" s="12" t="n">
        <x:v>95</x:v>
      </x:c>
      <x:c r="H8" s="12" t="n">
        <x:v>41</x:v>
      </x:c>
      <x:c r="I8" s="12" t="n">
        <x:v>37</x:v>
      </x:c>
      <x:c r="J8" s="12" t="n">
        <x:v>360</x:v>
      </x:c>
      <x:c r="K8" s="34" t="n">
        <x:f>IFERROR(H8/E8,0)</x:f>
        <x:v>0.10327455919395466</x:v>
      </x:c>
      <x:c r="L8" s="34" t="n">
        <x:f>IFERROR(I8/H8,0)</x:f>
        <x:v>0.9024390243902439</x:v>
      </x:c>
      <x:c r="M8" s="34" t="n">
        <x:f>IFERROR(I8/E8,0)</x:f>
        <x:v>0.09319899244332494</x:v>
      </x:c>
    </x:row>
    <x:row r="9">
      <x:c r="A9" s="14" t="n">
        <x:v>46023</x:v>
      </x:c>
      <x:c r="B9" s="12" t="str">
        <x:v>DLR-008</x:v>
      </x:c>
      <x:c r="C9" s="12" t="str">
        <x:v>VinFast HTA Nguyễn Văn Linh</x:v>
      </x:c>
      <x:c r="D9" s="12" t="str">
        <x:v>VinFast</x:v>
      </x:c>
      <x:c r="E9" s="12" t="n">
        <x:v>460</x:v>
      </x:c>
      <x:c r="F9" s="12" t="n">
        <x:v>356</x:v>
      </x:c>
      <x:c r="G9" s="12" t="n">
        <x:v>136</x:v>
      </x:c>
      <x:c r="H9" s="12" t="n">
        <x:v>62</x:v>
      </x:c>
      <x:c r="I9" s="12" t="n">
        <x:v>57</x:v>
      </x:c>
      <x:c r="J9" s="12" t="n">
        <x:v>403</x:v>
      </x:c>
      <x:c r="K9" s="34" t="n">
        <x:f>IFERROR(H9/E9,0)</x:f>
        <x:v>0.13478260869565217</x:v>
      </x:c>
      <x:c r="L9" s="34" t="n">
        <x:f>IFERROR(I9/H9,0)</x:f>
        <x:v>0.9193548387096774</x:v>
      </x:c>
      <x:c r="M9" s="34" t="n">
        <x:f>IFERROR(I9/E9,0)</x:f>
        <x:v>0.12391304347826088</x:v>
      </x:c>
    </x:row>
    <x:row r="10">
      <x:c r="A10" s="14" t="n">
        <x:v>46023</x:v>
      </x:c>
      <x:c r="B10" s="12" t="str">
        <x:v>DLR-009</x:v>
      </x:c>
      <x:c r="C10" s="12" t="str">
        <x:v>VinFast HTA Đông Anh</x:v>
      </x:c>
      <x:c r="D10" s="12" t="str">
        <x:v>VinFast</x:v>
      </x:c>
      <x:c r="E10" s="12" t="n">
        <x:v>263</x:v>
      </x:c>
      <x:c r="F10" s="12" t="n">
        <x:v>147</x:v>
      </x:c>
      <x:c r="G10" s="12" t="n">
        <x:v>85</x:v>
      </x:c>
      <x:c r="H10" s="12" t="n">
        <x:v>34</x:v>
      </x:c>
      <x:c r="I10" s="12" t="n">
        <x:v>28</x:v>
      </x:c>
      <x:c r="J10" s="12" t="n">
        <x:v>235</x:v>
      </x:c>
      <x:c r="K10" s="34" t="n">
        <x:f>IFERROR(H10/E10,0)</x:f>
        <x:v>0.12927756653992395</x:v>
      </x:c>
      <x:c r="L10" s="34" t="n">
        <x:f>IFERROR(I10/H10,0)</x:f>
        <x:v>0.8235294117647058</x:v>
      </x:c>
      <x:c r="M10" s="34" t="n">
        <x:f>IFERROR(I10/E10,0)</x:f>
        <x:v>0.10646387832699619</x:v>
      </x:c>
    </x:row>
    <x:row r="11">
      <x:c r="A11" s="14" t="n">
        <x:v>46023</x:v>
      </x:c>
      <x:c r="B11" s="12" t="str">
        <x:v>DLR-010</x:v>
      </x:c>
      <x:c r="C11" s="12" t="str">
        <x:v>VinFast HTA Đàm Quang Trung</x:v>
      </x:c>
      <x:c r="D11" s="12" t="str">
        <x:v>VinFast</x:v>
      </x:c>
      <x:c r="E11" s="12" t="n">
        <x:v>282</x:v>
      </x:c>
      <x:c r="F11" s="12" t="n">
        <x:v>181</x:v>
      </x:c>
      <x:c r="G11" s="12" t="n">
        <x:v>71</x:v>
      </x:c>
      <x:c r="H11" s="12" t="n">
        <x:v>26</x:v>
      </x:c>
      <x:c r="I11" s="12" t="n">
        <x:v>21</x:v>
      </x:c>
      <x:c r="J11" s="12" t="n">
        <x:v>261</x:v>
      </x:c>
      <x:c r="K11" s="34" t="n">
        <x:f>IFERROR(H11/E11,0)</x:f>
        <x:v>0.09219858156028368</x:v>
      </x:c>
      <x:c r="L11" s="34" t="n">
        <x:f>IFERROR(I11/H11,0)</x:f>
        <x:v>0.8076923076923077</x:v>
      </x:c>
      <x:c r="M11" s="34" t="n">
        <x:f>IFERROR(I11/E11,0)</x:f>
        <x:v>0.07446808510638298</x:v>
      </x:c>
    </x:row>
    <x:row r="12">
      <x:c r="A12" s="14" t="n">
        <x:v>46023</x:v>
      </x:c>
      <x:c r="B12" s="12" t="str">
        <x:v>DLR-011</x:v>
      </x:c>
      <x:c r="C12" s="12" t="str">
        <x:v>VinFast HTA Phạm Văn Đồng</x:v>
      </x:c>
      <x:c r="D12" s="12" t="str">
        <x:v>VinFast</x:v>
      </x:c>
      <x:c r="E12" s="12" t="n">
        <x:v>472</x:v>
      </x:c>
      <x:c r="F12" s="12" t="n">
        <x:v>310</x:v>
      </x:c>
      <x:c r="G12" s="12" t="n">
        <x:v>151</x:v>
      </x:c>
      <x:c r="H12" s="12" t="n">
        <x:v>48</x:v>
      </x:c>
      <x:c r="I12" s="12" t="n">
        <x:v>41</x:v>
      </x:c>
      <x:c r="J12" s="12" t="n">
        <x:v>431</x:v>
      </x:c>
      <x:c r="K12" s="34" t="n">
        <x:f>IFERROR(H12/E12,0)</x:f>
        <x:v>0.1016949152542373</x:v>
      </x:c>
      <x:c r="L12" s="34" t="n">
        <x:f>IFERROR(I12/H12,0)</x:f>
        <x:v>0.8541666666666666</x:v>
      </x:c>
      <x:c r="M12" s="34" t="n">
        <x:f>IFERROR(I12/E12,0)</x:f>
        <x:v>0.08686440677966102</x:v>
      </x:c>
    </x:row>
    <x:row r="13">
      <x:c r="A13" s="14" t="n">
        <x:v>46023</x:v>
      </x:c>
      <x:c r="B13" s="12" t="str">
        <x:v>DLR-012</x:v>
      </x:c>
      <x:c r="C13" s="12" t="str">
        <x:v>VinFast HTA Võ Chí Công</x:v>
      </x:c>
      <x:c r="D13" s="12" t="str">
        <x:v>VinFast</x:v>
      </x:c>
      <x:c r="E13" s="12" t="n">
        <x:v>388</x:v>
      </x:c>
      <x:c r="F13" s="12" t="n">
        <x:v>235</x:v>
      </x:c>
      <x:c r="G13" s="12" t="n">
        <x:v>96</x:v>
      </x:c>
      <x:c r="H13" s="12" t="n">
        <x:v>31</x:v>
      </x:c>
      <x:c r="I13" s="12" t="n">
        <x:v>30</x:v>
      </x:c>
      <x:c r="J13" s="12" t="n">
        <x:v>358</x:v>
      </x:c>
      <x:c r="K13" s="34" t="n">
        <x:f>IFERROR(H13/E13,0)</x:f>
        <x:v>0.07989690721649484</x:v>
      </x:c>
      <x:c r="L13" s="34" t="n">
        <x:f>IFERROR(I13/H13,0)</x:f>
        <x:v>0.967741935483871</x:v>
      </x:c>
      <x:c r="M13" s="34" t="n">
        <x:f>IFERROR(I13/E13,0)</x:f>
        <x:v>0.07731958762886598</x:v>
      </x:c>
    </x:row>
    <x:row r="14">
      <x:c r="A14" s="14" t="n">
        <x:v>46023</x:v>
      </x:c>
      <x:c r="B14" s="12" t="str">
        <x:v>DLR-013</x:v>
      </x:c>
      <x:c r="C14" s="12" t="str">
        <x:v>VinFast HTA Ninh Bình</x:v>
      </x:c>
      <x:c r="D14" s="12" t="str">
        <x:v>VinFast</x:v>
      </x:c>
      <x:c r="E14" s="12" t="n">
        <x:v>207</x:v>
      </x:c>
      <x:c r="F14" s="12" t="n">
        <x:v>153</x:v>
      </x:c>
      <x:c r="G14" s="12" t="n">
        <x:v>88</x:v>
      </x:c>
      <x:c r="H14" s="12" t="n">
        <x:v>28</x:v>
      </x:c>
      <x:c r="I14" s="12" t="n">
        <x:v>23</x:v>
      </x:c>
      <x:c r="J14" s="12" t="n">
        <x:v>184</x:v>
      </x:c>
      <x:c r="K14" s="34" t="n">
        <x:f>IFERROR(H14/E14,0)</x:f>
        <x:v>0.13526570048309178</x:v>
      </x:c>
      <x:c r="L14" s="34" t="n">
        <x:f>IFERROR(I14/H14,0)</x:f>
        <x:v>0.8214285714285714</x:v>
      </x:c>
      <x:c r="M14" s="34" t="n">
        <x:f>IFERROR(I14/E14,0)</x:f>
        <x:v>0.1111111111111111</x:v>
      </x:c>
    </x:row>
    <x:row r="15">
      <x:c r="A15" s="14" t="n">
        <x:v>46023</x:v>
      </x:c>
      <x:c r="B15" s="12" t="str">
        <x:v>DLR-014</x:v>
      </x:c>
      <x:c r="C15" s="12" t="str">
        <x:v>VinFast HTA Nam Từ Liêm</x:v>
      </x:c>
      <x:c r="D15" s="12" t="str">
        <x:v>VinFast</x:v>
      </x:c>
      <x:c r="E15" s="12" t="n">
        <x:v>134</x:v>
      </x:c>
      <x:c r="F15" s="12" t="n">
        <x:v>103</x:v>
      </x:c>
      <x:c r="G15" s="12" t="n">
        <x:v>37</x:v>
      </x:c>
      <x:c r="H15" s="12" t="n">
        <x:v>13</x:v>
      </x:c>
      <x:c r="I15" s="12" t="n">
        <x:v>11</x:v>
      </x:c>
      <x:c r="J15" s="12" t="n">
        <x:v>123</x:v>
      </x:c>
      <x:c r="K15" s="34" t="n">
        <x:f>IFERROR(H15/E15,0)</x:f>
        <x:v>0.09701492537313433</x:v>
      </x:c>
      <x:c r="L15" s="34" t="n">
        <x:f>IFERROR(I15/H15,0)</x:f>
        <x:v>0.8461538461538461</x:v>
      </x:c>
      <x:c r="M15" s="34" t="n">
        <x:f>IFERROR(I15/E15,0)</x:f>
        <x:v>0.08208955223880597</x:v>
      </x:c>
    </x:row>
    <x:row r="16">
      <x:c r="A16" s="14" t="n">
        <x:v>46023</x:v>
      </x:c>
      <x:c r="B16" s="12" t="str">
        <x:v>DLR-015</x:v>
      </x:c>
      <x:c r="C16" s="12" t="str">
        <x:v>VinFast HTA Văn Phú</x:v>
      </x:c>
      <x:c r="D16" s="12" t="str">
        <x:v>VinFast</x:v>
      </x:c>
      <x:c r="E16" s="12" t="n">
        <x:v>271</x:v>
      </x:c>
      <x:c r="F16" s="12" t="n">
        <x:v>179</x:v>
      </x:c>
      <x:c r="G16" s="12" t="n">
        <x:v>99</x:v>
      </x:c>
      <x:c r="H16" s="12" t="n">
        <x:v>31</x:v>
      </x:c>
      <x:c r="I16" s="12" t="n">
        <x:v>29</x:v>
      </x:c>
      <x:c r="J16" s="12" t="n">
        <x:v>242</x:v>
      </x:c>
      <x:c r="K16" s="34" t="n">
        <x:f>IFERROR(H16/E16,0)</x:f>
        <x:v>0.11439114391143912</x:v>
      </x:c>
      <x:c r="L16" s="34" t="n">
        <x:f>IFERROR(I16/H16,0)</x:f>
        <x:v>0.9354838709677419</x:v>
      </x:c>
      <x:c r="M16" s="34" t="n">
        <x:f>IFERROR(I16/E16,0)</x:f>
        <x:v>0.1070110701107011</x:v>
      </x:c>
    </x:row>
    <x:row r="17">
      <x:c r="A17" s="14" t="n">
        <x:v>46023</x:v>
      </x:c>
      <x:c r="B17" s="12" t="str">
        <x:v>DLR-016</x:v>
      </x:c>
      <x:c r="C17" s="12" t="str">
        <x:v>VinFast HTA Mỹ Đình</x:v>
      </x:c>
      <x:c r="D17" s="12" t="str">
        <x:v>VinFast</x:v>
      </x:c>
      <x:c r="E17" s="12" t="n">
        <x:v>471</x:v>
      </x:c>
      <x:c r="F17" s="12" t="n">
        <x:v>290</x:v>
      </x:c>
      <x:c r="G17" s="12" t="n">
        <x:v>111</x:v>
      </x:c>
      <x:c r="H17" s="12" t="n">
        <x:v>52</x:v>
      </x:c>
      <x:c r="I17" s="12" t="n">
        <x:v>42</x:v>
      </x:c>
      <x:c r="J17" s="12" t="n">
        <x:v>429</x:v>
      </x:c>
      <x:c r="K17" s="34" t="n">
        <x:f>IFERROR(H17/E17,0)</x:f>
        <x:v>0.11040339702760085</x:v>
      </x:c>
      <x:c r="L17" s="34" t="n">
        <x:f>IFERROR(I17/H17,0)</x:f>
        <x:v>0.8076923076923077</x:v>
      </x:c>
      <x:c r="M17" s="34" t="n">
        <x:f>IFERROR(I17/E17,0)</x:f>
        <x:v>0.08917197452229299</x:v>
      </x:c>
    </x:row>
    <x:row r="18">
      <x:c r="A18" s="14" t="n">
        <x:v>46023</x:v>
      </x:c>
      <x:c r="B18" s="12" t="str">
        <x:v>DLR-017</x:v>
      </x:c>
      <x:c r="C18" s="12" t="str">
        <x:v>VinFast Quốc Oai</x:v>
      </x:c>
      <x:c r="D18" s="12" t="str">
        <x:v>VinFast</x:v>
      </x:c>
      <x:c r="E18" s="12" t="n">
        <x:v>163</x:v>
      </x:c>
      <x:c r="F18" s="12" t="n">
        <x:v>104</x:v>
      </x:c>
      <x:c r="G18" s="12" t="n">
        <x:v>55</x:v>
      </x:c>
      <x:c r="H18" s="12" t="n">
        <x:v>19</x:v>
      </x:c>
      <x:c r="I18" s="12" t="n">
        <x:v>15</x:v>
      </x:c>
      <x:c r="J18" s="12" t="n">
        <x:v>148</x:v>
      </x:c>
      <x:c r="K18" s="34" t="n">
        <x:f>IFERROR(H18/E18,0)</x:f>
        <x:v>0.1165644171779141</x:v>
      </x:c>
      <x:c r="L18" s="34" t="n">
        <x:f>IFERROR(I18/H18,0)</x:f>
        <x:v>0.7894736842105263</x:v>
      </x:c>
      <x:c r="M18" s="34" t="n">
        <x:f>IFERROR(I18/E18,0)</x:f>
        <x:v>0.09202453987730061</x:v>
      </x:c>
    </x:row>
    <x:row r="19">
      <x:c r="A19" s="14" t="n">
        <x:v>46023</x:v>
      </x:c>
      <x:c r="B19" s="12" t="str">
        <x:v>DLR-018</x:v>
      </x:c>
      <x:c r="C19" s="12" t="str">
        <x:v>OMODA &amp; JAECOO HTA Nam Từ Liêm</x:v>
      </x:c>
      <x:c r="D19" s="12" t="str">
        <x:v>OMODA &amp; JAECOO</x:v>
      </x:c>
      <x:c r="E19" s="12" t="n">
        <x:v>469</x:v>
      </x:c>
      <x:c r="F19" s="12" t="n">
        <x:v>358</x:v>
      </x:c>
      <x:c r="G19" s="12" t="n">
        <x:v>130</x:v>
      </x:c>
      <x:c r="H19" s="12" t="n">
        <x:v>54</x:v>
      </x:c>
      <x:c r="I19" s="12" t="n">
        <x:v>46</x:v>
      </x:c>
      <x:c r="J19" s="12" t="n">
        <x:v>423</x:v>
      </x:c>
      <x:c r="K19" s="34" t="n">
        <x:f>IFERROR(H19/E19,0)</x:f>
        <x:v>0.11513859275053305</x:v>
      </x:c>
      <x:c r="L19" s="34" t="n">
        <x:f>IFERROR(I19/H19,0)</x:f>
        <x:v>0.8518518518518519</x:v>
      </x:c>
      <x:c r="M19" s="34" t="n">
        <x:f>IFERROR(I19/E19,0)</x:f>
        <x:v>0.09808102345415778</x:v>
      </x:c>
    </x:row>
    <x:row r="20">
      <x:c r="A20" s="14" t="n">
        <x:v>46023</x:v>
      </x:c>
      <x:c r="B20" s="12" t="str">
        <x:v>DLR-019</x:v>
      </x:c>
      <x:c r="C20" s="12" t="str">
        <x:v>OMODA &amp; JAECOO HTA Việt Trì</x:v>
      </x:c>
      <x:c r="D20" s="12" t="str">
        <x:v>OMODA &amp; JAECOO</x:v>
      </x:c>
      <x:c r="E20" s="12" t="n">
        <x:v>420</x:v>
      </x:c>
      <x:c r="F20" s="12" t="n">
        <x:v>261</x:v>
      </x:c>
      <x:c r="G20" s="12" t="n">
        <x:v>88</x:v>
      </x:c>
      <x:c r="H20" s="12" t="n">
        <x:v>24</x:v>
      </x:c>
      <x:c r="I20" s="12" t="n">
        <x:v>22</x:v>
      </x:c>
      <x:c r="J20" s="12" t="n">
        <x:v>398</x:v>
      </x:c>
      <x:c r="K20" s="34" t="n">
        <x:f>IFERROR(H20/E20,0)</x:f>
        <x:v>0.05714285714285714</x:v>
      </x:c>
      <x:c r="L20" s="34" t="n">
        <x:f>IFERROR(I20/H20,0)</x:f>
        <x:v>0.9166666666666666</x:v>
      </x:c>
      <x:c r="M20" s="34" t="n">
        <x:f>IFERROR(I20/E20,0)</x:f>
        <x:v>0.05238095238095238</x:v>
      </x:c>
    </x:row>
    <x:row r="21">
      <x:c r="A21" s="14" t="n">
        <x:v>46023</x:v>
      </x:c>
      <x:c r="B21" s="12" t="str">
        <x:v>DLR-020</x:v>
      </x:c>
      <x:c r="C21" s="12" t="str">
        <x:v>Wuling HTA Long Biên</x:v>
      </x:c>
      <x:c r="D21" s="12" t="str">
        <x:v>Wuling</x:v>
      </x:c>
      <x:c r="E21" s="12" t="n">
        <x:v>393</x:v>
      </x:c>
      <x:c r="F21" s="12" t="n">
        <x:v>298</x:v>
      </x:c>
      <x:c r="G21" s="12" t="n">
        <x:v>113</x:v>
      </x:c>
      <x:c r="H21" s="12" t="n">
        <x:v>39</x:v>
      </x:c>
      <x:c r="I21" s="12" t="n">
        <x:v>35</x:v>
      </x:c>
      <x:c r="J21" s="12" t="n">
        <x:v>358</x:v>
      </x:c>
      <x:c r="K21" s="34" t="n">
        <x:f>IFERROR(H21/E21,0)</x:f>
        <x:v>0.09923664122137404</x:v>
      </x:c>
      <x:c r="L21" s="34" t="n">
        <x:f>IFERROR(I21/H21,0)</x:f>
        <x:v>0.8974358974358975</x:v>
      </x:c>
      <x:c r="M21" s="34" t="n">
        <x:f>IFERROR(I21/E21,0)</x:f>
        <x:v>0.089058524173028</x:v>
      </x:c>
    </x:row>
    <x:row r="22">
      <x:c r="A22" s="14" t="n">
        <x:v>46054</x:v>
      </x:c>
      <x:c r="B22" s="12" t="str">
        <x:v>DLR-001</x:v>
      </x:c>
      <x:c r="C22" s="12" t="str">
        <x:v>Hà Thành Ford</x:v>
      </x:c>
      <x:c r="D22" s="12" t="str">
        <x:v>Ford</x:v>
      </x:c>
      <x:c r="E22" s="12" t="n">
        <x:v>440</x:v>
      </x:c>
      <x:c r="F22" s="12" t="n">
        <x:v>320</x:v>
      </x:c>
      <x:c r="G22" s="12" t="n">
        <x:v>118</x:v>
      </x:c>
      <x:c r="H22" s="12" t="n">
        <x:v>50</x:v>
      </x:c>
      <x:c r="I22" s="12" t="n">
        <x:v>43</x:v>
      </x:c>
      <x:c r="J22" s="12" t="n">
        <x:v>397</x:v>
      </x:c>
      <x:c r="K22" s="34" t="n">
        <x:f>IFERROR(H22/E22,0)</x:f>
        <x:v>0.11363636363636363</x:v>
      </x:c>
      <x:c r="L22" s="34" t="n">
        <x:f>IFERROR(I22/H22,0)</x:f>
        <x:v>0.86</x:v>
      </x:c>
      <x:c r="M22" s="34" t="n">
        <x:f>IFERROR(I22/E22,0)</x:f>
        <x:v>0.09772727272727273</x:v>
      </x:c>
    </x:row>
    <x:row r="23">
      <x:c r="A23" s="14" t="n">
        <x:v>46054</x:v>
      </x:c>
      <x:c r="B23" s="12" t="str">
        <x:v>DLR-002</x:v>
      </x:c>
      <x:c r="C23" s="12" t="str">
        <x:v>Hà Thành Ford - Mỹ Đình</x:v>
      </x:c>
      <x:c r="D23" s="12" t="str">
        <x:v>Ford</x:v>
      </x:c>
      <x:c r="E23" s="12" t="n">
        <x:v>474</x:v>
      </x:c>
      <x:c r="F23" s="12" t="n">
        <x:v>306</x:v>
      </x:c>
      <x:c r="G23" s="12" t="n">
        <x:v>151</x:v>
      </x:c>
      <x:c r="H23" s="12" t="n">
        <x:v>71</x:v>
      </x:c>
      <x:c r="I23" s="12" t="n">
        <x:v>56</x:v>
      </x:c>
      <x:c r="J23" s="12" t="n">
        <x:v>418</x:v>
      </x:c>
      <x:c r="K23" s="34" t="n">
        <x:f>IFERROR(H23/E23,0)</x:f>
        <x:v>0.14978902953586498</x:v>
      </x:c>
      <x:c r="L23" s="34" t="n">
        <x:f>IFERROR(I23/H23,0)</x:f>
        <x:v>0.7887323943661971</x:v>
      </x:c>
      <x:c r="M23" s="34" t="n">
        <x:f>IFERROR(I23/E23,0)</x:f>
        <x:v>0.11814345991561181</x:v>
      </x:c>
    </x:row>
    <x:row r="24">
      <x:c r="A24" s="14" t="n">
        <x:v>46054</x:v>
      </x:c>
      <x:c r="B24" s="12" t="str">
        <x:v>DLR-003</x:v>
      </x:c>
      <x:c r="C24" s="12" t="str">
        <x:v>Mỹ Đình Ford</x:v>
      </x:c>
      <x:c r="D24" s="12" t="str">
        <x:v>Ford</x:v>
      </x:c>
      <x:c r="E24" s="12" t="n">
        <x:v>202</x:v>
      </x:c>
      <x:c r="F24" s="12" t="n">
        <x:v>154</x:v>
      </x:c>
      <x:c r="G24" s="12" t="n">
        <x:v>87</x:v>
      </x:c>
      <x:c r="H24" s="12" t="n">
        <x:v>35</x:v>
      </x:c>
      <x:c r="I24" s="12" t="n">
        <x:v>28</x:v>
      </x:c>
      <x:c r="J24" s="12" t="n">
        <x:v>174</x:v>
      </x:c>
      <x:c r="K24" s="34" t="n">
        <x:f>IFERROR(H24/E24,0)</x:f>
        <x:v>0.17326732673267325</x:v>
      </x:c>
      <x:c r="L24" s="34" t="n">
        <x:f>IFERROR(I24/H24,0)</x:f>
        <x:v>0.8</x:v>
      </x:c>
      <x:c r="M24" s="34" t="n">
        <x:f>IFERROR(I24/E24,0)</x:f>
        <x:v>0.13861386138613863</x:v>
      </x:c>
    </x:row>
    <x:row r="25">
      <x:c r="A25" s="14" t="n">
        <x:v>46054</x:v>
      </x:c>
      <x:c r="B25" s="12" t="str">
        <x:v>DLR-004</x:v>
      </x:c>
      <x:c r="C25" s="12" t="str">
        <x:v>Việt Trì Ford</x:v>
      </x:c>
      <x:c r="D25" s="12" t="str">
        <x:v>Ford</x:v>
      </x:c>
      <x:c r="E25" s="12" t="n">
        <x:v>209</x:v>
      </x:c>
      <x:c r="F25" s="12" t="n">
        <x:v>127</x:v>
      </x:c>
      <x:c r="G25" s="12" t="n">
        <x:v>54</x:v>
      </x:c>
      <x:c r="H25" s="12" t="n">
        <x:v>15</x:v>
      </x:c>
      <x:c r="I25" s="12" t="n">
        <x:v>14</x:v>
      </x:c>
      <x:c r="J25" s="12" t="n">
        <x:v>195</x:v>
      </x:c>
      <x:c r="K25" s="34" t="n">
        <x:f>IFERROR(H25/E25,0)</x:f>
        <x:v>0.07177033492822966</x:v>
      </x:c>
      <x:c r="L25" s="34" t="n">
        <x:f>IFERROR(I25/H25,0)</x:f>
        <x:v>0.9333333333333333</x:v>
      </x:c>
      <x:c r="M25" s="34" t="n">
        <x:f>IFERROR(I25/E25,0)</x:f>
        <x:v>0.06698564593301436</x:v>
      </x:c>
    </x:row>
    <x:row r="26">
      <x:c r="A26" s="14" t="n">
        <x:v>46054</x:v>
      </x:c>
      <x:c r="B26" s="12" t="str">
        <x:v>DLR-005</x:v>
      </x:c>
      <x:c r="C26" s="12" t="str">
        <x:v>BYD HTA Tây Hồ</x:v>
      </x:c>
      <x:c r="D26" s="12" t="str">
        <x:v>BYD</x:v>
      </x:c>
      <x:c r="E26" s="12" t="n">
        <x:v>501</x:v>
      </x:c>
      <x:c r="F26" s="12" t="n">
        <x:v>283</x:v>
      </x:c>
      <x:c r="G26" s="12" t="n">
        <x:v>150</x:v>
      </x:c>
      <x:c r="H26" s="12" t="n">
        <x:v>55</x:v>
      </x:c>
      <x:c r="I26" s="12" t="n">
        <x:v>51</x:v>
      </x:c>
      <x:c r="J26" s="12" t="n">
        <x:v>450</x:v>
      </x:c>
      <x:c r="K26" s="34" t="n">
        <x:f>IFERROR(H26/E26,0)</x:f>
        <x:v>0.10978043912175649</x:v>
      </x:c>
      <x:c r="L26" s="34" t="n">
        <x:f>IFERROR(I26/H26,0)</x:f>
        <x:v>0.9272727272727272</x:v>
      </x:c>
      <x:c r="M26" s="34" t="n">
        <x:f>IFERROR(I26/E26,0)</x:f>
        <x:v>0.10179640718562874</x:v>
      </x:c>
    </x:row>
    <x:row r="27">
      <x:c r="A27" s="14" t="n">
        <x:v>46054</x:v>
      </x:c>
      <x:c r="B27" s="12" t="str">
        <x:v>DLR-006</x:v>
      </x:c>
      <x:c r="C27" s="12" t="str">
        <x:v>BYD HTA Hoàn Kiếm</x:v>
      </x:c>
      <x:c r="D27" s="12" t="str">
        <x:v>BYD</x:v>
      </x:c>
      <x:c r="E27" s="12" t="n">
        <x:v>505</x:v>
      </x:c>
      <x:c r="F27" s="12" t="n">
        <x:v>347</x:v>
      </x:c>
      <x:c r="G27" s="12" t="n">
        <x:v>117</x:v>
      </x:c>
      <x:c r="H27" s="12" t="n">
        <x:v>46</x:v>
      </x:c>
      <x:c r="I27" s="12" t="n">
        <x:v>41</x:v>
      </x:c>
      <x:c r="J27" s="12" t="n">
        <x:v>464</x:v>
      </x:c>
      <x:c r="K27" s="34" t="n">
        <x:f>IFERROR(H27/E27,0)</x:f>
        <x:v>0.09108910891089109</x:v>
      </x:c>
      <x:c r="L27" s="34" t="n">
        <x:f>IFERROR(I27/H27,0)</x:f>
        <x:v>0.8913043478260869</x:v>
      </x:c>
      <x:c r="M27" s="34" t="n">
        <x:f>IFERROR(I27/E27,0)</x:f>
        <x:v>0.08118811881188119</x:v>
      </x:c>
    </x:row>
    <x:row r="28">
      <x:c r="A28" s="14" t="n">
        <x:v>46054</x:v>
      </x:c>
      <x:c r="B28" s="12" t="str">
        <x:v>DLR-007</x:v>
      </x:c>
      <x:c r="C28" s="12" t="str">
        <x:v>BYD Hà Đông</x:v>
      </x:c>
      <x:c r="D28" s="12" t="str">
        <x:v>BYD</x:v>
      </x:c>
      <x:c r="E28" s="12" t="n">
        <x:v>403</x:v>
      </x:c>
      <x:c r="F28" s="12" t="n">
        <x:v>293</x:v>
      </x:c>
      <x:c r="G28" s="12" t="n">
        <x:v>148</x:v>
      </x:c>
      <x:c r="H28" s="12" t="n">
        <x:v>50</x:v>
      </x:c>
      <x:c r="I28" s="12" t="n">
        <x:v>41</x:v>
      </x:c>
      <x:c r="J28" s="12" t="n">
        <x:v>362</x:v>
      </x:c>
      <x:c r="K28" s="34" t="n">
        <x:f>IFERROR(H28/E28,0)</x:f>
        <x:v>0.12406947890818859</x:v>
      </x:c>
      <x:c r="L28" s="34" t="n">
        <x:f>IFERROR(I28/H28,0)</x:f>
        <x:v>0.82</x:v>
      </x:c>
      <x:c r="M28" s="34" t="n">
        <x:f>IFERROR(I28/E28,0)</x:f>
        <x:v>0.10173697270471464</x:v>
      </x:c>
    </x:row>
    <x:row r="29">
      <x:c r="A29" s="14" t="n">
        <x:v>46054</x:v>
      </x:c>
      <x:c r="B29" s="12" t="str">
        <x:v>DLR-008</x:v>
      </x:c>
      <x:c r="C29" s="12" t="str">
        <x:v>VinFast HTA Nguyễn Văn Linh</x:v>
      </x:c>
      <x:c r="D29" s="12" t="str">
        <x:v>VinFast</x:v>
      </x:c>
      <x:c r="E29" s="12" t="n">
        <x:v>185</x:v>
      </x:c>
      <x:c r="F29" s="12" t="n">
        <x:v>143</x:v>
      </x:c>
      <x:c r="G29" s="12" t="n">
        <x:v>57</x:v>
      </x:c>
      <x:c r="H29" s="12" t="n">
        <x:v>24</x:v>
      </x:c>
      <x:c r="I29" s="12" t="n">
        <x:v>23</x:v>
      </x:c>
      <x:c r="J29" s="12" t="n">
        <x:v>162</x:v>
      </x:c>
      <x:c r="K29" s="34" t="n">
        <x:f>IFERROR(H29/E29,0)</x:f>
        <x:v>0.12972972972972974</x:v>
      </x:c>
      <x:c r="L29" s="34" t="n">
        <x:f>IFERROR(I29/H29,0)</x:f>
        <x:v>0.9583333333333334</x:v>
      </x:c>
      <x:c r="M29" s="34" t="n">
        <x:f>IFERROR(I29/E29,0)</x:f>
        <x:v>0.12432432432432433</x:v>
      </x:c>
    </x:row>
    <x:row r="30">
      <x:c r="A30" s="14" t="n">
        <x:v>46054</x:v>
      </x:c>
      <x:c r="B30" s="12" t="str">
        <x:v>DLR-009</x:v>
      </x:c>
      <x:c r="C30" s="12" t="str">
        <x:v>VinFast HTA Đông Anh</x:v>
      </x:c>
      <x:c r="D30" s="12" t="str">
        <x:v>VinFast</x:v>
      </x:c>
      <x:c r="E30" s="12" t="n">
        <x:v>314</x:v>
      </x:c>
      <x:c r="F30" s="12" t="n">
        <x:v>198</x:v>
      </x:c>
      <x:c r="G30" s="12" t="n">
        <x:v>112</x:v>
      </x:c>
      <x:c r="H30" s="12" t="n">
        <x:v>30</x:v>
      </x:c>
      <x:c r="I30" s="12" t="n">
        <x:v>27</x:v>
      </x:c>
      <x:c r="J30" s="12" t="n">
        <x:v>287</x:v>
      </x:c>
      <x:c r="K30" s="34" t="n">
        <x:f>IFERROR(H30/E30,0)</x:f>
        <x:v>0.09554140127388536</x:v>
      </x:c>
      <x:c r="L30" s="34" t="n">
        <x:f>IFERROR(I30/H30,0)</x:f>
        <x:v>0.9</x:v>
      </x:c>
      <x:c r="M30" s="34" t="n">
        <x:f>IFERROR(I30/E30,0)</x:f>
        <x:v>0.08598726114649681</x:v>
      </x:c>
    </x:row>
    <x:row r="31">
      <x:c r="A31" s="14" t="n">
        <x:v>46054</x:v>
      </x:c>
      <x:c r="B31" s="12" t="str">
        <x:v>DLR-010</x:v>
      </x:c>
      <x:c r="C31" s="12" t="str">
        <x:v>VinFast HTA Đàm Quang Trung</x:v>
      </x:c>
      <x:c r="D31" s="12" t="str">
        <x:v>VinFast</x:v>
      </x:c>
      <x:c r="E31" s="12" t="n">
        <x:v>202</x:v>
      </x:c>
      <x:c r="F31" s="12" t="n">
        <x:v>142</x:v>
      </x:c>
      <x:c r="G31" s="12" t="n">
        <x:v>52</x:v>
      </x:c>
      <x:c r="H31" s="12" t="n">
        <x:v>25</x:v>
      </x:c>
      <x:c r="I31" s="12" t="n">
        <x:v>23</x:v>
      </x:c>
      <x:c r="J31" s="12" t="n">
        <x:v>179</x:v>
      </x:c>
      <x:c r="K31" s="34" t="n">
        <x:f>IFERROR(H31/E31,0)</x:f>
        <x:v>0.12376237623762376</x:v>
      </x:c>
      <x:c r="L31" s="34" t="n">
        <x:f>IFERROR(I31/H31,0)</x:f>
        <x:v>0.92</x:v>
      </x:c>
      <x:c r="M31" s="34" t="n">
        <x:f>IFERROR(I31/E31,0)</x:f>
        <x:v>0.11386138613861387</x:v>
      </x:c>
    </x:row>
    <x:row r="32">
      <x:c r="A32" s="14" t="n">
        <x:v>46054</x:v>
      </x:c>
      <x:c r="B32" s="12" t="str">
        <x:v>DLR-011</x:v>
      </x:c>
      <x:c r="C32" s="12" t="str">
        <x:v>VinFast HTA Phạm Văn Đồng</x:v>
      </x:c>
      <x:c r="D32" s="12" t="str">
        <x:v>VinFast</x:v>
      </x:c>
      <x:c r="E32" s="12" t="n">
        <x:v>468</x:v>
      </x:c>
      <x:c r="F32" s="12" t="n">
        <x:v>289</x:v>
      </x:c>
      <x:c r="G32" s="12" t="n">
        <x:v>110</x:v>
      </x:c>
      <x:c r="H32" s="12" t="n">
        <x:v>51</x:v>
      </x:c>
      <x:c r="I32" s="12" t="n">
        <x:v>45</x:v>
      </x:c>
      <x:c r="J32" s="12" t="n">
        <x:v>423</x:v>
      </x:c>
      <x:c r="K32" s="34" t="n">
        <x:f>IFERROR(H32/E32,0)</x:f>
        <x:v>0.10897435897435898</x:v>
      </x:c>
      <x:c r="L32" s="34" t="n">
        <x:f>IFERROR(I32/H32,0)</x:f>
        <x:v>0.8823529411764706</x:v>
      </x:c>
      <x:c r="M32" s="34" t="n">
        <x:f>IFERROR(I32/E32,0)</x:f>
        <x:v>0.09615384615384616</x:v>
      </x:c>
    </x:row>
    <x:row r="33">
      <x:c r="A33" s="14" t="n">
        <x:v>46054</x:v>
      </x:c>
      <x:c r="B33" s="12" t="str">
        <x:v>DLR-012</x:v>
      </x:c>
      <x:c r="C33" s="12" t="str">
        <x:v>VinFast HTA Võ Chí Công</x:v>
      </x:c>
      <x:c r="D33" s="12" t="str">
        <x:v>VinFast</x:v>
      </x:c>
      <x:c r="E33" s="12" t="n">
        <x:v>258</x:v>
      </x:c>
      <x:c r="F33" s="12" t="n">
        <x:v>163</x:v>
      </x:c>
      <x:c r="G33" s="12" t="n">
        <x:v>80</x:v>
      </x:c>
      <x:c r="H33" s="12" t="n">
        <x:v>29</x:v>
      </x:c>
      <x:c r="I33" s="12" t="n">
        <x:v>25</x:v>
      </x:c>
      <x:c r="J33" s="12" t="n">
        <x:v>233</x:v>
      </x:c>
      <x:c r="K33" s="34" t="n">
        <x:f>IFERROR(H33/E33,0)</x:f>
        <x:v>0.1124031007751938</x:v>
      </x:c>
      <x:c r="L33" s="34" t="n">
        <x:f>IFERROR(I33/H33,0)</x:f>
        <x:v>0.8620689655172413</x:v>
      </x:c>
      <x:c r="M33" s="34" t="n">
        <x:f>IFERROR(I33/E33,0)</x:f>
        <x:v>0.09689922480620156</x:v>
      </x:c>
    </x:row>
    <x:row r="34">
      <x:c r="A34" s="14" t="n">
        <x:v>46054</x:v>
      </x:c>
      <x:c r="B34" s="12" t="str">
        <x:v>DLR-013</x:v>
      </x:c>
      <x:c r="C34" s="12" t="str">
        <x:v>VinFast HTA Ninh Bình</x:v>
      </x:c>
      <x:c r="D34" s="12" t="str">
        <x:v>VinFast</x:v>
      </x:c>
      <x:c r="E34" s="12" t="n">
        <x:v>205</x:v>
      </x:c>
      <x:c r="F34" s="12" t="n">
        <x:v>127</x:v>
      </x:c>
      <x:c r="G34" s="12" t="n">
        <x:v>71</x:v>
      </x:c>
      <x:c r="H34" s="12" t="n">
        <x:v>32</x:v>
      </x:c>
      <x:c r="I34" s="12" t="n">
        <x:v>31</x:v>
      </x:c>
      <x:c r="J34" s="12" t="n">
        <x:v>174</x:v>
      </x:c>
      <x:c r="K34" s="34" t="n">
        <x:f>IFERROR(H34/E34,0)</x:f>
        <x:v>0.15609756097560976</x:v>
      </x:c>
      <x:c r="L34" s="34" t="n">
        <x:f>IFERROR(I34/H34,0)</x:f>
        <x:v>0.96875</x:v>
      </x:c>
      <x:c r="M34" s="34" t="n">
        <x:f>IFERROR(I34/E34,0)</x:f>
        <x:v>0.15121951219512195</x:v>
      </x:c>
    </x:row>
    <x:row r="35">
      <x:c r="A35" s="14" t="n">
        <x:v>46054</x:v>
      </x:c>
      <x:c r="B35" s="12" t="str">
        <x:v>DLR-014</x:v>
      </x:c>
      <x:c r="C35" s="12" t="str">
        <x:v>VinFast HTA Nam Từ Liêm</x:v>
      </x:c>
      <x:c r="D35" s="12" t="str">
        <x:v>VinFast</x:v>
      </x:c>
      <x:c r="E35" s="12" t="n">
        <x:v>344</x:v>
      </x:c>
      <x:c r="F35" s="12" t="n">
        <x:v>242</x:v>
      </x:c>
      <x:c r="G35" s="12" t="n">
        <x:v>92</x:v>
      </x:c>
      <x:c r="H35" s="12" t="n">
        <x:v>40</x:v>
      </x:c>
      <x:c r="I35" s="12" t="n">
        <x:v>33</x:v>
      </x:c>
      <x:c r="J35" s="12" t="n">
        <x:v>311</x:v>
      </x:c>
      <x:c r="K35" s="34" t="n">
        <x:f>IFERROR(H35/E35,0)</x:f>
        <x:v>0.11627906976744186</x:v>
      </x:c>
      <x:c r="L35" s="34" t="n">
        <x:f>IFERROR(I35/H35,0)</x:f>
        <x:v>0.825</x:v>
      </x:c>
      <x:c r="M35" s="34" t="n">
        <x:f>IFERROR(I35/E35,0)</x:f>
        <x:v>0.09593023255813954</x:v>
      </x:c>
    </x:row>
    <x:row r="36">
      <x:c r="A36" s="14" t="n">
        <x:v>46054</x:v>
      </x:c>
      <x:c r="B36" s="12" t="str">
        <x:v>DLR-015</x:v>
      </x:c>
      <x:c r="C36" s="12" t="str">
        <x:v>VinFast HTA Văn Phú</x:v>
      </x:c>
      <x:c r="D36" s="12" t="str">
        <x:v>VinFast</x:v>
      </x:c>
      <x:c r="E36" s="12" t="n">
        <x:v>289</x:v>
      </x:c>
      <x:c r="F36" s="12" t="n">
        <x:v>205</x:v>
      </x:c>
      <x:c r="G36" s="12" t="n">
        <x:v>80</x:v>
      </x:c>
      <x:c r="H36" s="12" t="n">
        <x:v>28</x:v>
      </x:c>
      <x:c r="I36" s="12" t="n">
        <x:v>25</x:v>
      </x:c>
      <x:c r="J36" s="12" t="n">
        <x:v>264</x:v>
      </x:c>
      <x:c r="K36" s="34" t="n">
        <x:f>IFERROR(H36/E36,0)</x:f>
        <x:v>0.09688581314878893</x:v>
      </x:c>
      <x:c r="L36" s="34" t="n">
        <x:f>IFERROR(I36/H36,0)</x:f>
        <x:v>0.8928571428571429</x:v>
      </x:c>
      <x:c r="M36" s="34" t="n">
        <x:f>IFERROR(I36/E36,0)</x:f>
        <x:v>0.08650519031141868</x:v>
      </x:c>
    </x:row>
    <x:row r="37">
      <x:c r="A37" s="14" t="n">
        <x:v>46054</x:v>
      </x:c>
      <x:c r="B37" s="12" t="str">
        <x:v>DLR-016</x:v>
      </x:c>
      <x:c r="C37" s="12" t="str">
        <x:v>VinFast HTA Mỹ Đình</x:v>
      </x:c>
      <x:c r="D37" s="12" t="str">
        <x:v>VinFast</x:v>
      </x:c>
      <x:c r="E37" s="12" t="n">
        <x:v>129</x:v>
      </x:c>
      <x:c r="F37" s="12" t="n">
        <x:v>89</x:v>
      </x:c>
      <x:c r="G37" s="12" t="n">
        <x:v>36</x:v>
      </x:c>
      <x:c r="H37" s="12" t="n">
        <x:v>13</x:v>
      </x:c>
      <x:c r="I37" s="12" t="n">
        <x:v>11</x:v>
      </x:c>
      <x:c r="J37" s="12" t="n">
        <x:v>118</x:v>
      </x:c>
      <x:c r="K37" s="34" t="n">
        <x:f>IFERROR(H37/E37,0)</x:f>
        <x:v>0.10077519379844961</x:v>
      </x:c>
      <x:c r="L37" s="34" t="n">
        <x:f>IFERROR(I37/H37,0)</x:f>
        <x:v>0.8461538461538461</x:v>
      </x:c>
      <x:c r="M37" s="34" t="n">
        <x:f>IFERROR(I37/E37,0)</x:f>
        <x:v>0.08527131782945736</x:v>
      </x:c>
    </x:row>
    <x:row r="38">
      <x:c r="A38" s="14" t="n">
        <x:v>46054</x:v>
      </x:c>
      <x:c r="B38" s="12" t="str">
        <x:v>DLR-017</x:v>
      </x:c>
      <x:c r="C38" s="12" t="str">
        <x:v>VinFast Quốc Oai</x:v>
      </x:c>
      <x:c r="D38" s="12" t="str">
        <x:v>VinFast</x:v>
      </x:c>
      <x:c r="E38" s="12" t="n">
        <x:v>374</x:v>
      </x:c>
      <x:c r="F38" s="12" t="n">
        <x:v>219</x:v>
      </x:c>
      <x:c r="G38" s="12" t="n">
        <x:v>120</x:v>
      </x:c>
      <x:c r="H38" s="12" t="n">
        <x:v>41</x:v>
      </x:c>
      <x:c r="I38" s="12" t="n">
        <x:v>38</x:v>
      </x:c>
      <x:c r="J38" s="12" t="n">
        <x:v>336</x:v>
      </x:c>
      <x:c r="K38" s="34" t="n">
        <x:f>IFERROR(H38/E38,0)</x:f>
        <x:v>0.10962566844919786</x:v>
      </x:c>
      <x:c r="L38" s="34" t="n">
        <x:f>IFERROR(I38/H38,0)</x:f>
        <x:v>0.926829268292683</x:v>
      </x:c>
      <x:c r="M38" s="34" t="n">
        <x:f>IFERROR(I38/E38,0)</x:f>
        <x:v>0.10160427807486631</x:v>
      </x:c>
    </x:row>
    <x:row r="39">
      <x:c r="A39" s="14" t="n">
        <x:v>46054</x:v>
      </x:c>
      <x:c r="B39" s="12" t="str">
        <x:v>DLR-018</x:v>
      </x:c>
      <x:c r="C39" s="12" t="str">
        <x:v>OMODA &amp; JAECOO HTA Nam Từ Liêm</x:v>
      </x:c>
      <x:c r="D39" s="12" t="str">
        <x:v>OMODA &amp; JAECOO</x:v>
      </x:c>
      <x:c r="E39" s="12" t="n">
        <x:v>499</x:v>
      </x:c>
      <x:c r="F39" s="12" t="n">
        <x:v>290</x:v>
      </x:c>
      <x:c r="G39" s="12" t="n">
        <x:v>115</x:v>
      </x:c>
      <x:c r="H39" s="12" t="n">
        <x:v>53</x:v>
      </x:c>
      <x:c r="I39" s="12" t="n">
        <x:v>46</x:v>
      </x:c>
      <x:c r="J39" s="12" t="n">
        <x:v>453</x:v>
      </x:c>
      <x:c r="K39" s="34" t="n">
        <x:f>IFERROR(H39/E39,0)</x:f>
        <x:v>0.1062124248496994</x:v>
      </x:c>
      <x:c r="L39" s="34" t="n">
        <x:f>IFERROR(I39/H39,0)</x:f>
        <x:v>0.8679245283018868</x:v>
      </x:c>
      <x:c r="M39" s="34" t="n">
        <x:f>IFERROR(I39/E39,0)</x:f>
        <x:v>0.09218436873747494</x:v>
      </x:c>
    </x:row>
    <x:row r="40">
      <x:c r="A40" s="14" t="n">
        <x:v>46054</x:v>
      </x:c>
      <x:c r="B40" s="12" t="str">
        <x:v>DLR-019</x:v>
      </x:c>
      <x:c r="C40" s="12" t="str">
        <x:v>OMODA &amp; JAECOO HTA Việt Trì</x:v>
      </x:c>
      <x:c r="D40" s="12" t="str">
        <x:v>OMODA &amp; JAECOO</x:v>
      </x:c>
      <x:c r="E40" s="12" t="n">
        <x:v>448</x:v>
      </x:c>
      <x:c r="F40" s="12" t="n">
        <x:v>249</x:v>
      </x:c>
      <x:c r="G40" s="12" t="n">
        <x:v>89</x:v>
      </x:c>
      <x:c r="H40" s="12" t="n">
        <x:v>39</x:v>
      </x:c>
      <x:c r="I40" s="12" t="n">
        <x:v>32</x:v>
      </x:c>
      <x:c r="J40" s="12" t="n">
        <x:v>416</x:v>
      </x:c>
      <x:c r="K40" s="34" t="n">
        <x:f>IFERROR(H40/E40,0)</x:f>
        <x:v>0.08705357142857142</x:v>
      </x:c>
      <x:c r="L40" s="34" t="n">
        <x:f>IFERROR(I40/H40,0)</x:f>
        <x:v>0.8205128205128205</x:v>
      </x:c>
      <x:c r="M40" s="34" t="n">
        <x:f>IFERROR(I40/E40,0)</x:f>
        <x:v>0.07142857142857142</x:v>
      </x:c>
    </x:row>
    <x:row r="41">
      <x:c r="A41" s="14" t="n">
        <x:v>46054</x:v>
      </x:c>
      <x:c r="B41" s="12" t="str">
        <x:v>DLR-020</x:v>
      </x:c>
      <x:c r="C41" s="12" t="str">
        <x:v>Wuling HTA Long Biên</x:v>
      </x:c>
      <x:c r="D41" s="12" t="str">
        <x:v>Wuling</x:v>
      </x:c>
      <x:c r="E41" s="12" t="n">
        <x:v>165</x:v>
      </x:c>
      <x:c r="F41" s="12" t="n">
        <x:v>117</x:v>
      </x:c>
      <x:c r="G41" s="12" t="n">
        <x:v>58</x:v>
      </x:c>
      <x:c r="H41" s="12" t="n">
        <x:v>27</x:v>
      </x:c>
      <x:c r="I41" s="12" t="n">
        <x:v>22</x:v>
      </x:c>
      <x:c r="J41" s="12" t="n">
        <x:v>143</x:v>
      </x:c>
      <x:c r="K41" s="34" t="n">
        <x:f>IFERROR(H41/E41,0)</x:f>
        <x:v>0.16363636363636364</x:v>
      </x:c>
      <x:c r="L41" s="34" t="n">
        <x:f>IFERROR(I41/H41,0)</x:f>
        <x:v>0.8148148148148148</x:v>
      </x:c>
      <x:c r="M41" s="34" t="n">
        <x:f>IFERROR(I41/E41,0)</x:f>
        <x:v>0.13333333333333333</x:v>
      </x:c>
    </x:row>
    <x:row r="42">
      <x:c r="A42" s="14" t="n">
        <x:v>46082</x:v>
      </x:c>
      <x:c r="B42" s="12" t="str">
        <x:v>DLR-001</x:v>
      </x:c>
      <x:c r="C42" s="12" t="str">
        <x:v>Hà Thành Ford</x:v>
      </x:c>
      <x:c r="D42" s="12" t="str">
        <x:v>Ford</x:v>
      </x:c>
      <x:c r="E42" s="12" t="n">
        <x:v>180</x:v>
      </x:c>
      <x:c r="F42" s="12" t="n">
        <x:v>126</x:v>
      </x:c>
      <x:c r="G42" s="12" t="n">
        <x:v>69</x:v>
      </x:c>
      <x:c r="H42" s="12" t="n">
        <x:v>32</x:v>
      </x:c>
      <x:c r="I42" s="12" t="n">
        <x:v>28</x:v>
      </x:c>
      <x:c r="J42" s="12" t="n">
        <x:v>152</x:v>
      </x:c>
      <x:c r="K42" s="34" t="n">
        <x:f>IFERROR(H42/E42,0)</x:f>
        <x:v>0.17777777777777778</x:v>
      </x:c>
      <x:c r="L42" s="34" t="n">
        <x:f>IFERROR(I42/H42,0)</x:f>
        <x:v>0.875</x:v>
      </x:c>
      <x:c r="M42" s="34" t="n">
        <x:f>IFERROR(I42/E42,0)</x:f>
        <x:v>0.15555555555555556</x:v>
      </x:c>
    </x:row>
    <x:row r="43">
      <x:c r="A43" s="14" t="n">
        <x:v>46082</x:v>
      </x:c>
      <x:c r="B43" s="12" t="str">
        <x:v>DLR-002</x:v>
      </x:c>
      <x:c r="C43" s="12" t="str">
        <x:v>Hà Thành Ford - Mỹ Đình</x:v>
      </x:c>
      <x:c r="D43" s="12" t="str">
        <x:v>Ford</x:v>
      </x:c>
      <x:c r="E43" s="12" t="n">
        <x:v>453</x:v>
      </x:c>
      <x:c r="F43" s="12" t="n">
        <x:v>322</x:v>
      </x:c>
      <x:c r="G43" s="12" t="n">
        <x:v>184</x:v>
      </x:c>
      <x:c r="H43" s="12" t="n">
        <x:v>68</x:v>
      </x:c>
      <x:c r="I43" s="12" t="n">
        <x:v>56</x:v>
      </x:c>
      <x:c r="J43" s="12" t="n">
        <x:v>397</x:v>
      </x:c>
      <x:c r="K43" s="34" t="n">
        <x:f>IFERROR(H43/E43,0)</x:f>
        <x:v>0.15011037527593818</x:v>
      </x:c>
      <x:c r="L43" s="34" t="n">
        <x:f>IFERROR(I43/H43,0)</x:f>
        <x:v>0.8235294117647058</x:v>
      </x:c>
      <x:c r="M43" s="34" t="n">
        <x:f>IFERROR(I43/E43,0)</x:f>
        <x:v>0.12362030905077263</x:v>
      </x:c>
    </x:row>
    <x:row r="44">
      <x:c r="A44" s="14" t="n">
        <x:v>46082</x:v>
      </x:c>
      <x:c r="B44" s="12" t="str">
        <x:v>DLR-003</x:v>
      </x:c>
      <x:c r="C44" s="12" t="str">
        <x:v>Mỹ Đình Ford</x:v>
      </x:c>
      <x:c r="D44" s="12" t="str">
        <x:v>Ford</x:v>
      </x:c>
      <x:c r="E44" s="12" t="n">
        <x:v>304</x:v>
      </x:c>
      <x:c r="F44" s="12" t="n">
        <x:v>230</x:v>
      </x:c>
      <x:c r="G44" s="12" t="n">
        <x:v>88</x:v>
      </x:c>
      <x:c r="H44" s="12" t="n">
        <x:v>26</x:v>
      </x:c>
      <x:c r="I44" s="12" t="n">
        <x:v>23</x:v>
      </x:c>
      <x:c r="J44" s="12" t="n">
        <x:v>281</x:v>
      </x:c>
      <x:c r="K44" s="34" t="n">
        <x:f>IFERROR(H44/E44,0)</x:f>
        <x:v>0.08552631578947369</x:v>
      </x:c>
      <x:c r="L44" s="34" t="n">
        <x:f>IFERROR(I44/H44,0)</x:f>
        <x:v>0.8846153846153846</x:v>
      </x:c>
      <x:c r="M44" s="34" t="n">
        <x:f>IFERROR(I44/E44,0)</x:f>
        <x:v>0.0756578947368421</x:v>
      </x:c>
    </x:row>
    <x:row r="45">
      <x:c r="A45" s="14" t="n">
        <x:v>46082</x:v>
      </x:c>
      <x:c r="B45" s="12" t="str">
        <x:v>DLR-004</x:v>
      </x:c>
      <x:c r="C45" s="12" t="str">
        <x:v>Việt Trì Ford</x:v>
      </x:c>
      <x:c r="D45" s="12" t="str">
        <x:v>Ford</x:v>
      </x:c>
      <x:c r="E45" s="12" t="n">
        <x:v>444</x:v>
      </x:c>
      <x:c r="F45" s="12" t="n">
        <x:v>257</x:v>
      </x:c>
      <x:c r="G45" s="12" t="n">
        <x:v>118</x:v>
      </x:c>
      <x:c r="H45" s="12" t="n">
        <x:v>39</x:v>
      </x:c>
      <x:c r="I45" s="12" t="n">
        <x:v>35</x:v>
      </x:c>
      <x:c r="J45" s="12" t="n">
        <x:v>409</x:v>
      </x:c>
      <x:c r="K45" s="34" t="n">
        <x:f>IFERROR(H45/E45,0)</x:f>
        <x:v>0.08783783783783784</x:v>
      </x:c>
      <x:c r="L45" s="34" t="n">
        <x:f>IFERROR(I45/H45,0)</x:f>
        <x:v>0.8974358974358975</x:v>
      </x:c>
      <x:c r="M45" s="34" t="n">
        <x:f>IFERROR(I45/E45,0)</x:f>
        <x:v>0.07882882882882883</x:v>
      </x:c>
    </x:row>
    <x:row r="46">
      <x:c r="A46" s="14" t="n">
        <x:v>46082</x:v>
      </x:c>
      <x:c r="B46" s="12" t="str">
        <x:v>DLR-005</x:v>
      </x:c>
      <x:c r="C46" s="12" t="str">
        <x:v>BYD HTA Tây Hồ</x:v>
      </x:c>
      <x:c r="D46" s="12" t="str">
        <x:v>BYD</x:v>
      </x:c>
      <x:c r="E46" s="12" t="n">
        <x:v>512</x:v>
      </x:c>
      <x:c r="F46" s="12" t="n">
        <x:v>334</x:v>
      </x:c>
      <x:c r="G46" s="12" t="n">
        <x:v>126</x:v>
      </x:c>
      <x:c r="H46" s="12" t="n">
        <x:v>33</x:v>
      </x:c>
      <x:c r="I46" s="12" t="n">
        <x:v>30</x:v>
      </x:c>
      <x:c r="J46" s="12" t="n">
        <x:v>482</x:v>
      </x:c>
      <x:c r="K46" s="34" t="n">
        <x:f>IFERROR(H46/E46,0)</x:f>
        <x:v>0.064453125</x:v>
      </x:c>
      <x:c r="L46" s="34" t="n">
        <x:f>IFERROR(I46/H46,0)</x:f>
        <x:v>0.9090909090909091</x:v>
      </x:c>
      <x:c r="M46" s="34" t="n">
        <x:f>IFERROR(I46/E46,0)</x:f>
        <x:v>0.05859375</x:v>
      </x:c>
    </x:row>
    <x:row r="47">
      <x:c r="A47" s="14" t="n">
        <x:v>46082</x:v>
      </x:c>
      <x:c r="B47" s="12" t="str">
        <x:v>DLR-006</x:v>
      </x:c>
      <x:c r="C47" s="12" t="str">
        <x:v>BYD HTA Hoàn Kiếm</x:v>
      </x:c>
      <x:c r="D47" s="12" t="str">
        <x:v>BYD</x:v>
      </x:c>
      <x:c r="E47" s="12" t="n">
        <x:v>501</x:v>
      </x:c>
      <x:c r="F47" s="12" t="n">
        <x:v>366</x:v>
      </x:c>
      <x:c r="G47" s="12" t="n">
        <x:v>145</x:v>
      </x:c>
      <x:c r="H47" s="12" t="n">
        <x:v>49</x:v>
      </x:c>
      <x:c r="I47" s="12" t="n">
        <x:v>41</x:v>
      </x:c>
      <x:c r="J47" s="12" t="n">
        <x:v>460</x:v>
      </x:c>
      <x:c r="K47" s="34" t="n">
        <x:f>IFERROR(H47/E47,0)</x:f>
        <x:v>0.09780439121756487</x:v>
      </x:c>
      <x:c r="L47" s="34" t="n">
        <x:f>IFERROR(I47/H47,0)</x:f>
        <x:v>0.8367346938775511</x:v>
      </x:c>
      <x:c r="M47" s="34" t="n">
        <x:f>IFERROR(I47/E47,0)</x:f>
        <x:v>0.08183632734530938</x:v>
      </x:c>
    </x:row>
    <x:row r="48">
      <x:c r="A48" s="14" t="n">
        <x:v>46082</x:v>
      </x:c>
      <x:c r="B48" s="12" t="str">
        <x:v>DLR-007</x:v>
      </x:c>
      <x:c r="C48" s="12" t="str">
        <x:v>BYD Hà Đông</x:v>
      </x:c>
      <x:c r="D48" s="12" t="str">
        <x:v>BYD</x:v>
      </x:c>
      <x:c r="E48" s="12" t="n">
        <x:v>354</x:v>
      </x:c>
      <x:c r="F48" s="12" t="n">
        <x:v>223</x:v>
      </x:c>
      <x:c r="G48" s="12" t="n">
        <x:v>77</x:v>
      </x:c>
      <x:c r="H48" s="12" t="n">
        <x:v>25</x:v>
      </x:c>
      <x:c r="I48" s="12" t="n">
        <x:v>24</x:v>
      </x:c>
      <x:c r="J48" s="12" t="n">
        <x:v>330</x:v>
      </x:c>
      <x:c r="K48" s="34" t="n">
        <x:f>IFERROR(H48/E48,0)</x:f>
        <x:v>0.07062146892655367</x:v>
      </x:c>
      <x:c r="L48" s="34" t="n">
        <x:f>IFERROR(I48/H48,0)</x:f>
        <x:v>0.96</x:v>
      </x:c>
      <x:c r="M48" s="34" t="n">
        <x:f>IFERROR(I48/E48,0)</x:f>
        <x:v>0.06779661016949153</x:v>
      </x:c>
    </x:row>
    <x:row r="49">
      <x:c r="A49" s="14" t="n">
        <x:v>46082</x:v>
      </x:c>
      <x:c r="B49" s="12" t="str">
        <x:v>DLR-008</x:v>
      </x:c>
      <x:c r="C49" s="12" t="str">
        <x:v>VinFast HTA Nguyễn Văn Linh</x:v>
      </x:c>
      <x:c r="D49" s="12" t="str">
        <x:v>VinFast</x:v>
      </x:c>
      <x:c r="E49" s="12" t="n">
        <x:v>451</x:v>
      </x:c>
      <x:c r="F49" s="12" t="n">
        <x:v>333</x:v>
      </x:c>
      <x:c r="G49" s="12" t="n">
        <x:v>148</x:v>
      </x:c>
      <x:c r="H49" s="12" t="n">
        <x:v>63</x:v>
      </x:c>
      <x:c r="I49" s="12" t="n">
        <x:v>60</x:v>
      </x:c>
      <x:c r="J49" s="12" t="n">
        <x:v>391</x:v>
      </x:c>
      <x:c r="K49" s="34" t="n">
        <x:f>IFERROR(H49/E49,0)</x:f>
        <x:v>0.13968957871396895</x:v>
      </x:c>
      <x:c r="L49" s="34" t="n">
        <x:f>IFERROR(I49/H49,0)</x:f>
        <x:v>0.9523809523809523</x:v>
      </x:c>
      <x:c r="M49" s="34" t="n">
        <x:f>IFERROR(I49/E49,0)</x:f>
        <x:v>0.13303769401330376</x:v>
      </x:c>
    </x:row>
    <x:row r="50">
      <x:c r="A50" s="14" t="n">
        <x:v>46082</x:v>
      </x:c>
      <x:c r="B50" s="12" t="str">
        <x:v>DLR-009</x:v>
      </x:c>
      <x:c r="C50" s="12" t="str">
        <x:v>VinFast HTA Đông Anh</x:v>
      </x:c>
      <x:c r="D50" s="12" t="str">
        <x:v>VinFast</x:v>
      </x:c>
      <x:c r="E50" s="12" t="n">
        <x:v>484</x:v>
      </x:c>
      <x:c r="F50" s="12" t="n">
        <x:v>267</x:v>
      </x:c>
      <x:c r="G50" s="12" t="n">
        <x:v>104</x:v>
      </x:c>
      <x:c r="H50" s="12" t="n">
        <x:v>43</x:v>
      </x:c>
      <x:c r="I50" s="12" t="n">
        <x:v>39</x:v>
      </x:c>
      <x:c r="J50" s="12" t="n">
        <x:v>445</x:v>
      </x:c>
      <x:c r="K50" s="34" t="n">
        <x:f>IFERROR(H50/E50,0)</x:f>
        <x:v>0.08884297520661157</x:v>
      </x:c>
      <x:c r="L50" s="34" t="n">
        <x:f>IFERROR(I50/H50,0)</x:f>
        <x:v>0.9069767441860465</x:v>
      </x:c>
      <x:c r="M50" s="34" t="n">
        <x:f>IFERROR(I50/E50,0)</x:f>
        <x:v>0.08057851239669421</x:v>
      </x:c>
    </x:row>
    <x:row r="51">
      <x:c r="A51" s="14" t="n">
        <x:v>46082</x:v>
      </x:c>
      <x:c r="B51" s="12" t="str">
        <x:v>DLR-010</x:v>
      </x:c>
      <x:c r="C51" s="12" t="str">
        <x:v>VinFast HTA Đàm Quang Trung</x:v>
      </x:c>
      <x:c r="D51" s="12" t="str">
        <x:v>VinFast</x:v>
      </x:c>
      <x:c r="E51" s="12" t="n">
        <x:v>416</x:v>
      </x:c>
      <x:c r="F51" s="12" t="n">
        <x:v>308</x:v>
      </x:c>
      <x:c r="G51" s="12" t="n">
        <x:v>105</x:v>
      </x:c>
      <x:c r="H51" s="12" t="n">
        <x:v>40</x:v>
      </x:c>
      <x:c r="I51" s="12" t="n">
        <x:v>33</x:v>
      </x:c>
      <x:c r="J51" s="12" t="n">
        <x:v>383</x:v>
      </x:c>
      <x:c r="K51" s="34" t="n">
        <x:f>IFERROR(H51/E51,0)</x:f>
        <x:v>0.09615384615384616</x:v>
      </x:c>
      <x:c r="L51" s="34" t="n">
        <x:f>IFERROR(I51/H51,0)</x:f>
        <x:v>0.825</x:v>
      </x:c>
      <x:c r="M51" s="34" t="n">
        <x:f>IFERROR(I51/E51,0)</x:f>
        <x:v>0.07932692307692307</x:v>
      </x:c>
    </x:row>
    <x:row r="52">
      <x:c r="A52" s="14" t="n">
        <x:v>46082</x:v>
      </x:c>
      <x:c r="B52" s="12" t="str">
        <x:v>DLR-011</x:v>
      </x:c>
      <x:c r="C52" s="12" t="str">
        <x:v>VinFast HTA Phạm Văn Đồng</x:v>
      </x:c>
      <x:c r="D52" s="12" t="str">
        <x:v>VinFast</x:v>
      </x:c>
      <x:c r="E52" s="12" t="n">
        <x:v>431</x:v>
      </x:c>
      <x:c r="F52" s="12" t="n">
        <x:v>279</x:v>
      </x:c>
      <x:c r="G52" s="12" t="n">
        <x:v>93</x:v>
      </x:c>
      <x:c r="H52" s="12" t="n">
        <x:v>31</x:v>
      </x:c>
      <x:c r="I52" s="12" t="n">
        <x:v>29</x:v>
      </x:c>
      <x:c r="J52" s="12" t="n">
        <x:v>402</x:v>
      </x:c>
      <x:c r="K52" s="34" t="n">
        <x:f>IFERROR(H52/E52,0)</x:f>
        <x:v>0.07192575406032482</x:v>
      </x:c>
      <x:c r="L52" s="34" t="n">
        <x:f>IFERROR(I52/H52,0)</x:f>
        <x:v>0.9354838709677419</x:v>
      </x:c>
      <x:c r="M52" s="34" t="n">
        <x:f>IFERROR(I52/E52,0)</x:f>
        <x:v>0.06728538283062645</x:v>
      </x:c>
    </x:row>
    <x:row r="53">
      <x:c r="A53" s="14" t="n">
        <x:v>46082</x:v>
      </x:c>
      <x:c r="B53" s="12" t="str">
        <x:v>DLR-012</x:v>
      </x:c>
      <x:c r="C53" s="12" t="str">
        <x:v>VinFast HTA Võ Chí Công</x:v>
      </x:c>
      <x:c r="D53" s="12" t="str">
        <x:v>VinFast</x:v>
      </x:c>
      <x:c r="E53" s="12" t="n">
        <x:v>413</x:v>
      </x:c>
      <x:c r="F53" s="12" t="n">
        <x:v>234</x:v>
      </x:c>
      <x:c r="G53" s="12" t="n">
        <x:v>116</x:v>
      </x:c>
      <x:c r="H53" s="12" t="n">
        <x:v>50</x:v>
      </x:c>
      <x:c r="I53" s="12" t="n">
        <x:v>40</x:v>
      </x:c>
      <x:c r="J53" s="12" t="n">
        <x:v>373</x:v>
      </x:c>
      <x:c r="K53" s="34" t="n">
        <x:f>IFERROR(H53/E53,0)</x:f>
        <x:v>0.12106537530266344</x:v>
      </x:c>
      <x:c r="L53" s="34" t="n">
        <x:f>IFERROR(I53/H53,0)</x:f>
        <x:v>0.8</x:v>
      </x:c>
      <x:c r="M53" s="34" t="n">
        <x:f>IFERROR(I53/E53,0)</x:f>
        <x:v>0.09685230024213075</x:v>
      </x:c>
    </x:row>
    <x:row r="54">
      <x:c r="A54" s="14" t="n">
        <x:v>46082</x:v>
      </x:c>
      <x:c r="B54" s="12" t="str">
        <x:v>DLR-013</x:v>
      </x:c>
      <x:c r="C54" s="12" t="str">
        <x:v>VinFast HTA Ninh Bình</x:v>
      </x:c>
      <x:c r="D54" s="12" t="str">
        <x:v>VinFast</x:v>
      </x:c>
      <x:c r="E54" s="12" t="n">
        <x:v>209</x:v>
      </x:c>
      <x:c r="F54" s="12" t="n">
        <x:v>125</x:v>
      </x:c>
      <x:c r="G54" s="12" t="n">
        <x:v>42</x:v>
      </x:c>
      <x:c r="H54" s="12" t="n">
        <x:v>19</x:v>
      </x:c>
      <x:c r="I54" s="12" t="n">
        <x:v>16</x:v>
      </x:c>
      <x:c r="J54" s="12" t="n">
        <x:v>193</x:v>
      </x:c>
      <x:c r="K54" s="34" t="n">
        <x:f>IFERROR(H54/E54,0)</x:f>
        <x:v>0.09090909090909091</x:v>
      </x:c>
      <x:c r="L54" s="34" t="n">
        <x:f>IFERROR(I54/H54,0)</x:f>
        <x:v>0.8421052631578947</x:v>
      </x:c>
      <x:c r="M54" s="34" t="n">
        <x:f>IFERROR(I54/E54,0)</x:f>
        <x:v>0.07655502392344497</x:v>
      </x:c>
    </x:row>
    <x:row r="55">
      <x:c r="A55" s="14" t="n">
        <x:v>46082</x:v>
      </x:c>
      <x:c r="B55" s="12" t="str">
        <x:v>DLR-014</x:v>
      </x:c>
      <x:c r="C55" s="12" t="str">
        <x:v>VinFast HTA Nam Từ Liêm</x:v>
      </x:c>
      <x:c r="D55" s="12" t="str">
        <x:v>VinFast</x:v>
      </x:c>
      <x:c r="E55" s="12" t="n">
        <x:v>431</x:v>
      </x:c>
      <x:c r="F55" s="12" t="n">
        <x:v>247</x:v>
      </x:c>
      <x:c r="G55" s="12" t="n">
        <x:v>125</x:v>
      </x:c>
      <x:c r="H55" s="12" t="n">
        <x:v>38</x:v>
      </x:c>
      <x:c r="I55" s="12" t="n">
        <x:v>36</x:v>
      </x:c>
      <x:c r="J55" s="12" t="n">
        <x:v>395</x:v>
      </x:c>
      <x:c r="K55" s="34" t="n">
        <x:f>IFERROR(H55/E55,0)</x:f>
        <x:v>0.08816705336426914</x:v>
      </x:c>
      <x:c r="L55" s="34" t="n">
        <x:f>IFERROR(I55/H55,0)</x:f>
        <x:v>0.9473684210526315</x:v>
      </x:c>
      <x:c r="M55" s="34" t="n">
        <x:f>IFERROR(I55/E55,0)</x:f>
        <x:v>0.08352668213457076</x:v>
      </x:c>
    </x:row>
    <x:row r="56">
      <x:c r="A56" s="14" t="n">
        <x:v>46082</x:v>
      </x:c>
      <x:c r="B56" s="12" t="str">
        <x:v>DLR-015</x:v>
      </x:c>
      <x:c r="C56" s="12" t="str">
        <x:v>VinFast HTA Văn Phú</x:v>
      </x:c>
      <x:c r="D56" s="12" t="str">
        <x:v>VinFast</x:v>
      </x:c>
      <x:c r="E56" s="12" t="n">
        <x:v>226</x:v>
      </x:c>
      <x:c r="F56" s="12" t="n">
        <x:v>152</x:v>
      </x:c>
      <x:c r="G56" s="12" t="n">
        <x:v>74</x:v>
      </x:c>
      <x:c r="H56" s="12" t="n">
        <x:v>25</x:v>
      </x:c>
      <x:c r="I56" s="12" t="n">
        <x:v>21</x:v>
      </x:c>
      <x:c r="J56" s="12" t="n">
        <x:v>205</x:v>
      </x:c>
      <x:c r="K56" s="34" t="n">
        <x:f>IFERROR(H56/E56,0)</x:f>
        <x:v>0.11061946902654868</x:v>
      </x:c>
      <x:c r="L56" s="34" t="n">
        <x:f>IFERROR(I56/H56,0)</x:f>
        <x:v>0.84</x:v>
      </x:c>
      <x:c r="M56" s="34" t="n">
        <x:f>IFERROR(I56/E56,0)</x:f>
        <x:v>0.09292035398230089</x:v>
      </x:c>
    </x:row>
    <x:row r="57">
      <x:c r="A57" s="14" t="n">
        <x:v>46082</x:v>
      </x:c>
      <x:c r="B57" s="12" t="str">
        <x:v>DLR-016</x:v>
      </x:c>
      <x:c r="C57" s="12" t="str">
        <x:v>VinFast HTA Mỹ Đình</x:v>
      </x:c>
      <x:c r="D57" s="12" t="str">
        <x:v>VinFast</x:v>
      </x:c>
      <x:c r="E57" s="12" t="n">
        <x:v>385</x:v>
      </x:c>
      <x:c r="F57" s="12" t="n">
        <x:v>256</x:v>
      </x:c>
      <x:c r="G57" s="12" t="n">
        <x:v>103</x:v>
      </x:c>
      <x:c r="H57" s="12" t="n">
        <x:v>44</x:v>
      </x:c>
      <x:c r="I57" s="12" t="n">
        <x:v>38</x:v>
      </x:c>
      <x:c r="J57" s="12" t="n">
        <x:v>347</x:v>
      </x:c>
      <x:c r="K57" s="34" t="n">
        <x:f>IFERROR(H57/E57,0)</x:f>
        <x:v>0.11428571428571428</x:v>
      </x:c>
      <x:c r="L57" s="34" t="n">
        <x:f>IFERROR(I57/H57,0)</x:f>
        <x:v>0.8636363636363636</x:v>
      </x:c>
      <x:c r="M57" s="34" t="n">
        <x:f>IFERROR(I57/E57,0)</x:f>
        <x:v>0.0987012987012987</x:v>
      </x:c>
    </x:row>
    <x:row r="58">
      <x:c r="A58" s="14" t="n">
        <x:v>46082</x:v>
      </x:c>
      <x:c r="B58" s="12" t="str">
        <x:v>DLR-017</x:v>
      </x:c>
      <x:c r="C58" s="12" t="str">
        <x:v>VinFast Quốc Oai</x:v>
      </x:c>
      <x:c r="D58" s="12" t="str">
        <x:v>VinFast</x:v>
      </x:c>
      <x:c r="E58" s="12" t="n">
        <x:v>252</x:v>
      </x:c>
      <x:c r="F58" s="12" t="n">
        <x:v>161</x:v>
      </x:c>
      <x:c r="G58" s="12" t="n">
        <x:v>93</x:v>
      </x:c>
      <x:c r="H58" s="12" t="n">
        <x:v>35</x:v>
      </x:c>
      <x:c r="I58" s="12" t="n">
        <x:v>33</x:v>
      </x:c>
      <x:c r="J58" s="12" t="n">
        <x:v>219</x:v>
      </x:c>
      <x:c r="K58" s="34" t="n">
        <x:f>IFERROR(H58/E58,0)</x:f>
        <x:v>0.1388888888888889</x:v>
      </x:c>
      <x:c r="L58" s="34" t="n">
        <x:f>IFERROR(I58/H58,0)</x:f>
        <x:v>0.9428571428571428</x:v>
      </x:c>
      <x:c r="M58" s="34" t="n">
        <x:f>IFERROR(I58/E58,0)</x:f>
        <x:v>0.13095238095238096</x:v>
      </x:c>
    </x:row>
    <x:row r="59">
      <x:c r="A59" s="14" t="n">
        <x:v>46082</x:v>
      </x:c>
      <x:c r="B59" s="12" t="str">
        <x:v>DLR-018</x:v>
      </x:c>
      <x:c r="C59" s="12" t="str">
        <x:v>OMODA &amp; JAECOO HTA Nam Từ Liêm</x:v>
      </x:c>
      <x:c r="D59" s="12" t="str">
        <x:v>OMODA &amp; JAECOO</x:v>
      </x:c>
      <x:c r="E59" s="12" t="n">
        <x:v>199</x:v>
      </x:c>
      <x:c r="F59" s="12" t="n">
        <x:v>109</x:v>
      </x:c>
      <x:c r="G59" s="12" t="n">
        <x:v>45</x:v>
      </x:c>
      <x:c r="H59" s="12" t="n">
        <x:v>17</x:v>
      </x:c>
      <x:c r="I59" s="12" t="n">
        <x:v>16</x:v>
      </x:c>
      <x:c r="J59" s="12" t="n">
        <x:v>183</x:v>
      </x:c>
      <x:c r="K59" s="34" t="n">
        <x:f>IFERROR(H59/E59,0)</x:f>
        <x:v>0.08542713567839195</x:v>
      </x:c>
      <x:c r="L59" s="34" t="n">
        <x:f>IFERROR(I59/H59,0)</x:f>
        <x:v>0.9411764705882353</x:v>
      </x:c>
      <x:c r="M59" s="34" t="n">
        <x:f>IFERROR(I59/E59,0)</x:f>
        <x:v>0.08040201005025126</x:v>
      </x:c>
    </x:row>
    <x:row r="60">
      <x:c r="A60" s="14" t="n">
        <x:v>46082</x:v>
      </x:c>
      <x:c r="B60" s="12" t="str">
        <x:v>DLR-019</x:v>
      </x:c>
      <x:c r="C60" s="12" t="str">
        <x:v>OMODA &amp; JAECOO HTA Việt Trì</x:v>
      </x:c>
      <x:c r="D60" s="12" t="str">
        <x:v>OMODA &amp; JAECOO</x:v>
      </x:c>
      <x:c r="E60" s="12" t="n">
        <x:v>261</x:v>
      </x:c>
      <x:c r="F60" s="12" t="n">
        <x:v>167</x:v>
      </x:c>
      <x:c r="G60" s="12" t="n">
        <x:v>67</x:v>
      </x:c>
      <x:c r="H60" s="12" t="n">
        <x:v>29</x:v>
      </x:c>
      <x:c r="I60" s="12" t="n">
        <x:v>28</x:v>
      </x:c>
      <x:c r="J60" s="12" t="n">
        <x:v>233</x:v>
      </x:c>
      <x:c r="K60" s="34" t="n">
        <x:f>IFERROR(H60/E60,0)</x:f>
        <x:v>0.1111111111111111</x:v>
      </x:c>
      <x:c r="L60" s="34" t="n">
        <x:f>IFERROR(I60/H60,0)</x:f>
        <x:v>0.9655172413793104</x:v>
      </x:c>
      <x:c r="M60" s="34" t="n">
        <x:f>IFERROR(I60/E60,0)</x:f>
        <x:v>0.10727969348659004</x:v>
      </x:c>
    </x:row>
    <x:row r="61">
      <x:c r="A61" s="14" t="n">
        <x:v>46082</x:v>
      </x:c>
      <x:c r="B61" s="12" t="str">
        <x:v>DLR-020</x:v>
      </x:c>
      <x:c r="C61" s="12" t="str">
        <x:v>Wuling HTA Long Biên</x:v>
      </x:c>
      <x:c r="D61" s="12" t="str">
        <x:v>Wuling</x:v>
      </x:c>
      <x:c r="E61" s="12" t="n">
        <x:v>226</x:v>
      </x:c>
      <x:c r="F61" s="12" t="n">
        <x:v>154</x:v>
      </x:c>
      <x:c r="G61" s="12" t="n">
        <x:v>68</x:v>
      </x:c>
      <x:c r="H61" s="12" t="n">
        <x:v>21</x:v>
      </x:c>
      <x:c r="I61" s="12" t="n">
        <x:v>19</x:v>
      </x:c>
      <x:c r="J61" s="12" t="n">
        <x:v>207</x:v>
      </x:c>
      <x:c r="K61" s="34" t="n">
        <x:f>IFERROR(H61/E61,0)</x:f>
        <x:v>0.09292035398230089</x:v>
      </x:c>
      <x:c r="L61" s="34" t="n">
        <x:f>IFERROR(I61/H61,0)</x:f>
        <x:v>0.9047619047619048</x:v>
      </x:c>
      <x:c r="M61" s="34" t="n">
        <x:f>IFERROR(I61/E61,0)</x:f>
        <x:v>0.084070796460177</x:v>
      </x:c>
    </x:row>
    <x:row r="62">
      <x:c r="A62" s="14" t="n">
        <x:v>46113</x:v>
      </x:c>
      <x:c r="B62" s="12" t="str">
        <x:v>DLR-001</x:v>
      </x:c>
      <x:c r="C62" s="12" t="str">
        <x:v>Hà Thành Ford</x:v>
      </x:c>
      <x:c r="D62" s="12" t="str">
        <x:v>Ford</x:v>
      </x:c>
      <x:c r="E62" s="12" t="n">
        <x:v>231</x:v>
      </x:c>
      <x:c r="F62" s="12" t="n">
        <x:v>177</x:v>
      </x:c>
      <x:c r="G62" s="12" t="n">
        <x:v>62</x:v>
      </x:c>
      <x:c r="H62" s="12" t="n">
        <x:v>18</x:v>
      </x:c>
      <x:c r="I62" s="12" t="n">
        <x:v>15</x:v>
      </x:c>
      <x:c r="J62" s="12" t="n">
        <x:v>216</x:v>
      </x:c>
      <x:c r="K62" s="34" t="n">
        <x:f>IFERROR(H62/E62,0)</x:f>
        <x:v>0.07792207792207792</x:v>
      </x:c>
      <x:c r="L62" s="34" t="n">
        <x:f>IFERROR(I62/H62,0)</x:f>
        <x:v>0.8333333333333334</x:v>
      </x:c>
      <x:c r="M62" s="34" t="n">
        <x:f>IFERROR(I62/E62,0)</x:f>
        <x:v>0.06493506493506493</x:v>
      </x:c>
    </x:row>
    <x:row r="63">
      <x:c r="A63" s="14" t="n">
        <x:v>46113</x:v>
      </x:c>
      <x:c r="B63" s="12" t="str">
        <x:v>DLR-002</x:v>
      </x:c>
      <x:c r="C63" s="12" t="str">
        <x:v>Hà Thành Ford - Mỹ Đình</x:v>
      </x:c>
      <x:c r="D63" s="12" t="str">
        <x:v>Ford</x:v>
      </x:c>
      <x:c r="E63" s="12" t="n">
        <x:v>467</x:v>
      </x:c>
      <x:c r="F63" s="12" t="n">
        <x:v>324</x:v>
      </x:c>
      <x:c r="G63" s="12" t="n">
        <x:v>165</x:v>
      </x:c>
      <x:c r="H63" s="12" t="n">
        <x:v>47</x:v>
      </x:c>
      <x:c r="I63" s="12" t="n">
        <x:v>41</x:v>
      </x:c>
      <x:c r="J63" s="12" t="n">
        <x:v>426</x:v>
      </x:c>
      <x:c r="K63" s="34" t="n">
        <x:f>IFERROR(H63/E63,0)</x:f>
        <x:v>0.1006423982869379</x:v>
      </x:c>
      <x:c r="L63" s="34" t="n">
        <x:f>IFERROR(I63/H63,0)</x:f>
        <x:v>0.8723404255319149</x:v>
      </x:c>
      <x:c r="M63" s="34" t="n">
        <x:f>IFERROR(I63/E63,0)</x:f>
        <x:v>0.08779443254817987</x:v>
      </x:c>
    </x:row>
    <x:row r="64">
      <x:c r="A64" s="14" t="n">
        <x:v>46113</x:v>
      </x:c>
      <x:c r="B64" s="12" t="str">
        <x:v>DLR-003</x:v>
      </x:c>
      <x:c r="C64" s="12" t="str">
        <x:v>Mỹ Đình Ford</x:v>
      </x:c>
      <x:c r="D64" s="12" t="str">
        <x:v>Ford</x:v>
      </x:c>
      <x:c r="E64" s="12" t="n">
        <x:v>467</x:v>
      </x:c>
      <x:c r="F64" s="12" t="n">
        <x:v>274</x:v>
      </x:c>
      <x:c r="G64" s="12" t="n">
        <x:v>106</x:v>
      </x:c>
      <x:c r="H64" s="12" t="n">
        <x:v>47</x:v>
      </x:c>
      <x:c r="I64" s="12" t="n">
        <x:v>44</x:v>
      </x:c>
      <x:c r="J64" s="12" t="n">
        <x:v>423</x:v>
      </x:c>
      <x:c r="K64" s="34" t="n">
        <x:f>IFERROR(H64/E64,0)</x:f>
        <x:v>0.1006423982869379</x:v>
      </x:c>
      <x:c r="L64" s="34" t="n">
        <x:f>IFERROR(I64/H64,0)</x:f>
        <x:v>0.9361702127659575</x:v>
      </x:c>
      <x:c r="M64" s="34" t="n">
        <x:f>IFERROR(I64/E64,0)</x:f>
        <x:v>0.09421841541755889</x:v>
      </x:c>
    </x:row>
    <x:row r="65">
      <x:c r="A65" s="14" t="n">
        <x:v>46113</x:v>
      </x:c>
      <x:c r="B65" s="12" t="str">
        <x:v>DLR-004</x:v>
      </x:c>
      <x:c r="C65" s="12" t="str">
        <x:v>Việt Trì Ford</x:v>
      </x:c>
      <x:c r="D65" s="12" t="str">
        <x:v>Ford</x:v>
      </x:c>
      <x:c r="E65" s="12" t="n">
        <x:v>376</x:v>
      </x:c>
      <x:c r="F65" s="12" t="n">
        <x:v>224</x:v>
      </x:c>
      <x:c r="G65" s="12" t="n">
        <x:v>117</x:v>
      </x:c>
      <x:c r="H65" s="12" t="n">
        <x:v>39</x:v>
      </x:c>
      <x:c r="I65" s="12" t="n">
        <x:v>33</x:v>
      </x:c>
      <x:c r="J65" s="12" t="n">
        <x:v>343</x:v>
      </x:c>
      <x:c r="K65" s="34" t="n">
        <x:f>IFERROR(H65/E65,0)</x:f>
        <x:v>0.10372340425531915</x:v>
      </x:c>
      <x:c r="L65" s="34" t="n">
        <x:f>IFERROR(I65/H65,0)</x:f>
        <x:v>0.8461538461538461</x:v>
      </x:c>
      <x:c r="M65" s="34" t="n">
        <x:f>IFERROR(I65/E65,0)</x:f>
        <x:v>0.08776595744680851</x:v>
      </x:c>
    </x:row>
    <x:row r="66">
      <x:c r="A66" s="14" t="n">
        <x:v>46113</x:v>
      </x:c>
      <x:c r="B66" s="12" t="str">
        <x:v>DLR-005</x:v>
      </x:c>
      <x:c r="C66" s="12" t="str">
        <x:v>BYD HTA Tây Hồ</x:v>
      </x:c>
      <x:c r="D66" s="12" t="str">
        <x:v>BYD</x:v>
      </x:c>
      <x:c r="E66" s="12" t="n">
        <x:v>512</x:v>
      </x:c>
      <x:c r="F66" s="12" t="n">
        <x:v>332</x:v>
      </x:c>
      <x:c r="G66" s="12" t="n">
        <x:v>164</x:v>
      </x:c>
      <x:c r="H66" s="12" t="n">
        <x:v>64</x:v>
      </x:c>
      <x:c r="I66" s="12" t="n">
        <x:v>55</x:v>
      </x:c>
      <x:c r="J66" s="12" t="n">
        <x:v>457</x:v>
      </x:c>
      <x:c r="K66" s="34" t="n">
        <x:f>IFERROR(H66/E66,0)</x:f>
        <x:v>0.125</x:v>
      </x:c>
      <x:c r="L66" s="34" t="n">
        <x:f>IFERROR(I66/H66,0)</x:f>
        <x:v>0.859375</x:v>
      </x:c>
      <x:c r="M66" s="34" t="n">
        <x:f>IFERROR(I66/E66,0)</x:f>
        <x:v>0.107421875</x:v>
      </x:c>
    </x:row>
    <x:row r="67">
      <x:c r="A67" s="14" t="n">
        <x:v>46113</x:v>
      </x:c>
      <x:c r="B67" s="12" t="str">
        <x:v>DLR-006</x:v>
      </x:c>
      <x:c r="C67" s="12" t="str">
        <x:v>BYD HTA Hoàn Kiếm</x:v>
      </x:c>
      <x:c r="D67" s="12" t="str">
        <x:v>BYD</x:v>
      </x:c>
      <x:c r="E67" s="12" t="n">
        <x:v>315</x:v>
      </x:c>
      <x:c r="F67" s="12" t="n">
        <x:v>182</x:v>
      </x:c>
      <x:c r="G67" s="12" t="n">
        <x:v>76</x:v>
      </x:c>
      <x:c r="H67" s="12" t="n">
        <x:v>22</x:v>
      </x:c>
      <x:c r="I67" s="12" t="n">
        <x:v>19</x:v>
      </x:c>
      <x:c r="J67" s="12" t="n">
        <x:v>296</x:v>
      </x:c>
      <x:c r="K67" s="34" t="n">
        <x:f>IFERROR(H67/E67,0)</x:f>
        <x:v>0.06984126984126984</x:v>
      </x:c>
      <x:c r="L67" s="34" t="n">
        <x:f>IFERROR(I67/H67,0)</x:f>
        <x:v>0.8636363636363636</x:v>
      </x:c>
      <x:c r="M67" s="34" t="n">
        <x:f>IFERROR(I67/E67,0)</x:f>
        <x:v>0.06031746031746032</x:v>
      </x:c>
    </x:row>
    <x:row r="68">
      <x:c r="A68" s="14" t="n">
        <x:v>46113</x:v>
      </x:c>
      <x:c r="B68" s="12" t="str">
        <x:v>DLR-007</x:v>
      </x:c>
      <x:c r="C68" s="12" t="str">
        <x:v>BYD Hà Đông</x:v>
      </x:c>
      <x:c r="D68" s="12" t="str">
        <x:v>BYD</x:v>
      </x:c>
      <x:c r="E68" s="12" t="n">
        <x:v>133</x:v>
      </x:c>
      <x:c r="F68" s="12" t="n">
        <x:v>77</x:v>
      </x:c>
      <x:c r="G68" s="12" t="n">
        <x:v>33</x:v>
      </x:c>
      <x:c r="H68" s="12" t="n">
        <x:v>11</x:v>
      </x:c>
      <x:c r="I68" s="12" t="n">
        <x:v>9</x:v>
      </x:c>
      <x:c r="J68" s="12" t="n">
        <x:v>124</x:v>
      </x:c>
      <x:c r="K68" s="34" t="n">
        <x:f>IFERROR(H68/E68,0)</x:f>
        <x:v>0.08270676691729323</x:v>
      </x:c>
      <x:c r="L68" s="34" t="n">
        <x:f>IFERROR(I68/H68,0)</x:f>
        <x:v>0.8181818181818182</x:v>
      </x:c>
      <x:c r="M68" s="34" t="n">
        <x:f>IFERROR(I68/E68,0)</x:f>
        <x:v>0.06766917293233082</x:v>
      </x:c>
    </x:row>
    <x:row r="69">
      <x:c r="A69" s="14" t="n">
        <x:v>46113</x:v>
      </x:c>
      <x:c r="B69" s="12" t="str">
        <x:v>DLR-008</x:v>
      </x:c>
      <x:c r="C69" s="12" t="str">
        <x:v>VinFast HTA Nguyễn Văn Linh</x:v>
      </x:c>
      <x:c r="D69" s="12" t="str">
        <x:v>VinFast</x:v>
      </x:c>
      <x:c r="E69" s="12" t="n">
        <x:v>459</x:v>
      </x:c>
      <x:c r="F69" s="12" t="n">
        <x:v>310</x:v>
      </x:c>
      <x:c r="G69" s="12" t="n">
        <x:v>133</x:v>
      </x:c>
      <x:c r="H69" s="12" t="n">
        <x:v>52</x:v>
      </x:c>
      <x:c r="I69" s="12" t="n">
        <x:v>44</x:v>
      </x:c>
      <x:c r="J69" s="12" t="n">
        <x:v>415</x:v>
      </x:c>
      <x:c r="K69" s="34" t="n">
        <x:f>IFERROR(H69/E69,0)</x:f>
        <x:v>0.11328976034858387</x:v>
      </x:c>
      <x:c r="L69" s="34" t="n">
        <x:f>IFERROR(I69/H69,0)</x:f>
        <x:v>0.8461538461538461</x:v>
      </x:c>
      <x:c r="M69" s="34" t="n">
        <x:f>IFERROR(I69/E69,0)</x:f>
        <x:v>0.09586056644880174</x:v>
      </x:c>
    </x:row>
    <x:row r="70">
      <x:c r="A70" s="14" t="n">
        <x:v>46113</x:v>
      </x:c>
      <x:c r="B70" s="12" t="str">
        <x:v>DLR-009</x:v>
      </x:c>
      <x:c r="C70" s="12" t="str">
        <x:v>VinFast HTA Đông Anh</x:v>
      </x:c>
      <x:c r="D70" s="12" t="str">
        <x:v>VinFast</x:v>
      </x:c>
      <x:c r="E70" s="12" t="n">
        <x:v>467</x:v>
      </x:c>
      <x:c r="F70" s="12" t="n">
        <x:v>319</x:v>
      </x:c>
      <x:c r="G70" s="12" t="n">
        <x:v>145</x:v>
      </x:c>
      <x:c r="H70" s="12" t="n">
        <x:v>57</x:v>
      </x:c>
      <x:c r="I70" s="12" t="n">
        <x:v>50</x:v>
      </x:c>
      <x:c r="J70" s="12" t="n">
        <x:v>417</x:v>
      </x:c>
      <x:c r="K70" s="34" t="n">
        <x:f>IFERROR(H70/E70,0)</x:f>
        <x:v>0.12205567451820129</x:v>
      </x:c>
      <x:c r="L70" s="34" t="n">
        <x:f>IFERROR(I70/H70,0)</x:f>
        <x:v>0.8771929824561403</x:v>
      </x:c>
      <x:c r="M70" s="34" t="n">
        <x:f>IFERROR(I70/E70,0)</x:f>
        <x:v>0.10706638115631692</x:v>
      </x:c>
    </x:row>
    <x:row r="71">
      <x:c r="A71" s="14" t="n">
        <x:v>46113</x:v>
      </x:c>
      <x:c r="B71" s="12" t="str">
        <x:v>DLR-010</x:v>
      </x:c>
      <x:c r="C71" s="12" t="str">
        <x:v>VinFast HTA Đàm Quang Trung</x:v>
      </x:c>
      <x:c r="D71" s="12" t="str">
        <x:v>VinFast</x:v>
      </x:c>
      <x:c r="E71" s="12" t="n">
        <x:v>330</x:v>
      </x:c>
      <x:c r="F71" s="12" t="n">
        <x:v>221</x:v>
      </x:c>
      <x:c r="G71" s="12" t="n">
        <x:v>73</x:v>
      </x:c>
      <x:c r="H71" s="12" t="n">
        <x:v>23</x:v>
      </x:c>
      <x:c r="I71" s="12" t="n">
        <x:v>20</x:v>
      </x:c>
      <x:c r="J71" s="12" t="n">
        <x:v>310</x:v>
      </x:c>
      <x:c r="K71" s="34" t="n">
        <x:f>IFERROR(H71/E71,0)</x:f>
        <x:v>0.0696969696969697</x:v>
      </x:c>
      <x:c r="L71" s="34" t="n">
        <x:f>IFERROR(I71/H71,0)</x:f>
        <x:v>0.8695652173913043</x:v>
      </x:c>
      <x:c r="M71" s="34" t="n">
        <x:f>IFERROR(I71/E71,0)</x:f>
        <x:v>0.06060606060606061</x:v>
      </x:c>
    </x:row>
    <x:row r="72">
      <x:c r="A72" s="14" t="n">
        <x:v>46113</x:v>
      </x:c>
      <x:c r="B72" s="12" t="str">
        <x:v>DLR-011</x:v>
      </x:c>
      <x:c r="C72" s="12" t="str">
        <x:v>VinFast HTA Phạm Văn Đồng</x:v>
      </x:c>
      <x:c r="D72" s="12" t="str">
        <x:v>VinFast</x:v>
      </x:c>
      <x:c r="E72" s="12" t="n">
        <x:v>484</x:v>
      </x:c>
      <x:c r="F72" s="12" t="n">
        <x:v>309</x:v>
      </x:c>
      <x:c r="G72" s="12" t="n">
        <x:v>137</x:v>
      </x:c>
      <x:c r="H72" s="12" t="n">
        <x:v>61</x:v>
      </x:c>
      <x:c r="I72" s="12" t="n">
        <x:v>56</x:v>
      </x:c>
      <x:c r="J72" s="12" t="n">
        <x:v>428</x:v>
      </x:c>
      <x:c r="K72" s="34" t="n">
        <x:f>IFERROR(H72/E72,0)</x:f>
        <x:v>0.12603305785123967</x:v>
      </x:c>
      <x:c r="L72" s="34" t="n">
        <x:f>IFERROR(I72/H72,0)</x:f>
        <x:v>0.9180327868852459</x:v>
      </x:c>
      <x:c r="M72" s="34" t="n">
        <x:f>IFERROR(I72/E72,0)</x:f>
        <x:v>0.11570247933884298</x:v>
      </x:c>
    </x:row>
    <x:row r="73">
      <x:c r="A73" s="14" t="n">
        <x:v>46113</x:v>
      </x:c>
      <x:c r="B73" s="12" t="str">
        <x:v>DLR-012</x:v>
      </x:c>
      <x:c r="C73" s="12" t="str">
        <x:v>VinFast HTA Võ Chí Công</x:v>
      </x:c>
      <x:c r="D73" s="12" t="str">
        <x:v>VinFast</x:v>
      </x:c>
      <x:c r="E73" s="12" t="n">
        <x:v>405</x:v>
      </x:c>
      <x:c r="F73" s="12" t="n">
        <x:v>239</x:v>
      </x:c>
      <x:c r="G73" s="12" t="n">
        <x:v>125</x:v>
      </x:c>
      <x:c r="H73" s="12" t="n">
        <x:v>41</x:v>
      </x:c>
      <x:c r="I73" s="12" t="n">
        <x:v>38</x:v>
      </x:c>
      <x:c r="J73" s="12" t="n">
        <x:v>367</x:v>
      </x:c>
      <x:c r="K73" s="34" t="n">
        <x:f>IFERROR(H73/E73,0)</x:f>
        <x:v>0.10123456790123457</x:v>
      </x:c>
      <x:c r="L73" s="34" t="n">
        <x:f>IFERROR(I73/H73,0)</x:f>
        <x:v>0.926829268292683</x:v>
      </x:c>
      <x:c r="M73" s="34" t="n">
        <x:f>IFERROR(I73/E73,0)</x:f>
        <x:v>0.09382716049382717</x:v>
      </x:c>
    </x:row>
    <x:row r="74">
      <x:c r="A74" s="14" t="n">
        <x:v>46113</x:v>
      </x:c>
      <x:c r="B74" s="12" t="str">
        <x:v>DLR-013</x:v>
      </x:c>
      <x:c r="C74" s="12" t="str">
        <x:v>VinFast HTA Ninh Bình</x:v>
      </x:c>
      <x:c r="D74" s="12" t="str">
        <x:v>VinFast</x:v>
      </x:c>
      <x:c r="E74" s="12" t="n">
        <x:v>502</x:v>
      </x:c>
      <x:c r="F74" s="12" t="n">
        <x:v>357</x:v>
      </x:c>
      <x:c r="G74" s="12" t="n">
        <x:v>193</x:v>
      </x:c>
      <x:c r="H74" s="12" t="n">
        <x:v>72</x:v>
      </x:c>
      <x:c r="I74" s="12" t="n">
        <x:v>58</x:v>
      </x:c>
      <x:c r="J74" s="12" t="n">
        <x:v>444</x:v>
      </x:c>
      <x:c r="K74" s="34" t="n">
        <x:f>IFERROR(H74/E74,0)</x:f>
        <x:v>0.14342629482071714</x:v>
      </x:c>
      <x:c r="L74" s="34" t="n">
        <x:f>IFERROR(I74/H74,0)</x:f>
        <x:v>0.8055555555555556</x:v>
      </x:c>
      <x:c r="M74" s="34" t="n">
        <x:f>IFERROR(I74/E74,0)</x:f>
        <x:v>0.11553784860557768</x:v>
      </x:c>
    </x:row>
    <x:row r="75">
      <x:c r="A75" s="14" t="n">
        <x:v>46113</x:v>
      </x:c>
      <x:c r="B75" s="12" t="str">
        <x:v>DLR-014</x:v>
      </x:c>
      <x:c r="C75" s="12" t="str">
        <x:v>VinFast HTA Nam Từ Liêm</x:v>
      </x:c>
      <x:c r="D75" s="12" t="str">
        <x:v>VinFast</x:v>
      </x:c>
      <x:c r="E75" s="12" t="n">
        <x:v>214</x:v>
      </x:c>
      <x:c r="F75" s="12" t="n">
        <x:v>144</x:v>
      </x:c>
      <x:c r="G75" s="12" t="n">
        <x:v>52</x:v>
      </x:c>
      <x:c r="H75" s="12" t="n">
        <x:v>24</x:v>
      </x:c>
      <x:c r="I75" s="12" t="n">
        <x:v>20</x:v>
      </x:c>
      <x:c r="J75" s="12" t="n">
        <x:v>194</x:v>
      </x:c>
      <x:c r="K75" s="34" t="n">
        <x:f>IFERROR(H75/E75,0)</x:f>
        <x:v>0.11214953271028037</x:v>
      </x:c>
      <x:c r="L75" s="34" t="n">
        <x:f>IFERROR(I75/H75,0)</x:f>
        <x:v>0.8333333333333334</x:v>
      </x:c>
      <x:c r="M75" s="34" t="n">
        <x:f>IFERROR(I75/E75,0)</x:f>
        <x:v>0.09345794392523364</x:v>
      </x:c>
    </x:row>
    <x:row r="76">
      <x:c r="A76" s="14" t="n">
        <x:v>46113</x:v>
      </x:c>
      <x:c r="B76" s="12" t="str">
        <x:v>DLR-015</x:v>
      </x:c>
      <x:c r="C76" s="12" t="str">
        <x:v>VinFast HTA Văn Phú</x:v>
      </x:c>
      <x:c r="D76" s="12" t="str">
        <x:v>VinFast</x:v>
      </x:c>
      <x:c r="E76" s="12" t="n">
        <x:v>458</x:v>
      </x:c>
      <x:c r="F76" s="12" t="n">
        <x:v>345</x:v>
      </x:c>
      <x:c r="G76" s="12" t="n">
        <x:v>121</x:v>
      </x:c>
      <x:c r="H76" s="12" t="n">
        <x:v>50</x:v>
      </x:c>
      <x:c r="I76" s="12" t="n">
        <x:v>46</x:v>
      </x:c>
      <x:c r="J76" s="12" t="n">
        <x:v>412</x:v>
      </x:c>
      <x:c r="K76" s="34" t="n">
        <x:f>IFERROR(H76/E76,0)</x:f>
        <x:v>0.1091703056768559</x:v>
      </x:c>
      <x:c r="L76" s="34" t="n">
        <x:f>IFERROR(I76/H76,0)</x:f>
        <x:v>0.92</x:v>
      </x:c>
      <x:c r="M76" s="34" t="n">
        <x:f>IFERROR(I76/E76,0)</x:f>
        <x:v>0.10043668122270742</x:v>
      </x:c>
    </x:row>
    <x:row r="77">
      <x:c r="A77" s="14" t="n">
        <x:v>46113</x:v>
      </x:c>
      <x:c r="B77" s="12" t="str">
        <x:v>DLR-016</x:v>
      </x:c>
      <x:c r="C77" s="12" t="str">
        <x:v>VinFast HTA Mỹ Đình</x:v>
      </x:c>
      <x:c r="D77" s="12" t="str">
        <x:v>VinFast</x:v>
      </x:c>
      <x:c r="E77" s="12" t="n">
        <x:v>173</x:v>
      </x:c>
      <x:c r="F77" s="12" t="n">
        <x:v>108</x:v>
      </x:c>
      <x:c r="G77" s="12" t="n">
        <x:v>47</x:v>
      </x:c>
      <x:c r="H77" s="12" t="n">
        <x:v>19</x:v>
      </x:c>
      <x:c r="I77" s="12" t="n">
        <x:v>18</x:v>
      </x:c>
      <x:c r="J77" s="12" t="n">
        <x:v>155</x:v>
      </x:c>
      <x:c r="K77" s="34" t="n">
        <x:f>IFERROR(H77/E77,0)</x:f>
        <x:v>0.10982658959537572</x:v>
      </x:c>
      <x:c r="L77" s="34" t="n">
        <x:f>IFERROR(I77/H77,0)</x:f>
        <x:v>0.9473684210526315</x:v>
      </x:c>
      <x:c r="M77" s="34" t="n">
        <x:f>IFERROR(I77/E77,0)</x:f>
        <x:v>0.10404624277456648</x:v>
      </x:c>
    </x:row>
    <x:row r="78">
      <x:c r="A78" s="14" t="n">
        <x:v>46113</x:v>
      </x:c>
      <x:c r="B78" s="12" t="str">
        <x:v>DLR-017</x:v>
      </x:c>
      <x:c r="C78" s="12" t="str">
        <x:v>VinFast Quốc Oai</x:v>
      </x:c>
      <x:c r="D78" s="12" t="str">
        <x:v>VinFast</x:v>
      </x:c>
      <x:c r="E78" s="12" t="n">
        <x:v>466</x:v>
      </x:c>
      <x:c r="F78" s="12" t="n">
        <x:v>258</x:v>
      </x:c>
      <x:c r="G78" s="12" t="n">
        <x:v>106</x:v>
      </x:c>
      <x:c r="H78" s="12" t="n">
        <x:v>34</x:v>
      </x:c>
      <x:c r="I78" s="12" t="n">
        <x:v>31</x:v>
      </x:c>
      <x:c r="J78" s="12" t="n">
        <x:v>435</x:v>
      </x:c>
      <x:c r="K78" s="34" t="n">
        <x:f>IFERROR(H78/E78,0)</x:f>
        <x:v>0.07296137339055794</x:v>
      </x:c>
      <x:c r="L78" s="34" t="n">
        <x:f>IFERROR(I78/H78,0)</x:f>
        <x:v>0.9117647058823529</x:v>
      </x:c>
      <x:c r="M78" s="34" t="n">
        <x:f>IFERROR(I78/E78,0)</x:f>
        <x:v>0.06652360515021459</x:v>
      </x:c>
    </x:row>
    <x:row r="79">
      <x:c r="A79" s="14" t="n">
        <x:v>46113</x:v>
      </x:c>
      <x:c r="B79" s="12" t="str">
        <x:v>DLR-018</x:v>
      </x:c>
      <x:c r="C79" s="12" t="str">
        <x:v>OMODA &amp; JAECOO HTA Nam Từ Liêm</x:v>
      </x:c>
      <x:c r="D79" s="12" t="str">
        <x:v>OMODA &amp; JAECOO</x:v>
      </x:c>
      <x:c r="E79" s="12" t="n">
        <x:v>257</x:v>
      </x:c>
      <x:c r="F79" s="12" t="n">
        <x:v>158</x:v>
      </x:c>
      <x:c r="G79" s="12" t="n">
        <x:v>75</x:v>
      </x:c>
      <x:c r="H79" s="12" t="n">
        <x:v>36</x:v>
      </x:c>
      <x:c r="I79" s="12" t="n">
        <x:v>32</x:v>
      </x:c>
      <x:c r="J79" s="12" t="n">
        <x:v>225</x:v>
      </x:c>
      <x:c r="K79" s="34" t="n">
        <x:f>IFERROR(H79/E79,0)</x:f>
        <x:v>0.14007782101167315</x:v>
      </x:c>
      <x:c r="L79" s="34" t="n">
        <x:f>IFERROR(I79/H79,0)</x:f>
        <x:v>0.8888888888888888</x:v>
      </x:c>
      <x:c r="M79" s="34" t="n">
        <x:f>IFERROR(I79/E79,0)</x:f>
        <x:v>0.1245136186770428</x:v>
      </x:c>
    </x:row>
    <x:row r="80">
      <x:c r="A80" s="14" t="n">
        <x:v>46113</x:v>
      </x:c>
      <x:c r="B80" s="12" t="str">
        <x:v>DLR-019</x:v>
      </x:c>
      <x:c r="C80" s="12" t="str">
        <x:v>OMODA &amp; JAECOO HTA Việt Trì</x:v>
      </x:c>
      <x:c r="D80" s="12" t="str">
        <x:v>OMODA &amp; JAECOO</x:v>
      </x:c>
      <x:c r="E80" s="12" t="n">
        <x:v>169</x:v>
      </x:c>
      <x:c r="F80" s="12" t="n">
        <x:v>117</x:v>
      </x:c>
      <x:c r="G80" s="12" t="n">
        <x:v>39</x:v>
      </x:c>
      <x:c r="H80" s="12" t="n">
        <x:v>12</x:v>
      </x:c>
      <x:c r="I80" s="12" t="n">
        <x:v>11</x:v>
      </x:c>
      <x:c r="J80" s="12" t="n">
        <x:v>158</x:v>
      </x:c>
      <x:c r="K80" s="34" t="n">
        <x:f>IFERROR(H80/E80,0)</x:f>
        <x:v>0.07100591715976332</x:v>
      </x:c>
      <x:c r="L80" s="34" t="n">
        <x:f>IFERROR(I80/H80,0)</x:f>
        <x:v>0.9166666666666666</x:v>
      </x:c>
      <x:c r="M80" s="34" t="n">
        <x:f>IFERROR(I80/E80,0)</x:f>
        <x:v>0.0650887573964497</x:v>
      </x:c>
    </x:row>
    <x:row r="81">
      <x:c r="A81" s="14" t="n">
        <x:v>46113</x:v>
      </x:c>
      <x:c r="B81" s="12" t="str">
        <x:v>DLR-020</x:v>
      </x:c>
      <x:c r="C81" s="12" t="str">
        <x:v>Wuling HTA Long Biên</x:v>
      </x:c>
      <x:c r="D81" s="12" t="str">
        <x:v>Wuling</x:v>
      </x:c>
      <x:c r="E81" s="12" t="n">
        <x:v>221</x:v>
      </x:c>
      <x:c r="F81" s="12" t="n">
        <x:v>165</x:v>
      </x:c>
      <x:c r="G81" s="12" t="n">
        <x:v>67</x:v>
      </x:c>
      <x:c r="H81" s="12" t="n">
        <x:v>21</x:v>
      </x:c>
      <x:c r="I81" s="12" t="n">
        <x:v>17</x:v>
      </x:c>
      <x:c r="J81" s="12" t="n">
        <x:v>204</x:v>
      </x:c>
      <x:c r="K81" s="34" t="n">
        <x:f>IFERROR(H81/E81,0)</x:f>
        <x:v>0.09502262443438914</x:v>
      </x:c>
      <x:c r="L81" s="34" t="n">
        <x:f>IFERROR(I81/H81,0)</x:f>
        <x:v>0.8095238095238095</x:v>
      </x:c>
      <x:c r="M81" s="34" t="n">
        <x:f>IFERROR(I81/E81,0)</x:f>
        <x:v>0.07692307692307693</x:v>
      </x:c>
    </x:row>
    <x:row r="82">
      <x:c r="A82" s="14" t="n">
        <x:v>46143</x:v>
      </x:c>
      <x:c r="B82" s="12" t="str">
        <x:v>DLR-001</x:v>
      </x:c>
      <x:c r="C82" s="12" t="str">
        <x:v>Hà Thành Ford</x:v>
      </x:c>
      <x:c r="D82" s="12" t="str">
        <x:v>Ford</x:v>
      </x:c>
      <x:c r="E82" s="12" t="n">
        <x:v>518</x:v>
      </x:c>
      <x:c r="F82" s="12" t="n">
        <x:v>305</x:v>
      </x:c>
      <x:c r="G82" s="12" t="n">
        <x:v>171</x:v>
      </x:c>
      <x:c r="H82" s="12" t="n">
        <x:v>58</x:v>
      </x:c>
      <x:c r="I82" s="12" t="n">
        <x:v>50</x:v>
      </x:c>
      <x:c r="J82" s="12" t="n">
        <x:v>468</x:v>
      </x:c>
      <x:c r="K82" s="34" t="n">
        <x:f>IFERROR(H82/E82,0)</x:f>
        <x:v>0.11196911196911197</x:v>
      </x:c>
      <x:c r="L82" s="34" t="n">
        <x:f>IFERROR(I82/H82,0)</x:f>
        <x:v>0.8620689655172413</x:v>
      </x:c>
      <x:c r="M82" s="34" t="n">
        <x:f>IFERROR(I82/E82,0)</x:f>
        <x:v>0.09652509652509653</x:v>
      </x:c>
    </x:row>
    <x:row r="83">
      <x:c r="A83" s="14" t="n">
        <x:v>46143</x:v>
      </x:c>
      <x:c r="B83" s="12" t="str">
        <x:v>DLR-002</x:v>
      </x:c>
      <x:c r="C83" s="12" t="str">
        <x:v>Hà Thành Ford - Mỹ Đình</x:v>
      </x:c>
      <x:c r="D83" s="12" t="str">
        <x:v>Ford</x:v>
      </x:c>
      <x:c r="E83" s="12" t="n">
        <x:v>289</x:v>
      </x:c>
      <x:c r="F83" s="12" t="n">
        <x:v>212</x:v>
      </x:c>
      <x:c r="G83" s="12" t="n">
        <x:v>107</x:v>
      </x:c>
      <x:c r="H83" s="12" t="n">
        <x:v>48</x:v>
      </x:c>
      <x:c r="I83" s="12" t="n">
        <x:v>42</x:v>
      </x:c>
      <x:c r="J83" s="12" t="n">
        <x:v>247</x:v>
      </x:c>
      <x:c r="K83" s="34" t="n">
        <x:f>IFERROR(H83/E83,0)</x:f>
        <x:v>0.16608996539792387</x:v>
      </x:c>
      <x:c r="L83" s="34" t="n">
        <x:f>IFERROR(I83/H83,0)</x:f>
        <x:v>0.875</x:v>
      </x:c>
      <x:c r="M83" s="34" t="n">
        <x:f>IFERROR(I83/E83,0)</x:f>
        <x:v>0.1453287197231834</x:v>
      </x:c>
    </x:row>
    <x:row r="84">
      <x:c r="A84" s="14" t="n">
        <x:v>46143</x:v>
      </x:c>
      <x:c r="B84" s="12" t="str">
        <x:v>DLR-003</x:v>
      </x:c>
      <x:c r="C84" s="12" t="str">
        <x:v>Mỹ Đình Ford</x:v>
      </x:c>
      <x:c r="D84" s="12" t="str">
        <x:v>Ford</x:v>
      </x:c>
      <x:c r="E84" s="12" t="n">
        <x:v>469</x:v>
      </x:c>
      <x:c r="F84" s="12" t="n">
        <x:v>366</x:v>
      </x:c>
      <x:c r="G84" s="12" t="n">
        <x:v>186</x:v>
      </x:c>
      <x:c r="H84" s="12" t="n">
        <x:v>72</x:v>
      </x:c>
      <x:c r="I84" s="12" t="n">
        <x:v>61</x:v>
      </x:c>
      <x:c r="J84" s="12" t="n">
        <x:v>408</x:v>
      </x:c>
      <x:c r="K84" s="34" t="n">
        <x:f>IFERROR(H84/E84,0)</x:f>
        <x:v>0.1535181236673774</x:v>
      </x:c>
      <x:c r="L84" s="34" t="n">
        <x:f>IFERROR(I84/H84,0)</x:f>
        <x:v>0.8472222222222222</x:v>
      </x:c>
      <x:c r="M84" s="34" t="n">
        <x:f>IFERROR(I84/E84,0)</x:f>
        <x:v>0.1300639658848614</x:v>
      </x:c>
    </x:row>
    <x:row r="85">
      <x:c r="A85" s="14" t="n">
        <x:v>46143</x:v>
      </x:c>
      <x:c r="B85" s="12" t="str">
        <x:v>DLR-004</x:v>
      </x:c>
      <x:c r="C85" s="12" t="str">
        <x:v>Việt Trì Ford</x:v>
      </x:c>
      <x:c r="D85" s="12" t="str">
        <x:v>Ford</x:v>
      </x:c>
      <x:c r="E85" s="12" t="n">
        <x:v>205</x:v>
      </x:c>
      <x:c r="F85" s="12" t="n">
        <x:v>149</x:v>
      </x:c>
      <x:c r="G85" s="12" t="n">
        <x:v>61</x:v>
      </x:c>
      <x:c r="H85" s="12" t="n">
        <x:v>20</x:v>
      </x:c>
      <x:c r="I85" s="12" t="n">
        <x:v>17</x:v>
      </x:c>
      <x:c r="J85" s="12" t="n">
        <x:v>188</x:v>
      </x:c>
      <x:c r="K85" s="34" t="n">
        <x:f>IFERROR(H85/E85,0)</x:f>
        <x:v>0.0975609756097561</x:v>
      </x:c>
      <x:c r="L85" s="34" t="n">
        <x:f>IFERROR(I85/H85,0)</x:f>
        <x:v>0.85</x:v>
      </x:c>
      <x:c r="M85" s="34" t="n">
        <x:f>IFERROR(I85/E85,0)</x:f>
        <x:v>0.08292682926829269</x:v>
      </x:c>
    </x:row>
    <x:row r="86">
      <x:c r="A86" s="14" t="n">
        <x:v>46143</x:v>
      </x:c>
      <x:c r="B86" s="12" t="str">
        <x:v>DLR-005</x:v>
      </x:c>
      <x:c r="C86" s="12" t="str">
        <x:v>BYD HTA Tây Hồ</x:v>
      </x:c>
      <x:c r="D86" s="12" t="str">
        <x:v>BYD</x:v>
      </x:c>
      <x:c r="E86" s="12" t="n">
        <x:v>134</x:v>
      </x:c>
      <x:c r="F86" s="12" t="n">
        <x:v>95</x:v>
      </x:c>
      <x:c r="G86" s="12" t="n">
        <x:v>35</x:v>
      </x:c>
      <x:c r="H86" s="12" t="n">
        <x:v>17</x:v>
      </x:c>
      <x:c r="I86" s="12" t="n">
        <x:v>16</x:v>
      </x:c>
      <x:c r="J86" s="12" t="n">
        <x:v>118</x:v>
      </x:c>
      <x:c r="K86" s="34" t="n">
        <x:f>IFERROR(H86/E86,0)</x:f>
        <x:v>0.12686567164179105</x:v>
      </x:c>
      <x:c r="L86" s="34" t="n">
        <x:f>IFERROR(I86/H86,0)</x:f>
        <x:v>0.9411764705882353</x:v>
      </x:c>
      <x:c r="M86" s="34" t="n">
        <x:f>IFERROR(I86/E86,0)</x:f>
        <x:v>0.11940298507462686</x:v>
      </x:c>
    </x:row>
    <x:row r="87">
      <x:c r="A87" s="14" t="n">
        <x:v>46143</x:v>
      </x:c>
      <x:c r="B87" s="12" t="str">
        <x:v>DLR-006</x:v>
      </x:c>
      <x:c r="C87" s="12" t="str">
        <x:v>BYD HTA Hoàn Kiếm</x:v>
      </x:c>
      <x:c r="D87" s="12" t="str">
        <x:v>BYD</x:v>
      </x:c>
      <x:c r="E87" s="12" t="n">
        <x:v>472</x:v>
      </x:c>
      <x:c r="F87" s="12" t="n">
        <x:v>290</x:v>
      </x:c>
      <x:c r="G87" s="12" t="n">
        <x:v>93</x:v>
      </x:c>
      <x:c r="H87" s="12" t="n">
        <x:v>32</x:v>
      </x:c>
      <x:c r="I87" s="12" t="n">
        <x:v>29</x:v>
      </x:c>
      <x:c r="J87" s="12" t="n">
        <x:v>443</x:v>
      </x:c>
      <x:c r="K87" s="34" t="n">
        <x:f>IFERROR(H87/E87,0)</x:f>
        <x:v>0.06779661016949153</x:v>
      </x:c>
      <x:c r="L87" s="34" t="n">
        <x:f>IFERROR(I87/H87,0)</x:f>
        <x:v>0.90625</x:v>
      </x:c>
      <x:c r="M87" s="34" t="n">
        <x:f>IFERROR(I87/E87,0)</x:f>
        <x:v>0.0614406779661017</x:v>
      </x:c>
    </x:row>
    <x:row r="88">
      <x:c r="A88" s="14" t="n">
        <x:v>46143</x:v>
      </x:c>
      <x:c r="B88" s="12" t="str">
        <x:v>DLR-007</x:v>
      </x:c>
      <x:c r="C88" s="12" t="str">
        <x:v>BYD Hà Đông</x:v>
      </x:c>
      <x:c r="D88" s="12" t="str">
        <x:v>BYD</x:v>
      </x:c>
      <x:c r="E88" s="12" t="n">
        <x:v>310</x:v>
      </x:c>
      <x:c r="F88" s="12" t="n">
        <x:v>210</x:v>
      </x:c>
      <x:c r="G88" s="12" t="n">
        <x:v>71</x:v>
      </x:c>
      <x:c r="H88" s="12" t="n">
        <x:v>23</x:v>
      </x:c>
      <x:c r="I88" s="12" t="n">
        <x:v>21</x:v>
      </x:c>
      <x:c r="J88" s="12" t="n">
        <x:v>289</x:v>
      </x:c>
      <x:c r="K88" s="34" t="n">
        <x:f>IFERROR(H88/E88,0)</x:f>
        <x:v>0.07419354838709677</x:v>
      </x:c>
      <x:c r="L88" s="34" t="n">
        <x:f>IFERROR(I88/H88,0)</x:f>
        <x:v>0.9130434782608695</x:v>
      </x:c>
      <x:c r="M88" s="34" t="n">
        <x:f>IFERROR(I88/E88,0)</x:f>
        <x:v>0.06774193548387097</x:v>
      </x:c>
    </x:row>
    <x:row r="89">
      <x:c r="A89" s="14" t="n">
        <x:v>46143</x:v>
      </x:c>
      <x:c r="B89" s="12" t="str">
        <x:v>DLR-008</x:v>
      </x:c>
      <x:c r="C89" s="12" t="str">
        <x:v>VinFast HTA Nguyễn Văn Linh</x:v>
      </x:c>
      <x:c r="D89" s="12" t="str">
        <x:v>VinFast</x:v>
      </x:c>
      <x:c r="E89" s="12" t="n">
        <x:v>258</x:v>
      </x:c>
      <x:c r="F89" s="12" t="n">
        <x:v>197</x:v>
      </x:c>
      <x:c r="G89" s="12" t="n">
        <x:v>84</x:v>
      </x:c>
      <x:c r="H89" s="12" t="n">
        <x:v>31</x:v>
      </x:c>
      <x:c r="I89" s="12" t="n">
        <x:v>25</x:v>
      </x:c>
      <x:c r="J89" s="12" t="n">
        <x:v>233</x:v>
      </x:c>
      <x:c r="K89" s="34" t="n">
        <x:f>IFERROR(H89/E89,0)</x:f>
        <x:v>0.12015503875968993</x:v>
      </x:c>
      <x:c r="L89" s="34" t="n">
        <x:f>IFERROR(I89/H89,0)</x:f>
        <x:v>0.8064516129032258</x:v>
      </x:c>
      <x:c r="M89" s="34" t="n">
        <x:f>IFERROR(I89/E89,0)</x:f>
        <x:v>0.09689922480620156</x:v>
      </x:c>
    </x:row>
    <x:row r="90">
      <x:c r="A90" s="14" t="n">
        <x:v>46143</x:v>
      </x:c>
      <x:c r="B90" s="12" t="str">
        <x:v>DLR-009</x:v>
      </x:c>
      <x:c r="C90" s="12" t="str">
        <x:v>VinFast HTA Đông Anh</x:v>
      </x:c>
      <x:c r="D90" s="12" t="str">
        <x:v>VinFast</x:v>
      </x:c>
      <x:c r="E90" s="12" t="n">
        <x:v>414</x:v>
      </x:c>
      <x:c r="F90" s="12" t="n">
        <x:v>283</x:v>
      </x:c>
      <x:c r="G90" s="12" t="n">
        <x:v>161</x:v>
      </x:c>
      <x:c r="H90" s="12" t="n">
        <x:v>62</x:v>
      </x:c>
      <x:c r="I90" s="12" t="n">
        <x:v>56</x:v>
      </x:c>
      <x:c r="J90" s="12" t="n">
        <x:v>358</x:v>
      </x:c>
      <x:c r="K90" s="34" t="n">
        <x:f>IFERROR(H90/E90,0)</x:f>
        <x:v>0.1497584541062802</x:v>
      </x:c>
      <x:c r="L90" s="34" t="n">
        <x:f>IFERROR(I90/H90,0)</x:f>
        <x:v>0.9032258064516129</x:v>
      </x:c>
      <x:c r="M90" s="34" t="n">
        <x:f>IFERROR(I90/E90,0)</x:f>
        <x:v>0.13526570048309178</x:v>
      </x:c>
    </x:row>
    <x:row r="91">
      <x:c r="A91" s="14" t="n">
        <x:v>46143</x:v>
      </x:c>
      <x:c r="B91" s="12" t="str">
        <x:v>DLR-010</x:v>
      </x:c>
      <x:c r="C91" s="12" t="str">
        <x:v>VinFast HTA Đàm Quang Trung</x:v>
      </x:c>
      <x:c r="D91" s="12" t="str">
        <x:v>VinFast</x:v>
      </x:c>
      <x:c r="E91" s="12" t="n">
        <x:v>308</x:v>
      </x:c>
      <x:c r="F91" s="12" t="n">
        <x:v>172</x:v>
      </x:c>
      <x:c r="G91" s="12" t="n">
        <x:v>78</x:v>
      </x:c>
      <x:c r="H91" s="12" t="n">
        <x:v>22</x:v>
      </x:c>
      <x:c r="I91" s="12" t="n">
        <x:v>19</x:v>
      </x:c>
      <x:c r="J91" s="12" t="n">
        <x:v>289</x:v>
      </x:c>
      <x:c r="K91" s="34" t="n">
        <x:f>IFERROR(H91/E91,0)</x:f>
        <x:v>0.07142857142857142</x:v>
      </x:c>
      <x:c r="L91" s="34" t="n">
        <x:f>IFERROR(I91/H91,0)</x:f>
        <x:v>0.8636363636363636</x:v>
      </x:c>
      <x:c r="M91" s="34" t="n">
        <x:f>IFERROR(I91/E91,0)</x:f>
        <x:v>0.06168831168831169</x:v>
      </x:c>
    </x:row>
    <x:row r="92">
      <x:c r="A92" s="14" t="n">
        <x:v>46143</x:v>
      </x:c>
      <x:c r="B92" s="12" t="str">
        <x:v>DLR-011</x:v>
      </x:c>
      <x:c r="C92" s="12" t="str">
        <x:v>VinFast HTA Phạm Văn Đồng</x:v>
      </x:c>
      <x:c r="D92" s="12" t="str">
        <x:v>VinFast</x:v>
      </x:c>
      <x:c r="E92" s="12" t="n">
        <x:v>288</x:v>
      </x:c>
      <x:c r="F92" s="12" t="n">
        <x:v>167</x:v>
      </x:c>
      <x:c r="G92" s="12" t="n">
        <x:v>54</x:v>
      </x:c>
      <x:c r="H92" s="12" t="n">
        <x:v>17</x:v>
      </x:c>
      <x:c r="I92" s="12" t="n">
        <x:v>16</x:v>
      </x:c>
      <x:c r="J92" s="12" t="n">
        <x:v>272</x:v>
      </x:c>
      <x:c r="K92" s="34" t="n">
        <x:f>IFERROR(H92/E92,0)</x:f>
        <x:v>0.059027777777777776</x:v>
      </x:c>
      <x:c r="L92" s="34" t="n">
        <x:f>IFERROR(I92/H92,0)</x:f>
        <x:v>0.9411764705882353</x:v>
      </x:c>
      <x:c r="M92" s="34" t="n">
        <x:f>IFERROR(I92/E92,0)</x:f>
        <x:v>0.05555555555555555</x:v>
      </x:c>
    </x:row>
    <x:row r="93">
      <x:c r="A93" s="14" t="n">
        <x:v>46143</x:v>
      </x:c>
      <x:c r="B93" s="12" t="str">
        <x:v>DLR-012</x:v>
      </x:c>
      <x:c r="C93" s="12" t="str">
        <x:v>VinFast HTA Võ Chí Công</x:v>
      </x:c>
      <x:c r="D93" s="12" t="str">
        <x:v>VinFast</x:v>
      </x:c>
      <x:c r="E93" s="12" t="n">
        <x:v>340</x:v>
      </x:c>
      <x:c r="F93" s="12" t="n">
        <x:v>235</x:v>
      </x:c>
      <x:c r="G93" s="12" t="n">
        <x:v>130</x:v>
      </x:c>
      <x:c r="H93" s="12" t="n">
        <x:v>40</x:v>
      </x:c>
      <x:c r="I93" s="12" t="n">
        <x:v>36</x:v>
      </x:c>
      <x:c r="J93" s="12" t="n">
        <x:v>304</x:v>
      </x:c>
      <x:c r="K93" s="34" t="n">
        <x:f>IFERROR(H93/E93,0)</x:f>
        <x:v>0.11764705882352941</x:v>
      </x:c>
      <x:c r="L93" s="34" t="n">
        <x:f>IFERROR(I93/H93,0)</x:f>
        <x:v>0.9</x:v>
      </x:c>
      <x:c r="M93" s="34" t="n">
        <x:f>IFERROR(I93/E93,0)</x:f>
        <x:v>0.10588235294117647</x:v>
      </x:c>
    </x:row>
    <x:row r="94">
      <x:c r="A94" s="14" t="n">
        <x:v>46143</x:v>
      </x:c>
      <x:c r="B94" s="12" t="str">
        <x:v>DLR-013</x:v>
      </x:c>
      <x:c r="C94" s="12" t="str">
        <x:v>VinFast HTA Ninh Bình</x:v>
      </x:c>
      <x:c r="D94" s="12" t="str">
        <x:v>VinFast</x:v>
      </x:c>
      <x:c r="E94" s="12" t="n">
        <x:v>301</x:v>
      </x:c>
      <x:c r="F94" s="12" t="n">
        <x:v>197</x:v>
      </x:c>
      <x:c r="G94" s="12" t="n">
        <x:v>108</x:v>
      </x:c>
      <x:c r="H94" s="12" t="n">
        <x:v>46</x:v>
      </x:c>
      <x:c r="I94" s="12" t="n">
        <x:v>37</x:v>
      </x:c>
      <x:c r="J94" s="12" t="n">
        <x:v>264</x:v>
      </x:c>
      <x:c r="K94" s="34" t="n">
        <x:f>IFERROR(H94/E94,0)</x:f>
        <x:v>0.15282392026578073</x:v>
      </x:c>
      <x:c r="L94" s="34" t="n">
        <x:f>IFERROR(I94/H94,0)</x:f>
        <x:v>0.8043478260869565</x:v>
      </x:c>
      <x:c r="M94" s="34" t="n">
        <x:f>IFERROR(I94/E94,0)</x:f>
        <x:v>0.12292358803986711</x:v>
      </x:c>
    </x:row>
    <x:row r="95">
      <x:c r="A95" s="14" t="n">
        <x:v>46143</x:v>
      </x:c>
      <x:c r="B95" s="12" t="str">
        <x:v>DLR-014</x:v>
      </x:c>
      <x:c r="C95" s="12" t="str">
        <x:v>VinFast HTA Nam Từ Liêm</x:v>
      </x:c>
      <x:c r="D95" s="12" t="str">
        <x:v>VinFast</x:v>
      </x:c>
      <x:c r="E95" s="12" t="n">
        <x:v>453</x:v>
      </x:c>
      <x:c r="F95" s="12" t="n">
        <x:v>325</x:v>
      </x:c>
      <x:c r="G95" s="12" t="n">
        <x:v>140</x:v>
      </x:c>
      <x:c r="H95" s="12" t="n">
        <x:v>41</x:v>
      </x:c>
      <x:c r="I95" s="12" t="n">
        <x:v>36</x:v>
      </x:c>
      <x:c r="J95" s="12" t="n">
        <x:v>417</x:v>
      </x:c>
      <x:c r="K95" s="34" t="n">
        <x:f>IFERROR(H95/E95,0)</x:f>
        <x:v>0.09050772626931568</x:v>
      </x:c>
      <x:c r="L95" s="34" t="n">
        <x:f>IFERROR(I95/H95,0)</x:f>
        <x:v>0.8780487804878049</x:v>
      </x:c>
      <x:c r="M95" s="34" t="n">
        <x:f>IFERROR(I95/E95,0)</x:f>
        <x:v>0.07947019867549669</x:v>
      </x:c>
    </x:row>
    <x:row r="96">
      <x:c r="A96" s="14" t="n">
        <x:v>46143</x:v>
      </x:c>
      <x:c r="B96" s="12" t="str">
        <x:v>DLR-015</x:v>
      </x:c>
      <x:c r="C96" s="12" t="str">
        <x:v>VinFast HTA Văn Phú</x:v>
      </x:c>
      <x:c r="D96" s="12" t="str">
        <x:v>VinFast</x:v>
      </x:c>
      <x:c r="E96" s="12" t="n">
        <x:v>397</x:v>
      </x:c>
      <x:c r="F96" s="12" t="n">
        <x:v>224</x:v>
      </x:c>
      <x:c r="G96" s="12" t="n">
        <x:v>79</x:v>
      </x:c>
      <x:c r="H96" s="12" t="n">
        <x:v>28</x:v>
      </x:c>
      <x:c r="I96" s="12" t="n">
        <x:v>24</x:v>
      </x:c>
      <x:c r="J96" s="12" t="n">
        <x:v>373</x:v>
      </x:c>
      <x:c r="K96" s="34" t="n">
        <x:f>IFERROR(H96/E96,0)</x:f>
        <x:v>0.07052896725440806</x:v>
      </x:c>
      <x:c r="L96" s="34" t="n">
        <x:f>IFERROR(I96/H96,0)</x:f>
        <x:v>0.8571428571428571</x:v>
      </x:c>
      <x:c r="M96" s="34" t="n">
        <x:f>IFERROR(I96/E96,0)</x:f>
        <x:v>0.060453400503778336</x:v>
      </x:c>
    </x:row>
    <x:row r="97">
      <x:c r="A97" s="14" t="n">
        <x:v>46143</x:v>
      </x:c>
      <x:c r="B97" s="12" t="str">
        <x:v>DLR-016</x:v>
      </x:c>
      <x:c r="C97" s="12" t="str">
        <x:v>VinFast HTA Mỹ Đình</x:v>
      </x:c>
      <x:c r="D97" s="12" t="str">
        <x:v>VinFast</x:v>
      </x:c>
      <x:c r="E97" s="12" t="n">
        <x:v>278</x:v>
      </x:c>
      <x:c r="F97" s="12" t="n">
        <x:v>184</x:v>
      </x:c>
      <x:c r="G97" s="12" t="n">
        <x:v>99</x:v>
      </x:c>
      <x:c r="H97" s="12" t="n">
        <x:v>36</x:v>
      </x:c>
      <x:c r="I97" s="12" t="n">
        <x:v>30</x:v>
      </x:c>
      <x:c r="J97" s="12" t="n">
        <x:v>248</x:v>
      </x:c>
      <x:c r="K97" s="34" t="n">
        <x:f>IFERROR(H97/E97,0)</x:f>
        <x:v>0.12949640287769784</x:v>
      </x:c>
      <x:c r="L97" s="34" t="n">
        <x:f>IFERROR(I97/H97,0)</x:f>
        <x:v>0.8333333333333334</x:v>
      </x:c>
      <x:c r="M97" s="34" t="n">
        <x:f>IFERROR(I97/E97,0)</x:f>
        <x:v>0.1079136690647482</x:v>
      </x:c>
    </x:row>
    <x:row r="98">
      <x:c r="A98" s="14" t="n">
        <x:v>46143</x:v>
      </x:c>
      <x:c r="B98" s="12" t="str">
        <x:v>DLR-017</x:v>
      </x:c>
      <x:c r="C98" s="12" t="str">
        <x:v>VinFast Quốc Oai</x:v>
      </x:c>
      <x:c r="D98" s="12" t="str">
        <x:v>VinFast</x:v>
      </x:c>
      <x:c r="E98" s="12" t="n">
        <x:v>369</x:v>
      </x:c>
      <x:c r="F98" s="12" t="n">
        <x:v>210</x:v>
      </x:c>
      <x:c r="G98" s="12" t="n">
        <x:v>94</x:v>
      </x:c>
      <x:c r="H98" s="12" t="n">
        <x:v>27</x:v>
      </x:c>
      <x:c r="I98" s="12" t="n">
        <x:v>23</x:v>
      </x:c>
      <x:c r="J98" s="12" t="n">
        <x:v>346</x:v>
      </x:c>
      <x:c r="K98" s="34" t="n">
        <x:f>IFERROR(H98/E98,0)</x:f>
        <x:v>0.07317073170731707</x:v>
      </x:c>
      <x:c r="L98" s="34" t="n">
        <x:f>IFERROR(I98/H98,0)</x:f>
        <x:v>0.8518518518518519</x:v>
      </x:c>
      <x:c r="M98" s="34" t="n">
        <x:f>IFERROR(I98/E98,0)</x:f>
        <x:v>0.06233062330623306</x:v>
      </x:c>
    </x:row>
    <x:row r="99">
      <x:c r="A99" s="14" t="n">
        <x:v>46143</x:v>
      </x:c>
      <x:c r="B99" s="12" t="str">
        <x:v>DLR-018</x:v>
      </x:c>
      <x:c r="C99" s="12" t="str">
        <x:v>OMODA &amp; JAECOO HTA Nam Từ Liêm</x:v>
      </x:c>
      <x:c r="D99" s="12" t="str">
        <x:v>OMODA &amp; JAECOO</x:v>
      </x:c>
      <x:c r="E99" s="12" t="n">
        <x:v>472</x:v>
      </x:c>
      <x:c r="F99" s="12" t="n">
        <x:v>269</x:v>
      </x:c>
      <x:c r="G99" s="12" t="n">
        <x:v>154</x:v>
      </x:c>
      <x:c r="H99" s="12" t="n">
        <x:v>62</x:v>
      </x:c>
      <x:c r="I99" s="12" t="n">
        <x:v>49</x:v>
      </x:c>
      <x:c r="J99" s="12" t="n">
        <x:v>423</x:v>
      </x:c>
      <x:c r="K99" s="34" t="n">
        <x:f>IFERROR(H99/E99,0)</x:f>
        <x:v>0.13135593220338984</x:v>
      </x:c>
      <x:c r="L99" s="34" t="n">
        <x:f>IFERROR(I99/H99,0)</x:f>
        <x:v>0.7903225806451613</x:v>
      </x:c>
      <x:c r="M99" s="34" t="n">
        <x:f>IFERROR(I99/E99,0)</x:f>
        <x:v>0.1038135593220339</x:v>
      </x:c>
    </x:row>
    <x:row r="100">
      <x:c r="A100" s="14" t="n">
        <x:v>46143</x:v>
      </x:c>
      <x:c r="B100" s="12" t="str">
        <x:v>DLR-019</x:v>
      </x:c>
      <x:c r="C100" s="12" t="str">
        <x:v>OMODA &amp; JAECOO HTA Việt Trì</x:v>
      </x:c>
      <x:c r="D100" s="12" t="str">
        <x:v>OMODA &amp; JAECOO</x:v>
      </x:c>
      <x:c r="E100" s="12" t="n">
        <x:v>351</x:v>
      </x:c>
      <x:c r="F100" s="12" t="n">
        <x:v>242</x:v>
      </x:c>
      <x:c r="G100" s="12" t="n">
        <x:v>82</x:v>
      </x:c>
      <x:c r="H100" s="12" t="n">
        <x:v>30</x:v>
      </x:c>
      <x:c r="I100" s="12" t="n">
        <x:v>26</x:v>
      </x:c>
      <x:c r="J100" s="12" t="n">
        <x:v>325</x:v>
      </x:c>
      <x:c r="K100" s="34" t="n">
        <x:f>IFERROR(H100/E100,0)</x:f>
        <x:v>0.08547008547008547</x:v>
      </x:c>
      <x:c r="L100" s="34" t="n">
        <x:f>IFERROR(I100/H100,0)</x:f>
        <x:v>0.8666666666666667</x:v>
      </x:c>
      <x:c r="M100" s="34" t="n">
        <x:f>IFERROR(I100/E100,0)</x:f>
        <x:v>0.07407407407407407</x:v>
      </x:c>
    </x:row>
    <x:row r="101">
      <x:c r="A101" s="14" t="n">
        <x:v>46143</x:v>
      </x:c>
      <x:c r="B101" s="12" t="str">
        <x:v>DLR-020</x:v>
      </x:c>
      <x:c r="C101" s="12" t="str">
        <x:v>Wuling HTA Long Biên</x:v>
      </x:c>
      <x:c r="D101" s="12" t="str">
        <x:v>Wuling</x:v>
      </x:c>
      <x:c r="E101" s="12" t="n">
        <x:v>303</x:v>
      </x:c>
      <x:c r="F101" s="12" t="n">
        <x:v>172</x:v>
      </x:c>
      <x:c r="G101" s="12" t="n">
        <x:v>78</x:v>
      </x:c>
      <x:c r="H101" s="12" t="n">
        <x:v>30</x:v>
      </x:c>
      <x:c r="I101" s="12" t="n">
        <x:v>28</x:v>
      </x:c>
      <x:c r="J101" s="12" t="n">
        <x:v>275</x:v>
      </x:c>
      <x:c r="K101" s="34" t="n">
        <x:f>IFERROR(H101/E101,0)</x:f>
        <x:v>0.09900990099009901</x:v>
      </x:c>
      <x:c r="L101" s="34" t="n">
        <x:f>IFERROR(I101/H101,0)</x:f>
        <x:v>0.9333333333333333</x:v>
      </x:c>
      <x:c r="M101" s="34" t="n">
        <x:f>IFERROR(I101/E101,0)</x:f>
        <x:v>0.0924092409240924</x:v>
      </x:c>
    </x:row>
    <x:row r="102">
      <x:c r="A102" s="14" t="n">
        <x:v>46174</x:v>
      </x:c>
      <x:c r="B102" s="12" t="str">
        <x:v>DLR-001</x:v>
      </x:c>
      <x:c r="C102" s="12" t="str">
        <x:v>Hà Thành Ford</x:v>
      </x:c>
      <x:c r="D102" s="12" t="str">
        <x:v>Ford</x:v>
      </x:c>
      <x:c r="E102" s="12" t="n">
        <x:v>420</x:v>
      </x:c>
      <x:c r="F102" s="12" t="n">
        <x:v>262</x:v>
      </x:c>
      <x:c r="G102" s="12" t="n">
        <x:v>97</x:v>
      </x:c>
      <x:c r="H102" s="12" t="n">
        <x:v>30</x:v>
      </x:c>
      <x:c r="I102" s="12" t="n">
        <x:v>27</x:v>
      </x:c>
      <x:c r="J102" s="12" t="n">
        <x:v>393</x:v>
      </x:c>
      <x:c r="K102" s="34" t="n">
        <x:f>IFERROR(H102/E102,0)</x:f>
        <x:v>0.07142857142857142</x:v>
      </x:c>
      <x:c r="L102" s="34" t="n">
        <x:f>IFERROR(I102/H102,0)</x:f>
        <x:v>0.9</x:v>
      </x:c>
      <x:c r="M102" s="34" t="n">
        <x:f>IFERROR(I102/E102,0)</x:f>
        <x:v>0.06428571428571428</x:v>
      </x:c>
    </x:row>
    <x:row r="103">
      <x:c r="A103" s="14" t="n">
        <x:v>46174</x:v>
      </x:c>
      <x:c r="B103" s="12" t="str">
        <x:v>DLR-002</x:v>
      </x:c>
      <x:c r="C103" s="12" t="str">
        <x:v>Hà Thành Ford - Mỹ Đình</x:v>
      </x:c>
      <x:c r="D103" s="12" t="str">
        <x:v>Ford</x:v>
      </x:c>
      <x:c r="E103" s="12" t="n">
        <x:v>342</x:v>
      </x:c>
      <x:c r="F103" s="12" t="n">
        <x:v>223</x:v>
      </x:c>
      <x:c r="G103" s="12" t="n">
        <x:v>90</x:v>
      </x:c>
      <x:c r="H103" s="12" t="n">
        <x:v>25</x:v>
      </x:c>
      <x:c r="I103" s="12" t="n">
        <x:v>21</x:v>
      </x:c>
      <x:c r="J103" s="12" t="n">
        <x:v>321</x:v>
      </x:c>
      <x:c r="K103" s="34" t="n">
        <x:f>IFERROR(H103/E103,0)</x:f>
        <x:v>0.07309941520467836</x:v>
      </x:c>
      <x:c r="L103" s="34" t="n">
        <x:f>IFERROR(I103/H103,0)</x:f>
        <x:v>0.84</x:v>
      </x:c>
      <x:c r="M103" s="34" t="n">
        <x:f>IFERROR(I103/E103,0)</x:f>
        <x:v>0.06140350877192982</x:v>
      </x:c>
    </x:row>
    <x:row r="104">
      <x:c r="A104" s="14" t="n">
        <x:v>46174</x:v>
      </x:c>
      <x:c r="B104" s="12" t="str">
        <x:v>DLR-003</x:v>
      </x:c>
      <x:c r="C104" s="12" t="str">
        <x:v>Mỹ Đình Ford</x:v>
      </x:c>
      <x:c r="D104" s="12" t="str">
        <x:v>Ford</x:v>
      </x:c>
      <x:c r="E104" s="12" t="n">
        <x:v>363</x:v>
      </x:c>
      <x:c r="F104" s="12" t="n">
        <x:v>234</x:v>
      </x:c>
      <x:c r="G104" s="12" t="n">
        <x:v>120</x:v>
      </x:c>
      <x:c r="H104" s="12" t="n">
        <x:v>53</x:v>
      </x:c>
      <x:c r="I104" s="12" t="n">
        <x:v>43</x:v>
      </x:c>
      <x:c r="J104" s="12" t="n">
        <x:v>320</x:v>
      </x:c>
      <x:c r="K104" s="34" t="n">
        <x:f>IFERROR(H104/E104,0)</x:f>
        <x:v>0.14600550964187328</x:v>
      </x:c>
      <x:c r="L104" s="34" t="n">
        <x:f>IFERROR(I104/H104,0)</x:f>
        <x:v>0.8113207547169812</x:v>
      </x:c>
      <x:c r="M104" s="34" t="n">
        <x:f>IFERROR(I104/E104,0)</x:f>
        <x:v>0.1184573002754821</x:v>
      </x:c>
    </x:row>
    <x:row r="105">
      <x:c r="A105" s="14" t="n">
        <x:v>46174</x:v>
      </x:c>
      <x:c r="B105" s="12" t="str">
        <x:v>DLR-004</x:v>
      </x:c>
      <x:c r="C105" s="12" t="str">
        <x:v>Việt Trì Ford</x:v>
      </x:c>
      <x:c r="D105" s="12" t="str">
        <x:v>Ford</x:v>
      </x:c>
      <x:c r="E105" s="12" t="n">
        <x:v>123</x:v>
      </x:c>
      <x:c r="F105" s="12" t="n">
        <x:v>68</x:v>
      </x:c>
      <x:c r="G105" s="12" t="n">
        <x:v>35</x:v>
      </x:c>
      <x:c r="H105" s="12" t="n">
        <x:v>13</x:v>
      </x:c>
      <x:c r="I105" s="12" t="n">
        <x:v>12</x:v>
      </x:c>
      <x:c r="J105" s="12" t="n">
        <x:v>111</x:v>
      </x:c>
      <x:c r="K105" s="34" t="n">
        <x:f>IFERROR(H105/E105,0)</x:f>
        <x:v>0.10569105691056911</x:v>
      </x:c>
      <x:c r="L105" s="34" t="n">
        <x:f>IFERROR(I105/H105,0)</x:f>
        <x:v>0.9230769230769231</x:v>
      </x:c>
      <x:c r="M105" s="34" t="n">
        <x:f>IFERROR(I105/E105,0)</x:f>
        <x:v>0.0975609756097561</x:v>
      </x:c>
    </x:row>
    <x:row r="106">
      <x:c r="A106" s="14" t="n">
        <x:v>46174</x:v>
      </x:c>
      <x:c r="B106" s="12" t="str">
        <x:v>DLR-005</x:v>
      </x:c>
      <x:c r="C106" s="12" t="str">
        <x:v>BYD HTA Tây Hồ</x:v>
      </x:c>
      <x:c r="D106" s="12" t="str">
        <x:v>BYD</x:v>
      </x:c>
      <x:c r="E106" s="12" t="n">
        <x:v>484</x:v>
      </x:c>
      <x:c r="F106" s="12" t="n">
        <x:v>337</x:v>
      </x:c>
      <x:c r="G106" s="12" t="n">
        <x:v>116</x:v>
      </x:c>
      <x:c r="H106" s="12" t="n">
        <x:v>54</x:v>
      </x:c>
      <x:c r="I106" s="12" t="n">
        <x:v>43</x:v>
      </x:c>
      <x:c r="J106" s="12" t="n">
        <x:v>441</x:v>
      </x:c>
      <x:c r="K106" s="34" t="n">
        <x:f>IFERROR(H106/E106,0)</x:f>
        <x:v>0.1115702479338843</x:v>
      </x:c>
      <x:c r="L106" s="34" t="n">
        <x:f>IFERROR(I106/H106,0)</x:f>
        <x:v>0.7962962962962963</x:v>
      </x:c>
      <x:c r="M106" s="34" t="n">
        <x:f>IFERROR(I106/E106,0)</x:f>
        <x:v>0.08884297520661157</x:v>
      </x:c>
    </x:row>
    <x:row r="107">
      <x:c r="A107" s="14" t="n">
        <x:v>46174</x:v>
      </x:c>
      <x:c r="B107" s="12" t="str">
        <x:v>DLR-006</x:v>
      </x:c>
      <x:c r="C107" s="12" t="str">
        <x:v>BYD HTA Hoàn Kiếm</x:v>
      </x:c>
      <x:c r="D107" s="12" t="str">
        <x:v>BYD</x:v>
      </x:c>
      <x:c r="E107" s="12" t="n">
        <x:v>453</x:v>
      </x:c>
      <x:c r="F107" s="12" t="n">
        <x:v>280</x:v>
      </x:c>
      <x:c r="G107" s="12" t="n">
        <x:v>129</x:v>
      </x:c>
      <x:c r="H107" s="12" t="n">
        <x:v>61</x:v>
      </x:c>
      <x:c r="I107" s="12" t="n">
        <x:v>48</x:v>
      </x:c>
      <x:c r="J107" s="12" t="n">
        <x:v>405</x:v>
      </x:c>
      <x:c r="K107" s="34" t="n">
        <x:f>IFERROR(H107/E107,0)</x:f>
        <x:v>0.1346578366445916</x:v>
      </x:c>
      <x:c r="L107" s="34" t="n">
        <x:f>IFERROR(I107/H107,0)</x:f>
        <x:v>0.7868852459016393</x:v>
      </x:c>
      <x:c r="M107" s="34" t="n">
        <x:f>IFERROR(I107/E107,0)</x:f>
        <x:v>0.10596026490066225</x:v>
      </x:c>
    </x:row>
    <x:row r="108">
      <x:c r="A108" s="14" t="n">
        <x:v>46174</x:v>
      </x:c>
      <x:c r="B108" s="12" t="str">
        <x:v>DLR-007</x:v>
      </x:c>
      <x:c r="C108" s="12" t="str">
        <x:v>BYD Hà Đông</x:v>
      </x:c>
      <x:c r="D108" s="12" t="str">
        <x:v>BYD</x:v>
      </x:c>
      <x:c r="E108" s="12" t="n">
        <x:v>366</x:v>
      </x:c>
      <x:c r="F108" s="12" t="n">
        <x:v>261</x:v>
      </x:c>
      <x:c r="G108" s="12" t="n">
        <x:v>125</x:v>
      </x:c>
      <x:c r="H108" s="12" t="n">
        <x:v>58</x:v>
      </x:c>
      <x:c r="I108" s="12" t="n">
        <x:v>52</x:v>
      </x:c>
      <x:c r="J108" s="12" t="n">
        <x:v>314</x:v>
      </x:c>
      <x:c r="K108" s="34" t="n">
        <x:f>IFERROR(H108/E108,0)</x:f>
        <x:v>0.15846994535519127</x:v>
      </x:c>
      <x:c r="L108" s="34" t="n">
        <x:f>IFERROR(I108/H108,0)</x:f>
        <x:v>0.896551724137931</x:v>
      </x:c>
      <x:c r="M108" s="34" t="n">
        <x:f>IFERROR(I108/E108,0)</x:f>
        <x:v>0.14207650273224043</x:v>
      </x:c>
    </x:row>
    <x:row r="109">
      <x:c r="A109" s="14" t="n">
        <x:v>46174</x:v>
      </x:c>
      <x:c r="B109" s="12" t="str">
        <x:v>DLR-008</x:v>
      </x:c>
      <x:c r="C109" s="12" t="str">
        <x:v>VinFast HTA Nguyễn Văn Linh</x:v>
      </x:c>
      <x:c r="D109" s="12" t="str">
        <x:v>VinFast</x:v>
      </x:c>
      <x:c r="E109" s="12" t="n">
        <x:v>435</x:v>
      </x:c>
      <x:c r="F109" s="12" t="n">
        <x:v>278</x:v>
      </x:c>
      <x:c r="G109" s="12" t="n">
        <x:v>94</x:v>
      </x:c>
      <x:c r="H109" s="12" t="n">
        <x:v>29</x:v>
      </x:c>
      <x:c r="I109" s="12" t="n">
        <x:v>27</x:v>
      </x:c>
      <x:c r="J109" s="12" t="n">
        <x:v>408</x:v>
      </x:c>
      <x:c r="K109" s="34" t="n">
        <x:f>IFERROR(H109/E109,0)</x:f>
        <x:v>0.06666666666666667</x:v>
      </x:c>
      <x:c r="L109" s="34" t="n">
        <x:f>IFERROR(I109/H109,0)</x:f>
        <x:v>0.9310344827586207</x:v>
      </x:c>
      <x:c r="M109" s="34" t="n">
        <x:f>IFERROR(I109/E109,0)</x:f>
        <x:v>0.06206896551724138</x:v>
      </x:c>
    </x:row>
    <x:row r="110">
      <x:c r="A110" s="14" t="n">
        <x:v>46174</x:v>
      </x:c>
      <x:c r="B110" s="12" t="str">
        <x:v>DLR-009</x:v>
      </x:c>
      <x:c r="C110" s="12" t="str">
        <x:v>VinFast HTA Đông Anh</x:v>
      </x:c>
      <x:c r="D110" s="12" t="str">
        <x:v>VinFast</x:v>
      </x:c>
      <x:c r="E110" s="12" t="n">
        <x:v>188</x:v>
      </x:c>
      <x:c r="F110" s="12" t="n">
        <x:v>126</x:v>
      </x:c>
      <x:c r="G110" s="12" t="n">
        <x:v>70</x:v>
      </x:c>
      <x:c r="H110" s="12" t="n">
        <x:v>21</x:v>
      </x:c>
      <x:c r="I110" s="12" t="n">
        <x:v>19</x:v>
      </x:c>
      <x:c r="J110" s="12" t="n">
        <x:v>169</x:v>
      </x:c>
      <x:c r="K110" s="34" t="n">
        <x:f>IFERROR(H110/E110,0)</x:f>
        <x:v>0.11170212765957446</x:v>
      </x:c>
      <x:c r="L110" s="34" t="n">
        <x:f>IFERROR(I110/H110,0)</x:f>
        <x:v>0.9047619047619048</x:v>
      </x:c>
      <x:c r="M110" s="34" t="n">
        <x:f>IFERROR(I110/E110,0)</x:f>
        <x:v>0.10106382978723404</x:v>
      </x:c>
    </x:row>
    <x:row r="111">
      <x:c r="A111" s="14" t="n">
        <x:v>46174</x:v>
      </x:c>
      <x:c r="B111" s="12" t="str">
        <x:v>DLR-010</x:v>
      </x:c>
      <x:c r="C111" s="12" t="str">
        <x:v>VinFast HTA Đàm Quang Trung</x:v>
      </x:c>
      <x:c r="D111" s="12" t="str">
        <x:v>VinFast</x:v>
      </x:c>
      <x:c r="E111" s="12" t="n">
        <x:v>244</x:v>
      </x:c>
      <x:c r="F111" s="12" t="n">
        <x:v>138</x:v>
      </x:c>
      <x:c r="G111" s="12" t="n">
        <x:v>61</x:v>
      </x:c>
      <x:c r="H111" s="12" t="n">
        <x:v>26</x:v>
      </x:c>
      <x:c r="I111" s="12" t="n">
        <x:v>22</x:v>
      </x:c>
      <x:c r="J111" s="12" t="n">
        <x:v>222</x:v>
      </x:c>
      <x:c r="K111" s="34" t="n">
        <x:f>IFERROR(H111/E111,0)</x:f>
        <x:v>0.10655737704918032</x:v>
      </x:c>
      <x:c r="L111" s="34" t="n">
        <x:f>IFERROR(I111/H111,0)</x:f>
        <x:v>0.8461538461538461</x:v>
      </x:c>
      <x:c r="M111" s="34" t="n">
        <x:f>IFERROR(I111/E111,0)</x:f>
        <x:v>0.09016393442622951</x:v>
      </x:c>
    </x:row>
    <x:row r="112">
      <x:c r="A112" s="14" t="n">
        <x:v>46174</x:v>
      </x:c>
      <x:c r="B112" s="12" t="str">
        <x:v>DLR-011</x:v>
      </x:c>
      <x:c r="C112" s="12" t="str">
        <x:v>VinFast HTA Phạm Văn Đồng</x:v>
      </x:c>
      <x:c r="D112" s="12" t="str">
        <x:v>VinFast</x:v>
      </x:c>
      <x:c r="E112" s="12" t="n">
        <x:v>360</x:v>
      </x:c>
      <x:c r="F112" s="12" t="n">
        <x:v>207</x:v>
      </x:c>
      <x:c r="G112" s="12" t="n">
        <x:v>83</x:v>
      </x:c>
      <x:c r="H112" s="12" t="n">
        <x:v>31</x:v>
      </x:c>
      <x:c r="I112" s="12" t="n">
        <x:v>29</x:v>
      </x:c>
      <x:c r="J112" s="12" t="n">
        <x:v>331</x:v>
      </x:c>
      <x:c r="K112" s="34" t="n">
        <x:f>IFERROR(H112/E112,0)</x:f>
        <x:v>0.08611111111111111</x:v>
      </x:c>
      <x:c r="L112" s="34" t="n">
        <x:f>IFERROR(I112/H112,0)</x:f>
        <x:v>0.9354838709677419</x:v>
      </x:c>
      <x:c r="M112" s="34" t="n">
        <x:f>IFERROR(I112/E112,0)</x:f>
        <x:v>0.08055555555555556</x:v>
      </x:c>
    </x:row>
    <x:row r="113">
      <x:c r="A113" s="14" t="n">
        <x:v>46174</x:v>
      </x:c>
      <x:c r="B113" s="12" t="str">
        <x:v>DLR-012</x:v>
      </x:c>
      <x:c r="C113" s="12" t="str">
        <x:v>VinFast HTA Võ Chí Công</x:v>
      </x:c>
      <x:c r="D113" s="12" t="str">
        <x:v>VinFast</x:v>
      </x:c>
      <x:c r="E113" s="12" t="n">
        <x:v>309</x:v>
      </x:c>
      <x:c r="F113" s="12" t="n">
        <x:v>220</x:v>
      </x:c>
      <x:c r="G113" s="12" t="n">
        <x:v>79</x:v>
      </x:c>
      <x:c r="H113" s="12" t="n">
        <x:v>31</x:v>
      </x:c>
      <x:c r="I113" s="12" t="n">
        <x:v>27</x:v>
      </x:c>
      <x:c r="J113" s="12" t="n">
        <x:v>282</x:v>
      </x:c>
      <x:c r="K113" s="34" t="n">
        <x:f>IFERROR(H113/E113,0)</x:f>
        <x:v>0.10032362459546926</x:v>
      </x:c>
      <x:c r="L113" s="34" t="n">
        <x:f>IFERROR(I113/H113,0)</x:f>
        <x:v>0.8709677419354839</x:v>
      </x:c>
      <x:c r="M113" s="34" t="n">
        <x:f>IFERROR(I113/E113,0)</x:f>
        <x:v>0.08737864077669903</x:v>
      </x:c>
    </x:row>
    <x:row r="114">
      <x:c r="A114" s="14" t="n">
        <x:v>46174</x:v>
      </x:c>
      <x:c r="B114" s="12" t="str">
        <x:v>DLR-013</x:v>
      </x:c>
      <x:c r="C114" s="12" t="str">
        <x:v>VinFast HTA Ninh Bình</x:v>
      </x:c>
      <x:c r="D114" s="12" t="str">
        <x:v>VinFast</x:v>
      </x:c>
      <x:c r="E114" s="12" t="n">
        <x:v>334</x:v>
      </x:c>
      <x:c r="F114" s="12" t="n">
        <x:v>241</x:v>
      </x:c>
      <x:c r="G114" s="12" t="n">
        <x:v>125</x:v>
      </x:c>
      <x:c r="H114" s="12" t="n">
        <x:v>37</x:v>
      </x:c>
      <x:c r="I114" s="12" t="n">
        <x:v>32</x:v>
      </x:c>
      <x:c r="J114" s="12" t="n">
        <x:v>302</x:v>
      </x:c>
      <x:c r="K114" s="34" t="n">
        <x:f>IFERROR(H114/E114,0)</x:f>
        <x:v>0.11077844311377245</x:v>
      </x:c>
      <x:c r="L114" s="34" t="n">
        <x:f>IFERROR(I114/H114,0)</x:f>
        <x:v>0.8648648648648649</x:v>
      </x:c>
      <x:c r="M114" s="34" t="n">
        <x:f>IFERROR(I114/E114,0)</x:f>
        <x:v>0.09580838323353294</x:v>
      </x:c>
    </x:row>
    <x:row r="115">
      <x:c r="A115" s="14" t="n">
        <x:v>46174</x:v>
      </x:c>
      <x:c r="B115" s="12" t="str">
        <x:v>DLR-014</x:v>
      </x:c>
      <x:c r="C115" s="12" t="str">
        <x:v>VinFast HTA Nam Từ Liêm</x:v>
      </x:c>
      <x:c r="D115" s="12" t="str">
        <x:v>VinFast</x:v>
      </x:c>
      <x:c r="E115" s="12" t="n">
        <x:v>488</x:v>
      </x:c>
      <x:c r="F115" s="12" t="n">
        <x:v>281</x:v>
      </x:c>
      <x:c r="G115" s="12" t="n">
        <x:v>124</x:v>
      </x:c>
      <x:c r="H115" s="12" t="n">
        <x:v>45</x:v>
      </x:c>
      <x:c r="I115" s="12" t="n">
        <x:v>36</x:v>
      </x:c>
      <x:c r="J115" s="12" t="n">
        <x:v>452</x:v>
      </x:c>
      <x:c r="K115" s="34" t="n">
        <x:f>IFERROR(H115/E115,0)</x:f>
        <x:v>0.09221311475409837</x:v>
      </x:c>
      <x:c r="L115" s="34" t="n">
        <x:f>IFERROR(I115/H115,0)</x:f>
        <x:v>0.8</x:v>
      </x:c>
      <x:c r="M115" s="34" t="n">
        <x:f>IFERROR(I115/E115,0)</x:f>
        <x:v>0.07377049180327869</x:v>
      </x:c>
    </x:row>
    <x:row r="116">
      <x:c r="A116" s="14" t="n">
        <x:v>46174</x:v>
      </x:c>
      <x:c r="B116" s="12" t="str">
        <x:v>DLR-015</x:v>
      </x:c>
      <x:c r="C116" s="12" t="str">
        <x:v>VinFast HTA Văn Phú</x:v>
      </x:c>
      <x:c r="D116" s="12" t="str">
        <x:v>VinFast</x:v>
      </x:c>
      <x:c r="E116" s="12" t="n">
        <x:v>403</x:v>
      </x:c>
      <x:c r="F116" s="12" t="n">
        <x:v>303</x:v>
      </x:c>
      <x:c r="G116" s="12" t="n">
        <x:v>103</x:v>
      </x:c>
      <x:c r="H116" s="12" t="n">
        <x:v>40</x:v>
      </x:c>
      <x:c r="I116" s="12" t="n">
        <x:v>32</x:v>
      </x:c>
      <x:c r="J116" s="12" t="n">
        <x:v>371</x:v>
      </x:c>
      <x:c r="K116" s="34" t="n">
        <x:f>IFERROR(H116/E116,0)</x:f>
        <x:v>0.09925558312655088</x:v>
      </x:c>
      <x:c r="L116" s="34" t="n">
        <x:f>IFERROR(I116/H116,0)</x:f>
        <x:v>0.8</x:v>
      </x:c>
      <x:c r="M116" s="34" t="n">
        <x:f>IFERROR(I116/E116,0)</x:f>
        <x:v>0.0794044665012407</x:v>
      </x:c>
    </x:row>
    <x:row r="117">
      <x:c r="A117" s="14" t="n">
        <x:v>46174</x:v>
      </x:c>
      <x:c r="B117" s="12" t="str">
        <x:v>DLR-016</x:v>
      </x:c>
      <x:c r="C117" s="12" t="str">
        <x:v>VinFast HTA Mỹ Đình</x:v>
      </x:c>
      <x:c r="D117" s="12" t="str">
        <x:v>VinFast</x:v>
      </x:c>
      <x:c r="E117" s="12" t="n">
        <x:v>161</x:v>
      </x:c>
      <x:c r="F117" s="12" t="n">
        <x:v>104</x:v>
      </x:c>
      <x:c r="G117" s="12" t="n">
        <x:v>35</x:v>
      </x:c>
      <x:c r="H117" s="12" t="n">
        <x:v>11</x:v>
      </x:c>
      <x:c r="I117" s="12" t="n">
        <x:v>9</x:v>
      </x:c>
      <x:c r="J117" s="12" t="n">
        <x:v>152</x:v>
      </x:c>
      <x:c r="K117" s="34" t="n">
        <x:f>IFERROR(H117/E117,0)</x:f>
        <x:v>0.06832298136645963</x:v>
      </x:c>
      <x:c r="L117" s="34" t="n">
        <x:f>IFERROR(I117/H117,0)</x:f>
        <x:v>0.8181818181818182</x:v>
      </x:c>
      <x:c r="M117" s="34" t="n">
        <x:f>IFERROR(I117/E117,0)</x:f>
        <x:v>0.055900621118012424</x:v>
      </x:c>
    </x:row>
    <x:row r="118">
      <x:c r="A118" s="14" t="n">
        <x:v>46174</x:v>
      </x:c>
      <x:c r="B118" s="12" t="str">
        <x:v>DLR-017</x:v>
      </x:c>
      <x:c r="C118" s="12" t="str">
        <x:v>VinFast Quốc Oai</x:v>
      </x:c>
      <x:c r="D118" s="12" t="str">
        <x:v>VinFast</x:v>
      </x:c>
      <x:c r="E118" s="12" t="n">
        <x:v>333</x:v>
      </x:c>
      <x:c r="F118" s="12" t="n">
        <x:v>205</x:v>
      </x:c>
      <x:c r="G118" s="12" t="n">
        <x:v>103</x:v>
      </x:c>
      <x:c r="H118" s="12" t="n">
        <x:v>27</x:v>
      </x:c>
      <x:c r="I118" s="12" t="n">
        <x:v>24</x:v>
      </x:c>
      <x:c r="J118" s="12" t="n">
        <x:v>309</x:v>
      </x:c>
      <x:c r="K118" s="34" t="n">
        <x:f>IFERROR(H118/E118,0)</x:f>
        <x:v>0.08108108108108109</x:v>
      </x:c>
      <x:c r="L118" s="34" t="n">
        <x:f>IFERROR(I118/H118,0)</x:f>
        <x:v>0.8888888888888888</x:v>
      </x:c>
      <x:c r="M118" s="34" t="n">
        <x:f>IFERROR(I118/E118,0)</x:f>
        <x:v>0.07207207207207207</x:v>
      </x:c>
    </x:row>
    <x:row r="119">
      <x:c r="A119" s="14" t="n">
        <x:v>46174</x:v>
      </x:c>
      <x:c r="B119" s="12" t="str">
        <x:v>DLR-018</x:v>
      </x:c>
      <x:c r="C119" s="12" t="str">
        <x:v>OMODA &amp; JAECOO HTA Nam Từ Liêm</x:v>
      </x:c>
      <x:c r="D119" s="12" t="str">
        <x:v>OMODA &amp; JAECOO</x:v>
      </x:c>
      <x:c r="E119" s="12" t="n">
        <x:v>394</x:v>
      </x:c>
      <x:c r="F119" s="12" t="n">
        <x:v>222</x:v>
      </x:c>
      <x:c r="G119" s="12" t="n">
        <x:v>124</x:v>
      </x:c>
      <x:c r="H119" s="12" t="n">
        <x:v>44</x:v>
      </x:c>
      <x:c r="I119" s="12" t="n">
        <x:v>38</x:v>
      </x:c>
      <x:c r="J119" s="12" t="n">
        <x:v>356</x:v>
      </x:c>
      <x:c r="K119" s="34" t="n">
        <x:f>IFERROR(H119/E119,0)</x:f>
        <x:v>0.1116751269035533</x:v>
      </x:c>
      <x:c r="L119" s="34" t="n">
        <x:f>IFERROR(I119/H119,0)</x:f>
        <x:v>0.8636363636363636</x:v>
      </x:c>
      <x:c r="M119" s="34" t="n">
        <x:f>IFERROR(I119/E119,0)</x:f>
        <x:v>0.09644670050761421</x:v>
      </x:c>
    </x:row>
    <x:row r="120">
      <x:c r="A120" s="14" t="n">
        <x:v>46174</x:v>
      </x:c>
      <x:c r="B120" s="12" t="str">
        <x:v>DLR-019</x:v>
      </x:c>
      <x:c r="C120" s="12" t="str">
        <x:v>OMODA &amp; JAECOO HTA Việt Trì</x:v>
      </x:c>
      <x:c r="D120" s="12" t="str">
        <x:v>OMODA &amp; JAECOO</x:v>
      </x:c>
      <x:c r="E120" s="12" t="n">
        <x:v>516</x:v>
      </x:c>
      <x:c r="F120" s="12" t="n">
        <x:v>347</x:v>
      </x:c>
      <x:c r="G120" s="12" t="n">
        <x:v>132</x:v>
      </x:c>
      <x:c r="H120" s="12" t="n">
        <x:v>49</x:v>
      </x:c>
      <x:c r="I120" s="12" t="n">
        <x:v>46</x:v>
      </x:c>
      <x:c r="J120" s="12" t="n">
        <x:v>470</x:v>
      </x:c>
      <x:c r="K120" s="34" t="n">
        <x:f>IFERROR(H120/E120,0)</x:f>
        <x:v>0.09496124031007752</x:v>
      </x:c>
      <x:c r="L120" s="34" t="n">
        <x:f>IFERROR(I120/H120,0)</x:f>
        <x:v>0.9387755102040817</x:v>
      </x:c>
      <x:c r="M120" s="34" t="n">
        <x:f>IFERROR(I120/E120,0)</x:f>
        <x:v>0.08914728682170543</x:v>
      </x:c>
    </x:row>
    <x:row r="121">
      <x:c r="A121" s="14" t="n">
        <x:v>46174</x:v>
      </x:c>
      <x:c r="B121" s="12" t="str">
        <x:v>DLR-020</x:v>
      </x:c>
      <x:c r="C121" s="12" t="str">
        <x:v>Wuling HTA Long Biên</x:v>
      </x:c>
      <x:c r="D121" s="12" t="str">
        <x:v>Wuling</x:v>
      </x:c>
      <x:c r="E121" s="12" t="n">
        <x:v>310</x:v>
      </x:c>
      <x:c r="F121" s="12" t="n">
        <x:v>195</x:v>
      </x:c>
      <x:c r="G121" s="12" t="n">
        <x:v>81</x:v>
      </x:c>
      <x:c r="H121" s="12" t="n">
        <x:v>36</x:v>
      </x:c>
      <x:c r="I121" s="12" t="n">
        <x:v>29</x:v>
      </x:c>
      <x:c r="J121" s="12" t="n">
        <x:v>281</x:v>
      </x:c>
      <x:c r="K121" s="34" t="n">
        <x:f>IFERROR(H121/E121,0)</x:f>
        <x:v>0.11612903225806452</x:v>
      </x:c>
      <x:c r="L121" s="34" t="n">
        <x:f>IFERROR(I121/H121,0)</x:f>
        <x:v>0.8055555555555556</x:v>
      </x:c>
      <x:c r="M121" s="34" t="n">
        <x:f>IFERROR(I121/E121,0)</x:f>
        <x:v>0.0935483870967742</x:v>
      </x:c>
    </x:row>
    <x:row r="122">
      <x:c r="A122" s="14" t="n">
        <x:v>46204</x:v>
      </x:c>
      <x:c r="B122" s="12" t="str">
        <x:v>DLR-001</x:v>
      </x:c>
      <x:c r="C122" s="12" t="str">
        <x:v>Hà Thành Ford</x:v>
      </x:c>
      <x:c r="D122" s="12" t="str">
        <x:v>Ford</x:v>
      </x:c>
      <x:c r="E122" s="12" t="n">
        <x:v>458</x:v>
      </x:c>
      <x:c r="F122" s="12" t="n">
        <x:v>296</x:v>
      </x:c>
      <x:c r="G122" s="12" t="n">
        <x:v>117</x:v>
      </x:c>
      <x:c r="H122" s="12" t="n">
        <x:v>38</x:v>
      </x:c>
      <x:c r="I122" s="12" t="n">
        <x:v>30</x:v>
      </x:c>
      <x:c r="J122" s="12" t="n">
        <x:v>428</x:v>
      </x:c>
      <x:c r="K122" s="34" t="n">
        <x:f>IFERROR(H122/E122,0)</x:f>
        <x:v>0.08296943231441048</x:v>
      </x:c>
      <x:c r="L122" s="34" t="n">
        <x:f>IFERROR(I122/H122,0)</x:f>
        <x:v>0.7894736842105263</x:v>
      </x:c>
      <x:c r="M122" s="34" t="n">
        <x:f>IFERROR(I122/E122,0)</x:f>
        <x:v>0.06550218340611354</x:v>
      </x:c>
    </x:row>
    <x:row r="123">
      <x:c r="A123" s="14" t="n">
        <x:v>46204</x:v>
      </x:c>
      <x:c r="B123" s="12" t="str">
        <x:v>DLR-002</x:v>
      </x:c>
      <x:c r="C123" s="12" t="str">
        <x:v>Hà Thành Ford - Mỹ Đình</x:v>
      </x:c>
      <x:c r="D123" s="12" t="str">
        <x:v>Ford</x:v>
      </x:c>
      <x:c r="E123" s="12" t="n">
        <x:v>312</x:v>
      </x:c>
      <x:c r="F123" s="12" t="n">
        <x:v>221</x:v>
      </x:c>
      <x:c r="G123" s="12" t="n">
        <x:v>112</x:v>
      </x:c>
      <x:c r="H123" s="12" t="n">
        <x:v>50</x:v>
      </x:c>
      <x:c r="I123" s="12" t="n">
        <x:v>40</x:v>
      </x:c>
      <x:c r="J123" s="12" t="n">
        <x:v>272</x:v>
      </x:c>
      <x:c r="K123" s="34" t="n">
        <x:f>IFERROR(H123/E123,0)</x:f>
        <x:v>0.16025641025641027</x:v>
      </x:c>
      <x:c r="L123" s="34" t="n">
        <x:f>IFERROR(I123/H123,0)</x:f>
        <x:v>0.8</x:v>
      </x:c>
      <x:c r="M123" s="34" t="n">
        <x:f>IFERROR(I123/E123,0)</x:f>
        <x:v>0.1282051282051282</x:v>
      </x:c>
    </x:row>
    <x:row r="124">
      <x:c r="A124" s="14" t="n">
        <x:v>46204</x:v>
      </x:c>
      <x:c r="B124" s="12" t="str">
        <x:v>DLR-003</x:v>
      </x:c>
      <x:c r="C124" s="12" t="str">
        <x:v>Mỹ Đình Ford</x:v>
      </x:c>
      <x:c r="D124" s="12" t="str">
        <x:v>Ford</x:v>
      </x:c>
      <x:c r="E124" s="12" t="n">
        <x:v>357</x:v>
      </x:c>
      <x:c r="F124" s="12" t="n">
        <x:v>227</x:v>
      </x:c>
      <x:c r="G124" s="12" t="n">
        <x:v>92</x:v>
      </x:c>
      <x:c r="H124" s="12" t="n">
        <x:v>39</x:v>
      </x:c>
      <x:c r="I124" s="12" t="n">
        <x:v>32</x:v>
      </x:c>
      <x:c r="J124" s="12" t="n">
        <x:v>325</x:v>
      </x:c>
      <x:c r="K124" s="34" t="n">
        <x:f>IFERROR(H124/E124,0)</x:f>
        <x:v>0.1092436974789916</x:v>
      </x:c>
      <x:c r="L124" s="34" t="n">
        <x:f>IFERROR(I124/H124,0)</x:f>
        <x:v>0.8205128205128205</x:v>
      </x:c>
      <x:c r="M124" s="34" t="n">
        <x:f>IFERROR(I124/E124,0)</x:f>
        <x:v>0.0896358543417367</x:v>
      </x:c>
    </x:row>
    <x:row r="125">
      <x:c r="A125" s="14" t="n">
        <x:v>46204</x:v>
      </x:c>
      <x:c r="B125" s="12" t="str">
        <x:v>DLR-004</x:v>
      </x:c>
      <x:c r="C125" s="12" t="str">
        <x:v>Việt Trì Ford</x:v>
      </x:c>
      <x:c r="D125" s="12" t="str">
        <x:v>Ford</x:v>
      </x:c>
      <x:c r="E125" s="12" t="n">
        <x:v>452</x:v>
      </x:c>
      <x:c r="F125" s="12" t="n">
        <x:v>269</x:v>
      </x:c>
      <x:c r="G125" s="12" t="n">
        <x:v>99</x:v>
      </x:c>
      <x:c r="H125" s="12" t="n">
        <x:v>43</x:v>
      </x:c>
      <x:c r="I125" s="12" t="n">
        <x:v>34</x:v>
      </x:c>
      <x:c r="J125" s="12" t="n">
        <x:v>418</x:v>
      </x:c>
      <x:c r="K125" s="34" t="n">
        <x:f>IFERROR(H125/E125,0)</x:f>
        <x:v>0.09513274336283185</x:v>
      </x:c>
      <x:c r="L125" s="34" t="n">
        <x:f>IFERROR(I125/H125,0)</x:f>
        <x:v>0.7906976744186046</x:v>
      </x:c>
      <x:c r="M125" s="34" t="n">
        <x:f>IFERROR(I125/E125,0)</x:f>
        <x:v>0.0752212389380531</x:v>
      </x:c>
    </x:row>
    <x:row r="126">
      <x:c r="A126" s="14" t="n">
        <x:v>46204</x:v>
      </x:c>
      <x:c r="B126" s="12" t="str">
        <x:v>DLR-005</x:v>
      </x:c>
      <x:c r="C126" s="12" t="str">
        <x:v>BYD HTA Tây Hồ</x:v>
      </x:c>
      <x:c r="D126" s="12" t="str">
        <x:v>BYD</x:v>
      </x:c>
      <x:c r="E126" s="12" t="n">
        <x:v>366</x:v>
      </x:c>
      <x:c r="F126" s="12" t="n">
        <x:v>229</x:v>
      </x:c>
      <x:c r="G126" s="12" t="n">
        <x:v>114</x:v>
      </x:c>
      <x:c r="H126" s="12" t="n">
        <x:v>46</x:v>
      </x:c>
      <x:c r="I126" s="12" t="n">
        <x:v>38</x:v>
      </x:c>
      <x:c r="J126" s="12" t="n">
        <x:v>328</x:v>
      </x:c>
      <x:c r="K126" s="34" t="n">
        <x:f>IFERROR(H126/E126,0)</x:f>
        <x:v>0.12568306010928962</x:v>
      </x:c>
      <x:c r="L126" s="34" t="n">
        <x:f>IFERROR(I126/H126,0)</x:f>
        <x:v>0.8260869565217391</x:v>
      </x:c>
      <x:c r="M126" s="34" t="n">
        <x:f>IFERROR(I126/E126,0)</x:f>
        <x:v>0.10382513661202186</x:v>
      </x:c>
    </x:row>
    <x:row r="127">
      <x:c r="A127" s="14" t="n">
        <x:v>46204</x:v>
      </x:c>
      <x:c r="B127" s="12" t="str">
        <x:v>DLR-006</x:v>
      </x:c>
      <x:c r="C127" s="12" t="str">
        <x:v>BYD HTA Hoàn Kiếm</x:v>
      </x:c>
      <x:c r="D127" s="12" t="str">
        <x:v>BYD</x:v>
      </x:c>
      <x:c r="E127" s="12" t="n">
        <x:v>331</x:v>
      </x:c>
      <x:c r="F127" s="12" t="n">
        <x:v>237</x:v>
      </x:c>
      <x:c r="G127" s="12" t="n">
        <x:v>119</x:v>
      </x:c>
      <x:c r="H127" s="12" t="n">
        <x:v>55</x:v>
      </x:c>
      <x:c r="I127" s="12" t="n">
        <x:v>50</x:v>
      </x:c>
      <x:c r="J127" s="12" t="n">
        <x:v>281</x:v>
      </x:c>
      <x:c r="K127" s="34" t="n">
        <x:f>IFERROR(H127/E127,0)</x:f>
        <x:v>0.1661631419939577</x:v>
      </x:c>
      <x:c r="L127" s="34" t="n">
        <x:f>IFERROR(I127/H127,0)</x:f>
        <x:v>0.9090909090909091</x:v>
      </x:c>
      <x:c r="M127" s="34" t="n">
        <x:f>IFERROR(I127/E127,0)</x:f>
        <x:v>0.1510574018126888</x:v>
      </x:c>
    </x:row>
    <x:row r="128">
      <x:c r="A128" s="14" t="n">
        <x:v>46204</x:v>
      </x:c>
      <x:c r="B128" s="12" t="str">
        <x:v>DLR-007</x:v>
      </x:c>
      <x:c r="C128" s="12" t="str">
        <x:v>BYD Hà Đông</x:v>
      </x:c>
      <x:c r="D128" s="12" t="str">
        <x:v>BYD</x:v>
      </x:c>
      <x:c r="E128" s="12" t="n">
        <x:v>479</x:v>
      </x:c>
      <x:c r="F128" s="12" t="n">
        <x:v>282</x:v>
      </x:c>
      <x:c r="G128" s="12" t="n">
        <x:v>156</x:v>
      </x:c>
      <x:c r="H128" s="12" t="n">
        <x:v>48</x:v>
      </x:c>
      <x:c r="I128" s="12" t="n">
        <x:v>44</x:v>
      </x:c>
      <x:c r="J128" s="12" t="n">
        <x:v>435</x:v>
      </x:c>
      <x:c r="K128" s="34" t="n">
        <x:f>IFERROR(H128/E128,0)</x:f>
        <x:v>0.10020876826722339</x:v>
      </x:c>
      <x:c r="L128" s="34" t="n">
        <x:f>IFERROR(I128/H128,0)</x:f>
        <x:v>0.9166666666666666</x:v>
      </x:c>
      <x:c r="M128" s="34" t="n">
        <x:f>IFERROR(I128/E128,0)</x:f>
        <x:v>0.0918580375782881</x:v>
      </x:c>
    </x:row>
    <x:row r="129">
      <x:c r="A129" s="14" t="n">
        <x:v>46204</x:v>
      </x:c>
      <x:c r="B129" s="12" t="str">
        <x:v>DLR-008</x:v>
      </x:c>
      <x:c r="C129" s="12" t="str">
        <x:v>VinFast HTA Nguyễn Văn Linh</x:v>
      </x:c>
      <x:c r="D129" s="12" t="str">
        <x:v>VinFast</x:v>
      </x:c>
      <x:c r="E129" s="12" t="n">
        <x:v>422</x:v>
      </x:c>
      <x:c r="F129" s="12" t="n">
        <x:v>263</x:v>
      </x:c>
      <x:c r="G129" s="12" t="n">
        <x:v>115</x:v>
      </x:c>
      <x:c r="H129" s="12" t="n">
        <x:v>48</x:v>
      </x:c>
      <x:c r="I129" s="12" t="n">
        <x:v>40</x:v>
      </x:c>
      <x:c r="J129" s="12" t="n">
        <x:v>382</x:v>
      </x:c>
      <x:c r="K129" s="34" t="n">
        <x:f>IFERROR(H129/E129,0)</x:f>
        <x:v>0.11374407582938388</x:v>
      </x:c>
      <x:c r="L129" s="34" t="n">
        <x:f>IFERROR(I129/H129,0)</x:f>
        <x:v>0.8333333333333334</x:v>
      </x:c>
      <x:c r="M129" s="34" t="n">
        <x:f>IFERROR(I129/E129,0)</x:f>
        <x:v>0.0947867298578199</x:v>
      </x:c>
    </x:row>
    <x:row r="130">
      <x:c r="A130" s="14" t="n">
        <x:v>46204</x:v>
      </x:c>
      <x:c r="B130" s="12" t="str">
        <x:v>DLR-009</x:v>
      </x:c>
      <x:c r="C130" s="12" t="str">
        <x:v>VinFast HTA Đông Anh</x:v>
      </x:c>
      <x:c r="D130" s="12" t="str">
        <x:v>VinFast</x:v>
      </x:c>
      <x:c r="E130" s="12" t="n">
        <x:v>206</x:v>
      </x:c>
      <x:c r="F130" s="12" t="n">
        <x:v>154</x:v>
      </x:c>
      <x:c r="G130" s="12" t="n">
        <x:v>53</x:v>
      </x:c>
      <x:c r="H130" s="12" t="n">
        <x:v>19</x:v>
      </x:c>
      <x:c r="I130" s="12" t="n">
        <x:v>17</x:v>
      </x:c>
      <x:c r="J130" s="12" t="n">
        <x:v>189</x:v>
      </x:c>
      <x:c r="K130" s="34" t="n">
        <x:f>IFERROR(H130/E130,0)</x:f>
        <x:v>0.09223300970873786</x:v>
      </x:c>
      <x:c r="L130" s="34" t="n">
        <x:f>IFERROR(I130/H130,0)</x:f>
        <x:v>0.8947368421052632</x:v>
      </x:c>
      <x:c r="M130" s="34" t="n">
        <x:f>IFERROR(I130/E130,0)</x:f>
        <x:v>0.0825242718446602</x:v>
      </x:c>
    </x:row>
    <x:row r="131">
      <x:c r="A131" s="14" t="n">
        <x:v>46204</x:v>
      </x:c>
      <x:c r="B131" s="12" t="str">
        <x:v>DLR-010</x:v>
      </x:c>
      <x:c r="C131" s="12" t="str">
        <x:v>VinFast HTA Đàm Quang Trung</x:v>
      </x:c>
      <x:c r="D131" s="12" t="str">
        <x:v>VinFast</x:v>
      </x:c>
      <x:c r="E131" s="12" t="n">
        <x:v>258</x:v>
      </x:c>
      <x:c r="F131" s="12" t="n">
        <x:v>177</x:v>
      </x:c>
      <x:c r="G131" s="12" t="n">
        <x:v>82</x:v>
      </x:c>
      <x:c r="H131" s="12" t="n">
        <x:v>28</x:v>
      </x:c>
      <x:c r="I131" s="12" t="n">
        <x:v>23</x:v>
      </x:c>
      <x:c r="J131" s="12" t="n">
        <x:v>235</x:v>
      </x:c>
      <x:c r="K131" s="34" t="n">
        <x:f>IFERROR(H131/E131,0)</x:f>
        <x:v>0.10852713178294573</x:v>
      </x:c>
      <x:c r="L131" s="34" t="n">
        <x:f>IFERROR(I131/H131,0)</x:f>
        <x:v>0.8214285714285714</x:v>
      </x:c>
      <x:c r="M131" s="34" t="n">
        <x:f>IFERROR(I131/E131,0)</x:f>
        <x:v>0.08914728682170543</x:v>
      </x:c>
    </x:row>
    <x:row r="132">
      <x:c r="A132" s="14" t="n">
        <x:v>46204</x:v>
      </x:c>
      <x:c r="B132" s="12" t="str">
        <x:v>DLR-011</x:v>
      </x:c>
      <x:c r="C132" s="12" t="str">
        <x:v>VinFast HTA Phạm Văn Đồng</x:v>
      </x:c>
      <x:c r="D132" s="12" t="str">
        <x:v>VinFast</x:v>
      </x:c>
      <x:c r="E132" s="12" t="n">
        <x:v>215</x:v>
      </x:c>
      <x:c r="F132" s="12" t="n">
        <x:v>146</x:v>
      </x:c>
      <x:c r="G132" s="12" t="n">
        <x:v>68</x:v>
      </x:c>
      <x:c r="H132" s="12" t="n">
        <x:v>31</x:v>
      </x:c>
      <x:c r="I132" s="12" t="n">
        <x:v>28</x:v>
      </x:c>
      <x:c r="J132" s="12" t="n">
        <x:v>187</x:v>
      </x:c>
      <x:c r="K132" s="34" t="n">
        <x:f>IFERROR(H132/E132,0)</x:f>
        <x:v>0.14418604651162792</x:v>
      </x:c>
      <x:c r="L132" s="34" t="n">
        <x:f>IFERROR(I132/H132,0)</x:f>
        <x:v>0.9032258064516129</x:v>
      </x:c>
      <x:c r="M132" s="34" t="n">
        <x:f>IFERROR(I132/E132,0)</x:f>
        <x:v>0.13023255813953488</x:v>
      </x:c>
    </x:row>
    <x:row r="133">
      <x:c r="A133" s="14" t="n">
        <x:v>46204</x:v>
      </x:c>
      <x:c r="B133" s="12" t="str">
        <x:v>DLR-012</x:v>
      </x:c>
      <x:c r="C133" s="12" t="str">
        <x:v>VinFast HTA Võ Chí Công</x:v>
      </x:c>
      <x:c r="D133" s="12" t="str">
        <x:v>VinFast</x:v>
      </x:c>
      <x:c r="E133" s="12" t="n">
        <x:v>420</x:v>
      </x:c>
      <x:c r="F133" s="12" t="n">
        <x:v>263</x:v>
      </x:c>
      <x:c r="G133" s="12" t="n">
        <x:v>84</x:v>
      </x:c>
      <x:c r="H133" s="12" t="n">
        <x:v>31</x:v>
      </x:c>
      <x:c r="I133" s="12" t="n">
        <x:v>26</x:v>
      </x:c>
      <x:c r="J133" s="12" t="n">
        <x:v>394</x:v>
      </x:c>
      <x:c r="K133" s="34" t="n">
        <x:f>IFERROR(H133/E133,0)</x:f>
        <x:v>0.07380952380952381</x:v>
      </x:c>
      <x:c r="L133" s="34" t="n">
        <x:f>IFERROR(I133/H133,0)</x:f>
        <x:v>0.8387096774193549</x:v>
      </x:c>
      <x:c r="M133" s="34" t="n">
        <x:f>IFERROR(I133/E133,0)</x:f>
        <x:v>0.06190476190476191</x:v>
      </x:c>
    </x:row>
    <x:row r="134">
      <x:c r="A134" s="14" t="n">
        <x:v>46204</x:v>
      </x:c>
      <x:c r="B134" s="12" t="str">
        <x:v>DLR-013</x:v>
      </x:c>
      <x:c r="C134" s="12" t="str">
        <x:v>VinFast HTA Ninh Bình</x:v>
      </x:c>
      <x:c r="D134" s="12" t="str">
        <x:v>VinFast</x:v>
      </x:c>
      <x:c r="E134" s="12" t="n">
        <x:v>331</x:v>
      </x:c>
      <x:c r="F134" s="12" t="n">
        <x:v>189</x:v>
      </x:c>
      <x:c r="G134" s="12" t="n">
        <x:v>95</x:v>
      </x:c>
      <x:c r="H134" s="12" t="n">
        <x:v>40</x:v>
      </x:c>
      <x:c r="I134" s="12" t="n">
        <x:v>32</x:v>
      </x:c>
      <x:c r="J134" s="12" t="n">
        <x:v>299</x:v>
      </x:c>
      <x:c r="K134" s="34" t="n">
        <x:f>IFERROR(H134/E134,0)</x:f>
        <x:v>0.12084592145015106</x:v>
      </x:c>
      <x:c r="L134" s="34" t="n">
        <x:f>IFERROR(I134/H134,0)</x:f>
        <x:v>0.8</x:v>
      </x:c>
      <x:c r="M134" s="34" t="n">
        <x:f>IFERROR(I134/E134,0)</x:f>
        <x:v>0.09667673716012085</x:v>
      </x:c>
    </x:row>
    <x:row r="135">
      <x:c r="A135" s="14" t="n">
        <x:v>46204</x:v>
      </x:c>
      <x:c r="B135" s="12" t="str">
        <x:v>DLR-014</x:v>
      </x:c>
      <x:c r="C135" s="12" t="str">
        <x:v>VinFast HTA Nam Từ Liêm</x:v>
      </x:c>
      <x:c r="D135" s="12" t="str">
        <x:v>VinFast</x:v>
      </x:c>
      <x:c r="E135" s="12" t="n">
        <x:v>164</x:v>
      </x:c>
      <x:c r="F135" s="12" t="n">
        <x:v>125</x:v>
      </x:c>
      <x:c r="G135" s="12" t="n">
        <x:v>48</x:v>
      </x:c>
      <x:c r="H135" s="12" t="n">
        <x:v>15</x:v>
      </x:c>
      <x:c r="I135" s="12" t="n">
        <x:v>13</x:v>
      </x:c>
      <x:c r="J135" s="12" t="n">
        <x:v>151</x:v>
      </x:c>
      <x:c r="K135" s="34" t="n">
        <x:f>IFERROR(H135/E135,0)</x:f>
        <x:v>0.09146341463414634</x:v>
      </x:c>
      <x:c r="L135" s="34" t="n">
        <x:f>IFERROR(I135/H135,0)</x:f>
        <x:v>0.8666666666666667</x:v>
      </x:c>
      <x:c r="M135" s="34" t="n">
        <x:f>IFERROR(I135/E135,0)</x:f>
        <x:v>0.07926829268292683</x:v>
      </x:c>
    </x:row>
    <x:row r="136">
      <x:c r="A136" s="14" t="n">
        <x:v>46204</x:v>
      </x:c>
      <x:c r="B136" s="12" t="str">
        <x:v>DLR-015</x:v>
      </x:c>
      <x:c r="C136" s="12" t="str">
        <x:v>VinFast HTA Văn Phú</x:v>
      </x:c>
      <x:c r="D136" s="12" t="str">
        <x:v>VinFast</x:v>
      </x:c>
      <x:c r="E136" s="12" t="n">
        <x:v>409</x:v>
      </x:c>
      <x:c r="F136" s="12" t="n">
        <x:v>234</x:v>
      </x:c>
      <x:c r="G136" s="12" t="n">
        <x:v>123</x:v>
      </x:c>
      <x:c r="H136" s="12" t="n">
        <x:v>39</x:v>
      </x:c>
      <x:c r="I136" s="12" t="n">
        <x:v>35</x:v>
      </x:c>
      <x:c r="J136" s="12" t="n">
        <x:v>374</x:v>
      </x:c>
      <x:c r="K136" s="34" t="n">
        <x:f>IFERROR(H136/E136,0)</x:f>
        <x:v>0.09535452322738386</x:v>
      </x:c>
      <x:c r="L136" s="34" t="n">
        <x:f>IFERROR(I136/H136,0)</x:f>
        <x:v>0.8974358974358975</x:v>
      </x:c>
      <x:c r="M136" s="34" t="n">
        <x:f>IFERROR(I136/E136,0)</x:f>
        <x:v>0.08557457212713937</x:v>
      </x:c>
    </x:row>
    <x:row r="137">
      <x:c r="A137" s="14" t="n">
        <x:v>46204</x:v>
      </x:c>
      <x:c r="B137" s="12" t="str">
        <x:v>DLR-016</x:v>
      </x:c>
      <x:c r="C137" s="12" t="str">
        <x:v>VinFast HTA Mỹ Đình</x:v>
      </x:c>
      <x:c r="D137" s="12" t="str">
        <x:v>VinFast</x:v>
      </x:c>
      <x:c r="E137" s="12" t="n">
        <x:v>491</x:v>
      </x:c>
      <x:c r="F137" s="12" t="n">
        <x:v>303</x:v>
      </x:c>
      <x:c r="G137" s="12" t="n">
        <x:v>132</x:v>
      </x:c>
      <x:c r="H137" s="12" t="n">
        <x:v>46</x:v>
      </x:c>
      <x:c r="I137" s="12" t="n">
        <x:v>36</x:v>
      </x:c>
      <x:c r="J137" s="12" t="n">
        <x:v>455</x:v>
      </x:c>
      <x:c r="K137" s="34" t="n">
        <x:f>IFERROR(H137/E137,0)</x:f>
        <x:v>0.09368635437881874</x:v>
      </x:c>
      <x:c r="L137" s="34" t="n">
        <x:f>IFERROR(I137/H137,0)</x:f>
        <x:v>0.782608695652174</x:v>
      </x:c>
      <x:c r="M137" s="34" t="n">
        <x:f>IFERROR(I137/E137,0)</x:f>
        <x:v>0.07331975560081466</x:v>
      </x:c>
    </x:row>
    <x:row r="138">
      <x:c r="A138" s="14" t="n">
        <x:v>46204</x:v>
      </x:c>
      <x:c r="B138" s="12" t="str">
        <x:v>DLR-017</x:v>
      </x:c>
      <x:c r="C138" s="12" t="str">
        <x:v>VinFast Quốc Oai</x:v>
      </x:c>
      <x:c r="D138" s="12" t="str">
        <x:v>VinFast</x:v>
      </x:c>
      <x:c r="E138" s="12" t="n">
        <x:v>128</x:v>
      </x:c>
      <x:c r="F138" s="12" t="n">
        <x:v>78</x:v>
      </x:c>
      <x:c r="G138" s="12" t="n">
        <x:v>44</x:v>
      </x:c>
      <x:c r="H138" s="12" t="n">
        <x:v>20</x:v>
      </x:c>
      <x:c r="I138" s="12" t="n">
        <x:v>16</x:v>
      </x:c>
      <x:c r="J138" s="12" t="n">
        <x:v>112</x:v>
      </x:c>
      <x:c r="K138" s="34" t="n">
        <x:f>IFERROR(H138/E138,0)</x:f>
        <x:v>0.15625</x:v>
      </x:c>
      <x:c r="L138" s="34" t="n">
        <x:f>IFERROR(I138/H138,0)</x:f>
        <x:v>0.8</x:v>
      </x:c>
      <x:c r="M138" s="34" t="n">
        <x:f>IFERROR(I138/E138,0)</x:f>
        <x:v>0.125</x:v>
      </x:c>
    </x:row>
    <x:row r="139">
      <x:c r="A139" s="14" t="n">
        <x:v>46204</x:v>
      </x:c>
      <x:c r="B139" s="12" t="str">
        <x:v>DLR-018</x:v>
      </x:c>
      <x:c r="C139" s="12" t="str">
        <x:v>OMODA &amp; JAECOO HTA Nam Từ Liêm</x:v>
      </x:c>
      <x:c r="D139" s="12" t="str">
        <x:v>OMODA &amp; JAECOO</x:v>
      </x:c>
      <x:c r="E139" s="12" t="n">
        <x:v>481</x:v>
      </x:c>
      <x:c r="F139" s="12" t="n">
        <x:v>301</x:v>
      </x:c>
      <x:c r="G139" s="12" t="n">
        <x:v>166</x:v>
      </x:c>
      <x:c r="H139" s="12" t="n">
        <x:v>47</x:v>
      </x:c>
      <x:c r="I139" s="12" t="n">
        <x:v>40</x:v>
      </x:c>
      <x:c r="J139" s="12" t="n">
        <x:v>441</x:v>
      </x:c>
      <x:c r="K139" s="34" t="n">
        <x:f>IFERROR(H139/E139,0)</x:f>
        <x:v>0.09771309771309772</x:v>
      </x:c>
      <x:c r="L139" s="34" t="n">
        <x:f>IFERROR(I139/H139,0)</x:f>
        <x:v>0.851063829787234</x:v>
      </x:c>
      <x:c r="M139" s="34" t="n">
        <x:f>IFERROR(I139/E139,0)</x:f>
        <x:v>0.08316008316008316</x:v>
      </x:c>
    </x:row>
    <x:row r="140">
      <x:c r="A140" s="14" t="n">
        <x:v>46204</x:v>
      </x:c>
      <x:c r="B140" s="12" t="str">
        <x:v>DLR-019</x:v>
      </x:c>
      <x:c r="C140" s="12" t="str">
        <x:v>OMODA &amp; JAECOO HTA Việt Trì</x:v>
      </x:c>
      <x:c r="D140" s="12" t="str">
        <x:v>OMODA &amp; JAECOO</x:v>
      </x:c>
      <x:c r="E140" s="12" t="n">
        <x:v>224</x:v>
      </x:c>
      <x:c r="F140" s="12" t="n">
        <x:v>167</x:v>
      </x:c>
      <x:c r="G140" s="12" t="n">
        <x:v>90</x:v>
      </x:c>
      <x:c r="H140" s="12" t="n">
        <x:v>27</x:v>
      </x:c>
      <x:c r="I140" s="12" t="n">
        <x:v>24</x:v>
      </x:c>
      <x:c r="J140" s="12" t="n">
        <x:v>200</x:v>
      </x:c>
      <x:c r="K140" s="34" t="n">
        <x:f>IFERROR(H140/E140,0)</x:f>
        <x:v>0.12053571428571429</x:v>
      </x:c>
      <x:c r="L140" s="34" t="n">
        <x:f>IFERROR(I140/H140,0)</x:f>
        <x:v>0.8888888888888888</x:v>
      </x:c>
      <x:c r="M140" s="34" t="n">
        <x:f>IFERROR(I140/E140,0)</x:f>
        <x:v>0.10714285714285714</x:v>
      </x:c>
    </x:row>
    <x:row r="141">
      <x:c r="A141" s="14" t="n">
        <x:v>46204</x:v>
      </x:c>
      <x:c r="B141" s="12" t="str">
        <x:v>DLR-020</x:v>
      </x:c>
      <x:c r="C141" s="12" t="str">
        <x:v>Wuling HTA Long Biên</x:v>
      </x:c>
      <x:c r="D141" s="12" t="str">
        <x:v>Wuling</x:v>
      </x:c>
      <x:c r="E141" s="12" t="n">
        <x:v>517</x:v>
      </x:c>
      <x:c r="F141" s="12" t="n">
        <x:v>315</x:v>
      </x:c>
      <x:c r="G141" s="12" t="n">
        <x:v>170</x:v>
      </x:c>
      <x:c r="H141" s="12" t="n">
        <x:v>58</x:v>
      </x:c>
      <x:c r="I141" s="12" t="n">
        <x:v>46</x:v>
      </x:c>
      <x:c r="J141" s="12" t="n">
        <x:v>471</x:v>
      </x:c>
      <x:c r="K141" s="34" t="n">
        <x:f>IFERROR(H141/E141,0)</x:f>
        <x:v>0.11218568665377177</x:v>
      </x:c>
      <x:c r="L141" s="34" t="n">
        <x:f>IFERROR(I141/H141,0)</x:f>
        <x:v>0.7931034482758621</x:v>
      </x:c>
      <x:c r="M141" s="34" t="n">
        <x:f>IFERROR(I141/E141,0)</x:f>
        <x:v>0.08897485493230174</x:v>
      </x:c>
    </x:row>
  </x:sheetData>
  <x:pageMargins left="0.7" right="0.7" top="0.75" bottom="0.75" header="0.3" footer="0.3"/>
  <x:tableParts count="1">
    <x:tablePart xmlns:r="http://schemas.openxmlformats.org/officeDocument/2006/relationships" r:id="R408cb595c7514a13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3" hidden="0" customWidth="1"/>
    <x:col min="4" max="4" width="34" hidden="0" customWidth="1"/>
    <x:col min="5" max="5" width="20" hidden="0" customWidth="1"/>
    <x:col min="6" max="6" width="18" hidden="0" customWidth="1"/>
    <x:col min="7" max="7" width="16" hidden="0" customWidth="1"/>
    <x:col min="8" max="8" width="14" hidden="0" customWidth="1"/>
    <x:col min="9" max="9" width="22" hidden="0" customWidth="1"/>
    <x:col min="10" max="10" width="18" hidden="0" customWidth="1"/>
    <x:col min="11" max="11" width="18" hidden="0" customWidth="1"/>
    <x:col min="12" max="12" width="14" hidden="0" customWidth="1"/>
  </x:cols>
  <x:sheetData>
    <x:row r="1">
      <x:c r="A1" s="29" t="str">
        <x:v>Lead ID</x:v>
      </x:c>
      <x:c r="B1" s="29" t="str">
        <x:v>Ngày tạo</x:v>
      </x:c>
      <x:c r="C1" s="29" t="str">
        <x:v>Mã đại lý</x:v>
      </x:c>
      <x:c r="D1" s="29" t="str">
        <x:v>Đại lý</x:v>
      </x:c>
      <x:c r="E1" s="29" t="str">
        <x:v>Thương hiệu</x:v>
      </x:c>
      <x:c r="F1" s="29" t="str">
        <x:v>Nguồn lead</x:v>
      </x:c>
      <x:c r="G1" s="29" t="str">
        <x:v>Giai đoạn</x:v>
      </x:c>
      <x:c r="H1" s="29" t="str">
        <x:v>Xác suất</x:v>
      </x:c>
      <x:c r="I1" s="29" t="str">
        <x:v>Giá trị dự kiến (tỷ)</x:v>
      </x:c>
      <x:c r="J1" s="29" t="str">
        <x:v>Tuổi lead (ngày)</x:v>
      </x:c>
      <x:c r="K1" s="29" t="str">
        <x:v>Salesperson</x:v>
      </x:c>
      <x:c r="L1" s="29" t="str">
        <x:v>Ưu tiên</x:v>
      </x:c>
    </x:row>
    <x:row r="2">
      <x:c r="A2" s="12" t="str">
        <x:v>LEAD-00001</x:v>
      </x:c>
      <x:c r="B2" s="18" t="n">
        <x:v>46205</x:v>
      </x:c>
      <x:c r="C2" s="12" t="str">
        <x:v>DLR-004</x:v>
      </x:c>
      <x:c r="D2" s="12" t="str">
        <x:v>Việt Trì Ford</x:v>
      </x:c>
      <x:c r="E2" s="12" t="str">
        <x:v>Ford</x:v>
      </x:c>
      <x:c r="F2" s="12" t="str">
        <x:v>Event</x:v>
      </x:c>
      <x:c r="G2" s="12" t="str">
        <x:v>Test Drive</x:v>
      </x:c>
      <x:c r="H2" s="34" t="n">
        <x:v>0.5</x:v>
      </x:c>
      <x:c r="I2" s="12" t="n">
        <x:v>1.17</x:v>
      </x:c>
      <x:c r="J2" s="12" t="n">
        <x:v>20</x:v>
      </x:c>
      <x:c r="K2" s="12" t="str">
        <x:v>Sales D</x:v>
      </x:c>
      <x:c r="L2" s="12" t="str">
        <x:v>Hot</x:v>
      </x:c>
    </x:row>
    <x:row r="3">
      <x:c r="A3" s="12" t="str">
        <x:v>LEAD-00002</x:v>
      </x:c>
      <x:c r="B3" s="18" t="n">
        <x:v>46205</x:v>
      </x:c>
      <x:c r="C3" s="12" t="str">
        <x:v>DLR-013</x:v>
      </x:c>
      <x:c r="D3" s="12" t="str">
        <x:v>VinFast HTA Ninh Bình</x:v>
      </x:c>
      <x:c r="E3" s="12" t="str">
        <x:v>VinFast</x:v>
      </x:c>
      <x:c r="F3" s="12" t="str">
        <x:v>Digital</x:v>
      </x:c>
      <x:c r="G3" s="12" t="str">
        <x:v>Qualified</x:v>
      </x:c>
      <x:c r="H3" s="34" t="n">
        <x:v>0.3</x:v>
      </x:c>
      <x:c r="I3" s="12" t="n">
        <x:v>0.44</x:v>
      </x:c>
      <x:c r="J3" s="12" t="n">
        <x:v>20</x:v>
      </x:c>
      <x:c r="K3" s="12" t="str">
        <x:v>Sales A</x:v>
      </x:c>
      <x:c r="L3" s="12" t="str">
        <x:v>Hot</x:v>
      </x:c>
    </x:row>
    <x:row r="4">
      <x:c r="A4" s="12" t="str">
        <x:v>LEAD-00003</x:v>
      </x:c>
      <x:c r="B4" s="18" t="n">
        <x:v>46223</x:v>
      </x:c>
      <x:c r="C4" s="12" t="str">
        <x:v>DLR-007</x:v>
      </x:c>
      <x:c r="D4" s="12" t="str">
        <x:v>BYD Hà Đông</x:v>
      </x:c>
      <x:c r="E4" s="12" t="str">
        <x:v>BYD</x:v>
      </x:c>
      <x:c r="F4" s="12" t="str">
        <x:v>Corporate/Fleet</x:v>
      </x:c>
      <x:c r="G4" s="12" t="str">
        <x:v>Order</x:v>
      </x:c>
      <x:c r="H4" s="34" t="n">
        <x:v>0.95</x:v>
      </x:c>
      <x:c r="I4" s="12" t="n">
        <x:v>0.86</x:v>
      </x:c>
      <x:c r="J4" s="12" t="n">
        <x:v>2</x:v>
      </x:c>
      <x:c r="K4" s="12" t="str">
        <x:v>Sales D</x:v>
      </x:c>
      <x:c r="L4" s="12" t="str">
        <x:v>Normal</x:v>
      </x:c>
    </x:row>
    <x:row r="5">
      <x:c r="A5" s="12" t="str">
        <x:v>LEAD-00004</x:v>
      </x:c>
      <x:c r="B5" s="18" t="n">
        <x:v>46223</x:v>
      </x:c>
      <x:c r="C5" s="12" t="str">
        <x:v>DLR-015</x:v>
      </x:c>
      <x:c r="D5" s="12" t="str">
        <x:v>VinFast HTA Văn Phú</x:v>
      </x:c>
      <x:c r="E5" s="12" t="str">
        <x:v>VinFast</x:v>
      </x:c>
      <x:c r="F5" s="12" t="str">
        <x:v>Corporate/Fleet</x:v>
      </x:c>
      <x:c r="G5" s="12" t="str">
        <x:v>Negotiation</x:v>
      </x:c>
      <x:c r="H5" s="34" t="n">
        <x:v>0.7</x:v>
      </x:c>
      <x:c r="I5" s="12" t="n">
        <x:v>0.5</x:v>
      </x:c>
      <x:c r="J5" s="12" t="n">
        <x:v>2</x:v>
      </x:c>
      <x:c r="K5" s="12" t="str">
        <x:v>Sales C</x:v>
      </x:c>
      <x:c r="L5" s="12" t="str">
        <x:v>Normal</x:v>
      </x:c>
    </x:row>
    <x:row r="6">
      <x:c r="A6" s="12" t="str">
        <x:v>LEAD-00005</x:v>
      </x:c>
      <x:c r="B6" s="18" t="n">
        <x:v>46212</x:v>
      </x:c>
      <x:c r="C6" s="12" t="str">
        <x:v>DLR-008</x:v>
      </x:c>
      <x:c r="D6" s="12" t="str">
        <x:v>VinFast HTA Nguyễn Văn Linh</x:v>
      </x:c>
      <x:c r="E6" s="12" t="str">
        <x:v>VinFast</x:v>
      </x:c>
      <x:c r="F6" s="12" t="str">
        <x:v>Digital</x:v>
      </x:c>
      <x:c r="G6" s="12" t="str">
        <x:v>Contacted</x:v>
      </x:c>
      <x:c r="H6" s="34" t="n">
        <x:v>0.15</x:v>
      </x:c>
      <x:c r="I6" s="12" t="n">
        <x:v>1.31</x:v>
      </x:c>
      <x:c r="J6" s="12" t="n">
        <x:v>13</x:v>
      </x:c>
      <x:c r="K6" s="12" t="str">
        <x:v>Sales B</x:v>
      </x:c>
      <x:c r="L6" s="12" t="str">
        <x:v>Normal</x:v>
      </x:c>
    </x:row>
    <x:row r="7">
      <x:c r="A7" s="12" t="str">
        <x:v>LEAD-00006</x:v>
      </x:c>
      <x:c r="B7" s="18" t="n">
        <x:v>46220</x:v>
      </x:c>
      <x:c r="C7" s="12" t="str">
        <x:v>DLR-012</x:v>
      </x:c>
      <x:c r="D7" s="12" t="str">
        <x:v>VinFast HTA Võ Chí Công</x:v>
      </x:c>
      <x:c r="E7" s="12" t="str">
        <x:v>VinFast</x:v>
      </x:c>
      <x:c r="F7" s="12" t="str">
        <x:v>Walk-in</x:v>
      </x:c>
      <x:c r="G7" s="12" t="str">
        <x:v>Negotiation</x:v>
      </x:c>
      <x:c r="H7" s="34" t="n">
        <x:v>0.7</x:v>
      </x:c>
      <x:c r="I7" s="12" t="n">
        <x:v>1.41</x:v>
      </x:c>
      <x:c r="J7" s="12" t="n">
        <x:v>5</x:v>
      </x:c>
      <x:c r="K7" s="12" t="str">
        <x:v>Sales C</x:v>
      </x:c>
      <x:c r="L7" s="12" t="str">
        <x:v>Normal</x:v>
      </x:c>
    </x:row>
    <x:row r="8">
      <x:c r="A8" s="12" t="str">
        <x:v>LEAD-00007</x:v>
      </x:c>
      <x:c r="B8" s="18" t="n">
        <x:v>46218</x:v>
      </x:c>
      <x:c r="C8" s="12" t="str">
        <x:v>DLR-015</x:v>
      </x:c>
      <x:c r="D8" s="12" t="str">
        <x:v>VinFast HTA Văn Phú</x:v>
      </x:c>
      <x:c r="E8" s="12" t="str">
        <x:v>VinFast</x:v>
      </x:c>
      <x:c r="F8" s="12" t="str">
        <x:v>Digital</x:v>
      </x:c>
      <x:c r="G8" s="12" t="str">
        <x:v>Test Drive</x:v>
      </x:c>
      <x:c r="H8" s="34" t="n">
        <x:v>0.5</x:v>
      </x:c>
      <x:c r="I8" s="12" t="n">
        <x:v>1.12</x:v>
      </x:c>
      <x:c r="J8" s="12" t="n">
        <x:v>7</x:v>
      </x:c>
      <x:c r="K8" s="12" t="str">
        <x:v>Sales C</x:v>
      </x:c>
      <x:c r="L8" s="12" t="str">
        <x:v>Hot</x:v>
      </x:c>
    </x:row>
    <x:row r="9">
      <x:c r="A9" s="12" t="str">
        <x:v>LEAD-00008</x:v>
      </x:c>
      <x:c r="B9" s="18" t="n">
        <x:v>46209</x:v>
      </x:c>
      <x:c r="C9" s="12" t="str">
        <x:v>DLR-016</x:v>
      </x:c>
      <x:c r="D9" s="12" t="str">
        <x:v>VinFast HTA Mỹ Đình</x:v>
      </x:c>
      <x:c r="E9" s="12" t="str">
        <x:v>VinFast</x:v>
      </x:c>
      <x:c r="F9" s="12" t="str">
        <x:v>Corporate/Fleet</x:v>
      </x:c>
      <x:c r="G9" s="12" t="str">
        <x:v>Qualified</x:v>
      </x:c>
      <x:c r="H9" s="34" t="n">
        <x:v>0.3</x:v>
      </x:c>
      <x:c r="I9" s="12" t="n">
        <x:v>1.18</x:v>
      </x:c>
      <x:c r="J9" s="12" t="n">
        <x:v>16</x:v>
      </x:c>
      <x:c r="K9" s="12" t="str">
        <x:v>Sales A</x:v>
      </x:c>
      <x:c r="L9" s="12" t="str">
        <x:v>Normal</x:v>
      </x:c>
    </x:row>
    <x:row r="10">
      <x:c r="A10" s="12" t="str">
        <x:v>LEAD-00009</x:v>
      </x:c>
      <x:c r="B10" s="18" t="n">
        <x:v>46217</x:v>
      </x:c>
      <x:c r="C10" s="12" t="str">
        <x:v>DLR-011</x:v>
      </x:c>
      <x:c r="D10" s="12" t="str">
        <x:v>VinFast HTA Phạm Văn Đồng</x:v>
      </x:c>
      <x:c r="E10" s="12" t="str">
        <x:v>VinFast</x:v>
      </x:c>
      <x:c r="F10" s="12" t="str">
        <x:v>Referral</x:v>
      </x:c>
      <x:c r="G10" s="12" t="str">
        <x:v>Qualified</x:v>
      </x:c>
      <x:c r="H10" s="34" t="n">
        <x:v>0.3</x:v>
      </x:c>
      <x:c r="I10" s="12" t="n">
        <x:v>0.6</x:v>
      </x:c>
      <x:c r="J10" s="12" t="n">
        <x:v>8</x:v>
      </x:c>
      <x:c r="K10" s="12" t="str">
        <x:v>Sales D</x:v>
      </x:c>
      <x:c r="L10" s="12" t="str">
        <x:v>Normal</x:v>
      </x:c>
    </x:row>
    <x:row r="11">
      <x:c r="A11" s="12" t="str">
        <x:v>LEAD-00010</x:v>
      </x:c>
      <x:c r="B11" s="18" t="n">
        <x:v>46219</x:v>
      </x:c>
      <x:c r="C11" s="12" t="str">
        <x:v>DLR-016</x:v>
      </x:c>
      <x:c r="D11" s="12" t="str">
        <x:v>VinFast HTA Mỹ Đình</x:v>
      </x:c>
      <x:c r="E11" s="12" t="str">
        <x:v>VinFast</x:v>
      </x:c>
      <x:c r="F11" s="12" t="str">
        <x:v>Corporate/Fleet</x:v>
      </x:c>
      <x:c r="G11" s="12" t="str">
        <x:v>Negotiation</x:v>
      </x:c>
      <x:c r="H11" s="34" t="n">
        <x:v>0.7</x:v>
      </x:c>
      <x:c r="I11" s="12" t="n">
        <x:v>0.53</x:v>
      </x:c>
      <x:c r="J11" s="12" t="n">
        <x:v>6</x:v>
      </x:c>
      <x:c r="K11" s="12" t="str">
        <x:v>Sales A</x:v>
      </x:c>
      <x:c r="L11" s="12" t="str">
        <x:v>Priority</x:v>
      </x:c>
    </x:row>
    <x:row r="12">
      <x:c r="A12" s="12" t="str">
        <x:v>LEAD-00011</x:v>
      </x:c>
      <x:c r="B12" s="18" t="n">
        <x:v>46223</x:v>
      </x:c>
      <x:c r="C12" s="12" t="str">
        <x:v>DLR-004</x:v>
      </x:c>
      <x:c r="D12" s="12" t="str">
        <x:v>Việt Trì Ford</x:v>
      </x:c>
      <x:c r="E12" s="12" t="str">
        <x:v>Ford</x:v>
      </x:c>
      <x:c r="F12" s="12" t="str">
        <x:v>Corporate/Fleet</x:v>
      </x:c>
      <x:c r="G12" s="12" t="str">
        <x:v>Negotiation</x:v>
      </x:c>
      <x:c r="H12" s="34" t="n">
        <x:v>0.7</x:v>
      </x:c>
      <x:c r="I12" s="12" t="n">
        <x:v>0.73</x:v>
      </x:c>
      <x:c r="J12" s="12" t="n">
        <x:v>2</x:v>
      </x:c>
      <x:c r="K12" s="12" t="str">
        <x:v>Sales D</x:v>
      </x:c>
      <x:c r="L12" s="12" t="str">
        <x:v>Normal</x:v>
      </x:c>
    </x:row>
    <x:row r="13">
      <x:c r="A13" s="12" t="str">
        <x:v>LEAD-00012</x:v>
      </x:c>
      <x:c r="B13" s="18" t="n">
        <x:v>46217</x:v>
      </x:c>
      <x:c r="C13" s="12" t="str">
        <x:v>DLR-011</x:v>
      </x:c>
      <x:c r="D13" s="12" t="str">
        <x:v>VinFast HTA Phạm Văn Đồng</x:v>
      </x:c>
      <x:c r="E13" s="12" t="str">
        <x:v>VinFast</x:v>
      </x:c>
      <x:c r="F13" s="12" t="str">
        <x:v>Referral</x:v>
      </x:c>
      <x:c r="G13" s="12" t="str">
        <x:v>Negotiation</x:v>
      </x:c>
      <x:c r="H13" s="34" t="n">
        <x:v>0.7</x:v>
      </x:c>
      <x:c r="I13" s="12" t="n">
        <x:v>0.42</x:v>
      </x:c>
      <x:c r="J13" s="12" t="n">
        <x:v>8</x:v>
      </x:c>
      <x:c r="K13" s="12" t="str">
        <x:v>Sales A</x:v>
      </x:c>
      <x:c r="L13" s="12" t="str">
        <x:v>Priority</x:v>
      </x:c>
    </x:row>
    <x:row r="14">
      <x:c r="A14" s="12" t="str">
        <x:v>LEAD-00013</x:v>
      </x:c>
      <x:c r="B14" s="18" t="n">
        <x:v>46208</x:v>
      </x:c>
      <x:c r="C14" s="12" t="str">
        <x:v>DLR-002</x:v>
      </x:c>
      <x:c r="D14" s="12" t="str">
        <x:v>Hà Thành Ford - Mỹ Đình</x:v>
      </x:c>
      <x:c r="E14" s="12" t="str">
        <x:v>Ford</x:v>
      </x:c>
      <x:c r="F14" s="12" t="str">
        <x:v>Walk-in</x:v>
      </x:c>
      <x:c r="G14" s="12" t="str">
        <x:v>Qualified</x:v>
      </x:c>
      <x:c r="H14" s="34" t="n">
        <x:v>0.3</x:v>
      </x:c>
      <x:c r="I14" s="12" t="n">
        <x:v>0.67</x:v>
      </x:c>
      <x:c r="J14" s="12" t="n">
        <x:v>17</x:v>
      </x:c>
      <x:c r="K14" s="12" t="str">
        <x:v>Sales A</x:v>
      </x:c>
      <x:c r="L14" s="12" t="str">
        <x:v>Normal</x:v>
      </x:c>
    </x:row>
    <x:row r="15">
      <x:c r="A15" s="12" t="str">
        <x:v>LEAD-00014</x:v>
      </x:c>
      <x:c r="B15" s="18" t="n">
        <x:v>46206</x:v>
      </x:c>
      <x:c r="C15" s="12" t="str">
        <x:v>DLR-015</x:v>
      </x:c>
      <x:c r="D15" s="12" t="str">
        <x:v>VinFast HTA Văn Phú</x:v>
      </x:c>
      <x:c r="E15" s="12" t="str">
        <x:v>VinFast</x:v>
      </x:c>
      <x:c r="F15" s="12" t="str">
        <x:v>Referral</x:v>
      </x:c>
      <x:c r="G15" s="12" t="str">
        <x:v>Order</x:v>
      </x:c>
      <x:c r="H15" s="34" t="n">
        <x:v>0.95</x:v>
      </x:c>
      <x:c r="I15" s="12" t="n">
        <x:v>1.03</x:v>
      </x:c>
      <x:c r="J15" s="12" t="n">
        <x:v>19</x:v>
      </x:c>
      <x:c r="K15" s="12" t="str">
        <x:v>Sales C</x:v>
      </x:c>
      <x:c r="L15" s="12" t="str">
        <x:v>Hot</x:v>
      </x:c>
    </x:row>
    <x:row r="16">
      <x:c r="A16" s="12" t="str">
        <x:v>LEAD-00015</x:v>
      </x:c>
      <x:c r="B16" s="18" t="n">
        <x:v>46212</x:v>
      </x:c>
      <x:c r="C16" s="12" t="str">
        <x:v>DLR-014</x:v>
      </x:c>
      <x:c r="D16" s="12" t="str">
        <x:v>VinFast HTA Nam Từ Liêm</x:v>
      </x:c>
      <x:c r="E16" s="12" t="str">
        <x:v>VinFast</x:v>
      </x:c>
      <x:c r="F16" s="12" t="str">
        <x:v>Digital</x:v>
      </x:c>
      <x:c r="G16" s="12" t="str">
        <x:v>Test Drive</x:v>
      </x:c>
      <x:c r="H16" s="34" t="n">
        <x:v>0.5</x:v>
      </x:c>
      <x:c r="I16" s="12" t="n">
        <x:v>1.33</x:v>
      </x:c>
      <x:c r="J16" s="12" t="n">
        <x:v>13</x:v>
      </x:c>
      <x:c r="K16" s="12" t="str">
        <x:v>Sales D</x:v>
      </x:c>
      <x:c r="L16" s="12" t="str">
        <x:v>Hot</x:v>
      </x:c>
    </x:row>
    <x:row r="17">
      <x:c r="A17" s="12" t="str">
        <x:v>LEAD-00016</x:v>
      </x:c>
      <x:c r="B17" s="18" t="n">
        <x:v>46222</x:v>
      </x:c>
      <x:c r="C17" s="12" t="str">
        <x:v>DLR-013</x:v>
      </x:c>
      <x:c r="D17" s="12" t="str">
        <x:v>VinFast HTA Ninh Bình</x:v>
      </x:c>
      <x:c r="E17" s="12" t="str">
        <x:v>VinFast</x:v>
      </x:c>
      <x:c r="F17" s="12" t="str">
        <x:v>Corporate/Fleet</x:v>
      </x:c>
      <x:c r="G17" s="12" t="str">
        <x:v>Qualified</x:v>
      </x:c>
      <x:c r="H17" s="34" t="n">
        <x:v>0.3</x:v>
      </x:c>
      <x:c r="I17" s="12" t="n">
        <x:v>1.34</x:v>
      </x:c>
      <x:c r="J17" s="12" t="n">
        <x:v>3</x:v>
      </x:c>
      <x:c r="K17" s="12" t="str">
        <x:v>Sales B</x:v>
      </x:c>
      <x:c r="L17" s="12" t="str">
        <x:v>Priority</x:v>
      </x:c>
    </x:row>
    <x:row r="18">
      <x:c r="A18" s="12" t="str">
        <x:v>LEAD-00017</x:v>
      </x:c>
      <x:c r="B18" s="18" t="n">
        <x:v>46206</x:v>
      </x:c>
      <x:c r="C18" s="12" t="str">
        <x:v>DLR-004</x:v>
      </x:c>
      <x:c r="D18" s="12" t="str">
        <x:v>Việt Trì Ford</x:v>
      </x:c>
      <x:c r="E18" s="12" t="str">
        <x:v>Ford</x:v>
      </x:c>
      <x:c r="F18" s="12" t="str">
        <x:v>Event</x:v>
      </x:c>
      <x:c r="G18" s="12" t="str">
        <x:v>Test Drive</x:v>
      </x:c>
      <x:c r="H18" s="34" t="n">
        <x:v>0.5</x:v>
      </x:c>
      <x:c r="I18" s="12" t="n">
        <x:v>1.24</x:v>
      </x:c>
      <x:c r="J18" s="12" t="n">
        <x:v>19</x:v>
      </x:c>
      <x:c r="K18" s="12" t="str">
        <x:v>Sales A</x:v>
      </x:c>
      <x:c r="L18" s="12" t="str">
        <x:v>Priority</x:v>
      </x:c>
    </x:row>
    <x:row r="19">
      <x:c r="A19" s="12" t="str">
        <x:v>LEAD-00018</x:v>
      </x:c>
      <x:c r="B19" s="18" t="n">
        <x:v>46219</x:v>
      </x:c>
      <x:c r="C19" s="12" t="str">
        <x:v>DLR-015</x:v>
      </x:c>
      <x:c r="D19" s="12" t="str">
        <x:v>VinFast HTA Văn Phú</x:v>
      </x:c>
      <x:c r="E19" s="12" t="str">
        <x:v>VinFast</x:v>
      </x:c>
      <x:c r="F19" s="12" t="str">
        <x:v>Referral</x:v>
      </x:c>
      <x:c r="G19" s="12" t="str">
        <x:v>Qualified</x:v>
      </x:c>
      <x:c r="H19" s="34" t="n">
        <x:v>0.3</x:v>
      </x:c>
      <x:c r="I19" s="12" t="n">
        <x:v>1.14</x:v>
      </x:c>
      <x:c r="J19" s="12" t="n">
        <x:v>6</x:v>
      </x:c>
      <x:c r="K19" s="12" t="str">
        <x:v>Sales A</x:v>
      </x:c>
      <x:c r="L19" s="12" t="str">
        <x:v>Hot</x:v>
      </x:c>
    </x:row>
    <x:row r="20">
      <x:c r="A20" s="12" t="str">
        <x:v>LEAD-00019</x:v>
      </x:c>
      <x:c r="B20" s="18" t="n">
        <x:v>46220</x:v>
      </x:c>
      <x:c r="C20" s="12" t="str">
        <x:v>DLR-011</x:v>
      </x:c>
      <x:c r="D20" s="12" t="str">
        <x:v>VinFast HTA Phạm Văn Đồng</x:v>
      </x:c>
      <x:c r="E20" s="12" t="str">
        <x:v>VinFast</x:v>
      </x:c>
      <x:c r="F20" s="12" t="str">
        <x:v>Referral</x:v>
      </x:c>
      <x:c r="G20" s="12" t="str">
        <x:v>Negotiation</x:v>
      </x:c>
      <x:c r="H20" s="34" t="n">
        <x:v>0.7</x:v>
      </x:c>
      <x:c r="I20" s="12" t="n">
        <x:v>0.88</x:v>
      </x:c>
      <x:c r="J20" s="12" t="n">
        <x:v>5</x:v>
      </x:c>
      <x:c r="K20" s="12" t="str">
        <x:v>Sales B</x:v>
      </x:c>
      <x:c r="L20" s="12" t="str">
        <x:v>Hot</x:v>
      </x:c>
    </x:row>
    <x:row r="21">
      <x:c r="A21" s="12" t="str">
        <x:v>LEAD-00020</x:v>
      </x:c>
      <x:c r="B21" s="18" t="n">
        <x:v>46207</x:v>
      </x:c>
      <x:c r="C21" s="12" t="str">
        <x:v>DLR-018</x:v>
      </x:c>
      <x:c r="D21" s="12" t="str">
        <x:v>OMODA &amp; JAECOO HTA Nam Từ Liêm</x:v>
      </x:c>
      <x:c r="E21" s="12" t="str">
        <x:v>OMODA &amp; JAECOO</x:v>
      </x:c>
      <x:c r="F21" s="12" t="str">
        <x:v>Event</x:v>
      </x:c>
      <x:c r="G21" s="12" t="str">
        <x:v>Order</x:v>
      </x:c>
      <x:c r="H21" s="34" t="n">
        <x:v>0.95</x:v>
      </x:c>
      <x:c r="I21" s="12" t="n">
        <x:v>0.28</x:v>
      </x:c>
      <x:c r="J21" s="12" t="n">
        <x:v>18</x:v>
      </x:c>
      <x:c r="K21" s="12" t="str">
        <x:v>Sales B</x:v>
      </x:c>
      <x:c r="L21" s="12" t="str">
        <x:v>Normal</x:v>
      </x:c>
    </x:row>
    <x:row r="22">
      <x:c r="A22" s="12" t="str">
        <x:v>LEAD-00021</x:v>
      </x:c>
      <x:c r="B22" s="18" t="n">
        <x:v>46222</x:v>
      </x:c>
      <x:c r="C22" s="12" t="str">
        <x:v>DLR-002</x:v>
      </x:c>
      <x:c r="D22" s="12" t="str">
        <x:v>Hà Thành Ford - Mỹ Đình</x:v>
      </x:c>
      <x:c r="E22" s="12" t="str">
        <x:v>Ford</x:v>
      </x:c>
      <x:c r="F22" s="12" t="str">
        <x:v>Event</x:v>
      </x:c>
      <x:c r="G22" s="12" t="str">
        <x:v>Qualified</x:v>
      </x:c>
      <x:c r="H22" s="34" t="n">
        <x:v>0.3</x:v>
      </x:c>
      <x:c r="I22" s="12" t="n">
        <x:v>0.75</x:v>
      </x:c>
      <x:c r="J22" s="12" t="n">
        <x:v>3</x:v>
      </x:c>
      <x:c r="K22" s="12" t="str">
        <x:v>Sales B</x:v>
      </x:c>
      <x:c r="L22" s="12" t="str">
        <x:v>Normal</x:v>
      </x:c>
    </x:row>
    <x:row r="23">
      <x:c r="A23" s="12" t="str">
        <x:v>LEAD-00022</x:v>
      </x:c>
      <x:c r="B23" s="18" t="n">
        <x:v>46212</x:v>
      </x:c>
      <x:c r="C23" s="12" t="str">
        <x:v>DLR-020</x:v>
      </x:c>
      <x:c r="D23" s="12" t="str">
        <x:v>Wuling HTA Long Biên</x:v>
      </x:c>
      <x:c r="E23" s="12" t="str">
        <x:v>Wuling</x:v>
      </x:c>
      <x:c r="F23" s="12" t="str">
        <x:v>Walk-in</x:v>
      </x:c>
      <x:c r="G23" s="12" t="str">
        <x:v>Qualified</x:v>
      </x:c>
      <x:c r="H23" s="34" t="n">
        <x:v>0.3</x:v>
      </x:c>
      <x:c r="I23" s="12" t="n">
        <x:v>1.39</x:v>
      </x:c>
      <x:c r="J23" s="12" t="n">
        <x:v>13</x:v>
      </x:c>
      <x:c r="K23" s="12" t="str">
        <x:v>Sales A</x:v>
      </x:c>
      <x:c r="L23" s="12" t="str">
        <x:v>Hot</x:v>
      </x:c>
    </x:row>
    <x:row r="24">
      <x:c r="A24" s="12" t="str">
        <x:v>LEAD-00023</x:v>
      </x:c>
      <x:c r="B24" s="18" t="n">
        <x:v>46220</x:v>
      </x:c>
      <x:c r="C24" s="12" t="str">
        <x:v>DLR-018</x:v>
      </x:c>
      <x:c r="D24" s="12" t="str">
        <x:v>OMODA &amp; JAECOO HTA Nam Từ Liêm</x:v>
      </x:c>
      <x:c r="E24" s="12" t="str">
        <x:v>OMODA &amp; JAECOO</x:v>
      </x:c>
      <x:c r="F24" s="12" t="str">
        <x:v>Corporate/Fleet</x:v>
      </x:c>
      <x:c r="G24" s="12" t="str">
        <x:v>Qualified</x:v>
      </x:c>
      <x:c r="H24" s="34" t="n">
        <x:v>0.3</x:v>
      </x:c>
      <x:c r="I24" s="12" t="n">
        <x:v>0.44</x:v>
      </x:c>
      <x:c r="J24" s="12" t="n">
        <x:v>5</x:v>
      </x:c>
      <x:c r="K24" s="12" t="str">
        <x:v>Sales B</x:v>
      </x:c>
      <x:c r="L24" s="12" t="str">
        <x:v>Priority</x:v>
      </x:c>
    </x:row>
    <x:row r="25">
      <x:c r="A25" s="12" t="str">
        <x:v>LEAD-00024</x:v>
      </x:c>
      <x:c r="B25" s="18" t="n">
        <x:v>46212</x:v>
      </x:c>
      <x:c r="C25" s="12" t="str">
        <x:v>DLR-019</x:v>
      </x:c>
      <x:c r="D25" s="12" t="str">
        <x:v>OMODA &amp; JAECOO HTA Việt Trì</x:v>
      </x:c>
      <x:c r="E25" s="12" t="str">
        <x:v>OMODA &amp; JAECOO</x:v>
      </x:c>
      <x:c r="F25" s="12" t="str">
        <x:v>Event</x:v>
      </x:c>
      <x:c r="G25" s="12" t="str">
        <x:v>New</x:v>
      </x:c>
      <x:c r="H25" s="34" t="n">
        <x:v>0.08</x:v>
      </x:c>
      <x:c r="I25" s="12" t="n">
        <x:v>0.6</x:v>
      </x:c>
      <x:c r="J25" s="12" t="n">
        <x:v>13</x:v>
      </x:c>
      <x:c r="K25" s="12" t="str">
        <x:v>Sales A</x:v>
      </x:c>
      <x:c r="L25" s="12" t="str">
        <x:v>Normal</x:v>
      </x:c>
    </x:row>
    <x:row r="26">
      <x:c r="A26" s="12" t="str">
        <x:v>LEAD-00025</x:v>
      </x:c>
      <x:c r="B26" s="18" t="n">
        <x:v>46211</x:v>
      </x:c>
      <x:c r="C26" s="12" t="str">
        <x:v>DLR-017</x:v>
      </x:c>
      <x:c r="D26" s="12" t="str">
        <x:v>VinFast Quốc Oai</x:v>
      </x:c>
      <x:c r="E26" s="12" t="str">
        <x:v>VinFast</x:v>
      </x:c>
      <x:c r="F26" s="12" t="str">
        <x:v>Corporate/Fleet</x:v>
      </x:c>
      <x:c r="G26" s="12" t="str">
        <x:v>Contacted</x:v>
      </x:c>
      <x:c r="H26" s="34" t="n">
        <x:v>0.15</x:v>
      </x:c>
      <x:c r="I26" s="12" t="n">
        <x:v>1.14</x:v>
      </x:c>
      <x:c r="J26" s="12" t="n">
        <x:v>14</x:v>
      </x:c>
      <x:c r="K26" s="12" t="str">
        <x:v>Sales B</x:v>
      </x:c>
      <x:c r="L26" s="12" t="str">
        <x:v>Normal</x:v>
      </x:c>
    </x:row>
    <x:row r="27">
      <x:c r="A27" s="12" t="str">
        <x:v>LEAD-00026</x:v>
      </x:c>
      <x:c r="B27" s="18" t="n">
        <x:v>46207</x:v>
      </x:c>
      <x:c r="C27" s="12" t="str">
        <x:v>DLR-008</x:v>
      </x:c>
      <x:c r="D27" s="12" t="str">
        <x:v>VinFast HTA Nguyễn Văn Linh</x:v>
      </x:c>
      <x:c r="E27" s="12" t="str">
        <x:v>VinFast</x:v>
      </x:c>
      <x:c r="F27" s="12" t="str">
        <x:v>Digital</x:v>
      </x:c>
      <x:c r="G27" s="12" t="str">
        <x:v>Order</x:v>
      </x:c>
      <x:c r="H27" s="34" t="n">
        <x:v>0.95</x:v>
      </x:c>
      <x:c r="I27" s="12" t="n">
        <x:v>1.1</x:v>
      </x:c>
      <x:c r="J27" s="12" t="n">
        <x:v>18</x:v>
      </x:c>
      <x:c r="K27" s="12" t="str">
        <x:v>Sales C</x:v>
      </x:c>
      <x:c r="L27" s="12" t="str">
        <x:v>Hot</x:v>
      </x:c>
    </x:row>
    <x:row r="28">
      <x:c r="A28" s="12" t="str">
        <x:v>LEAD-00027</x:v>
      </x:c>
      <x:c r="B28" s="18" t="n">
        <x:v>46222</x:v>
      </x:c>
      <x:c r="C28" s="12" t="str">
        <x:v>DLR-006</x:v>
      </x:c>
      <x:c r="D28" s="12" t="str">
        <x:v>BYD HTA Hoàn Kiếm</x:v>
      </x:c>
      <x:c r="E28" s="12" t="str">
        <x:v>BYD</x:v>
      </x:c>
      <x:c r="F28" s="12" t="str">
        <x:v>Referral</x:v>
      </x:c>
      <x:c r="G28" s="12" t="str">
        <x:v>Contacted</x:v>
      </x:c>
      <x:c r="H28" s="34" t="n">
        <x:v>0.15</x:v>
      </x:c>
      <x:c r="I28" s="12" t="n">
        <x:v>0.43</x:v>
      </x:c>
      <x:c r="J28" s="12" t="n">
        <x:v>3</x:v>
      </x:c>
      <x:c r="K28" s="12" t="str">
        <x:v>Sales C</x:v>
      </x:c>
      <x:c r="L28" s="12" t="str">
        <x:v>Priority</x:v>
      </x:c>
    </x:row>
    <x:row r="29">
      <x:c r="A29" s="12" t="str">
        <x:v>LEAD-00028</x:v>
      </x:c>
      <x:c r="B29" s="18" t="n">
        <x:v>46216</x:v>
      </x:c>
      <x:c r="C29" s="12" t="str">
        <x:v>DLR-005</x:v>
      </x:c>
      <x:c r="D29" s="12" t="str">
        <x:v>BYD HTA Tây Hồ</x:v>
      </x:c>
      <x:c r="E29" s="12" t="str">
        <x:v>BYD</x:v>
      </x:c>
      <x:c r="F29" s="12" t="str">
        <x:v>Referral</x:v>
      </x:c>
      <x:c r="G29" s="12" t="str">
        <x:v>Negotiation</x:v>
      </x:c>
      <x:c r="H29" s="34" t="n">
        <x:v>0.7</x:v>
      </x:c>
      <x:c r="I29" s="12" t="n">
        <x:v>1.38</x:v>
      </x:c>
      <x:c r="J29" s="12" t="n">
        <x:v>9</x:v>
      </x:c>
      <x:c r="K29" s="12" t="str">
        <x:v>Sales D</x:v>
      </x:c>
      <x:c r="L29" s="12" t="str">
        <x:v>Priority</x:v>
      </x:c>
    </x:row>
    <x:row r="30">
      <x:c r="A30" s="12" t="str">
        <x:v>LEAD-00029</x:v>
      </x:c>
      <x:c r="B30" s="18" t="n">
        <x:v>46224</x:v>
      </x:c>
      <x:c r="C30" s="12" t="str">
        <x:v>DLR-007</x:v>
      </x:c>
      <x:c r="D30" s="12" t="str">
        <x:v>BYD Hà Đông</x:v>
      </x:c>
      <x:c r="E30" s="12" t="str">
        <x:v>BYD</x:v>
      </x:c>
      <x:c r="F30" s="12" t="str">
        <x:v>Event</x:v>
      </x:c>
      <x:c r="G30" s="12" t="str">
        <x:v>Qualified</x:v>
      </x:c>
      <x:c r="H30" s="34" t="n">
        <x:v>0.3</x:v>
      </x:c>
      <x:c r="I30" s="12" t="n">
        <x:v>0.29</x:v>
      </x:c>
      <x:c r="J30" s="12" t="n">
        <x:v>1</x:v>
      </x:c>
      <x:c r="K30" s="12" t="str">
        <x:v>Sales C</x:v>
      </x:c>
      <x:c r="L30" s="12" t="str">
        <x:v>Hot</x:v>
      </x:c>
    </x:row>
    <x:row r="31">
      <x:c r="A31" s="12" t="str">
        <x:v>LEAD-00030</x:v>
      </x:c>
      <x:c r="B31" s="18" t="n">
        <x:v>46206</x:v>
      </x:c>
      <x:c r="C31" s="12" t="str">
        <x:v>DLR-017</x:v>
      </x:c>
      <x:c r="D31" s="12" t="str">
        <x:v>VinFast Quốc Oai</x:v>
      </x:c>
      <x:c r="E31" s="12" t="str">
        <x:v>VinFast</x:v>
      </x:c>
      <x:c r="F31" s="12" t="str">
        <x:v>Digital</x:v>
      </x:c>
      <x:c r="G31" s="12" t="str">
        <x:v>Lost</x:v>
      </x:c>
      <x:c r="H31" s="34" t="n">
        <x:v>0</x:v>
      </x:c>
      <x:c r="I31" s="12" t="n">
        <x:v>1.45</x:v>
      </x:c>
      <x:c r="J31" s="12" t="n">
        <x:v>19</x:v>
      </x:c>
      <x:c r="K31" s="12" t="str">
        <x:v>Sales A</x:v>
      </x:c>
      <x:c r="L31" s="12" t="str">
        <x:v>Priority</x:v>
      </x:c>
    </x:row>
    <x:row r="32">
      <x:c r="A32" s="12" t="str">
        <x:v>LEAD-00031</x:v>
      </x:c>
      <x:c r="B32" s="18" t="n">
        <x:v>46222</x:v>
      </x:c>
      <x:c r="C32" s="12" t="str">
        <x:v>DLR-017</x:v>
      </x:c>
      <x:c r="D32" s="12" t="str">
        <x:v>VinFast Quốc Oai</x:v>
      </x:c>
      <x:c r="E32" s="12" t="str">
        <x:v>VinFast</x:v>
      </x:c>
      <x:c r="F32" s="12" t="str">
        <x:v>Corporate/Fleet</x:v>
      </x:c>
      <x:c r="G32" s="12" t="str">
        <x:v>Contacted</x:v>
      </x:c>
      <x:c r="H32" s="34" t="n">
        <x:v>0.15</x:v>
      </x:c>
      <x:c r="I32" s="12" t="n">
        <x:v>0.9</x:v>
      </x:c>
      <x:c r="J32" s="12" t="n">
        <x:v>3</x:v>
      </x:c>
      <x:c r="K32" s="12" t="str">
        <x:v>Sales C</x:v>
      </x:c>
      <x:c r="L32" s="12" t="str">
        <x:v>Normal</x:v>
      </x:c>
    </x:row>
    <x:row r="33">
      <x:c r="A33" s="12" t="str">
        <x:v>LEAD-00032</x:v>
      </x:c>
      <x:c r="B33" s="18" t="n">
        <x:v>46207</x:v>
      </x:c>
      <x:c r="C33" s="12" t="str">
        <x:v>DLR-017</x:v>
      </x:c>
      <x:c r="D33" s="12" t="str">
        <x:v>VinFast Quốc Oai</x:v>
      </x:c>
      <x:c r="E33" s="12" t="str">
        <x:v>VinFast</x:v>
      </x:c>
      <x:c r="F33" s="12" t="str">
        <x:v>Corporate/Fleet</x:v>
      </x:c>
      <x:c r="G33" s="12" t="str">
        <x:v>Contacted</x:v>
      </x:c>
      <x:c r="H33" s="34" t="n">
        <x:v>0.15</x:v>
      </x:c>
      <x:c r="I33" s="12" t="n">
        <x:v>0.75</x:v>
      </x:c>
      <x:c r="J33" s="12" t="n">
        <x:v>18</x:v>
      </x:c>
      <x:c r="K33" s="12" t="str">
        <x:v>Sales D</x:v>
      </x:c>
      <x:c r="L33" s="12" t="str">
        <x:v>Priority</x:v>
      </x:c>
    </x:row>
    <x:row r="34">
      <x:c r="A34" s="12" t="str">
        <x:v>LEAD-00033</x:v>
      </x:c>
      <x:c r="B34" s="18" t="n">
        <x:v>46216</x:v>
      </x:c>
      <x:c r="C34" s="12" t="str">
        <x:v>DLR-004</x:v>
      </x:c>
      <x:c r="D34" s="12" t="str">
        <x:v>Việt Trì Ford</x:v>
      </x:c>
      <x:c r="E34" s="12" t="str">
        <x:v>Ford</x:v>
      </x:c>
      <x:c r="F34" s="12" t="str">
        <x:v>Referral</x:v>
      </x:c>
      <x:c r="G34" s="12" t="str">
        <x:v>New</x:v>
      </x:c>
      <x:c r="H34" s="34" t="n">
        <x:v>0.08</x:v>
      </x:c>
      <x:c r="I34" s="12" t="n">
        <x:v>1.02</x:v>
      </x:c>
      <x:c r="J34" s="12" t="n">
        <x:v>9</x:v>
      </x:c>
      <x:c r="K34" s="12" t="str">
        <x:v>Sales C</x:v>
      </x:c>
      <x:c r="L34" s="12" t="str">
        <x:v>Normal</x:v>
      </x:c>
    </x:row>
    <x:row r="35">
      <x:c r="A35" s="12" t="str">
        <x:v>LEAD-00034</x:v>
      </x:c>
      <x:c r="B35" s="18" t="n">
        <x:v>46205</x:v>
      </x:c>
      <x:c r="C35" s="12" t="str">
        <x:v>DLR-008</x:v>
      </x:c>
      <x:c r="D35" s="12" t="str">
        <x:v>VinFast HTA Nguyễn Văn Linh</x:v>
      </x:c>
      <x:c r="E35" s="12" t="str">
        <x:v>VinFast</x:v>
      </x:c>
      <x:c r="F35" s="12" t="str">
        <x:v>Digital</x:v>
      </x:c>
      <x:c r="G35" s="12" t="str">
        <x:v>Negotiation</x:v>
      </x:c>
      <x:c r="H35" s="34" t="n">
        <x:v>0.7</x:v>
      </x:c>
      <x:c r="I35" s="12" t="n">
        <x:v>1.27</x:v>
      </x:c>
      <x:c r="J35" s="12" t="n">
        <x:v>20</x:v>
      </x:c>
      <x:c r="K35" s="12" t="str">
        <x:v>Sales D</x:v>
      </x:c>
      <x:c r="L35" s="12" t="str">
        <x:v>Priority</x:v>
      </x:c>
    </x:row>
    <x:row r="36">
      <x:c r="A36" s="12" t="str">
        <x:v>LEAD-00035</x:v>
      </x:c>
      <x:c r="B36" s="18" t="n">
        <x:v>46215</x:v>
      </x:c>
      <x:c r="C36" s="12" t="str">
        <x:v>DLR-013</x:v>
      </x:c>
      <x:c r="D36" s="12" t="str">
        <x:v>VinFast HTA Ninh Bình</x:v>
      </x:c>
      <x:c r="E36" s="12" t="str">
        <x:v>VinFast</x:v>
      </x:c>
      <x:c r="F36" s="12" t="str">
        <x:v>Referral</x:v>
      </x:c>
      <x:c r="G36" s="12" t="str">
        <x:v>Test Drive</x:v>
      </x:c>
      <x:c r="H36" s="34" t="n">
        <x:v>0.5</x:v>
      </x:c>
      <x:c r="I36" s="12" t="n">
        <x:v>1.09</x:v>
      </x:c>
      <x:c r="J36" s="12" t="n">
        <x:v>10</x:v>
      </x:c>
      <x:c r="K36" s="12" t="str">
        <x:v>Sales C</x:v>
      </x:c>
      <x:c r="L36" s="12" t="str">
        <x:v>Hot</x:v>
      </x:c>
    </x:row>
    <x:row r="37">
      <x:c r="A37" s="12" t="str">
        <x:v>LEAD-00036</x:v>
      </x:c>
      <x:c r="B37" s="18" t="n">
        <x:v>46216</x:v>
      </x:c>
      <x:c r="C37" s="12" t="str">
        <x:v>DLR-019</x:v>
      </x:c>
      <x:c r="D37" s="12" t="str">
        <x:v>OMODA &amp; JAECOO HTA Việt Trì</x:v>
      </x:c>
      <x:c r="E37" s="12" t="str">
        <x:v>OMODA &amp; JAECOO</x:v>
      </x:c>
      <x:c r="F37" s="12" t="str">
        <x:v>Walk-in</x:v>
      </x:c>
      <x:c r="G37" s="12" t="str">
        <x:v>Test Drive</x:v>
      </x:c>
      <x:c r="H37" s="34" t="n">
        <x:v>0.5</x:v>
      </x:c>
      <x:c r="I37" s="12" t="n">
        <x:v>0.48</x:v>
      </x:c>
      <x:c r="J37" s="12" t="n">
        <x:v>9</x:v>
      </x:c>
      <x:c r="K37" s="12" t="str">
        <x:v>Sales A</x:v>
      </x:c>
      <x:c r="L37" s="12" t="str">
        <x:v>Normal</x:v>
      </x:c>
    </x:row>
    <x:row r="38">
      <x:c r="A38" s="12" t="str">
        <x:v>LEAD-00037</x:v>
      </x:c>
      <x:c r="B38" s="18" t="n">
        <x:v>46221</x:v>
      </x:c>
      <x:c r="C38" s="12" t="str">
        <x:v>DLR-007</x:v>
      </x:c>
      <x:c r="D38" s="12" t="str">
        <x:v>BYD Hà Đông</x:v>
      </x:c>
      <x:c r="E38" s="12" t="str">
        <x:v>BYD</x:v>
      </x:c>
      <x:c r="F38" s="12" t="str">
        <x:v>Corporate/Fleet</x:v>
      </x:c>
      <x:c r="G38" s="12" t="str">
        <x:v>Qualified</x:v>
      </x:c>
      <x:c r="H38" s="34" t="n">
        <x:v>0.3</x:v>
      </x:c>
      <x:c r="I38" s="12" t="n">
        <x:v>0.25</x:v>
      </x:c>
      <x:c r="J38" s="12" t="n">
        <x:v>4</x:v>
      </x:c>
      <x:c r="K38" s="12" t="str">
        <x:v>Sales D</x:v>
      </x:c>
      <x:c r="L38" s="12" t="str">
        <x:v>Hot</x:v>
      </x:c>
    </x:row>
    <x:row r="39">
      <x:c r="A39" s="12" t="str">
        <x:v>LEAD-00038</x:v>
      </x:c>
      <x:c r="B39" s="18" t="n">
        <x:v>46206</x:v>
      </x:c>
      <x:c r="C39" s="12" t="str">
        <x:v>DLR-014</x:v>
      </x:c>
      <x:c r="D39" s="12" t="str">
        <x:v>VinFast HTA Nam Từ Liêm</x:v>
      </x:c>
      <x:c r="E39" s="12" t="str">
        <x:v>VinFast</x:v>
      </x:c>
      <x:c r="F39" s="12" t="str">
        <x:v>Referral</x:v>
      </x:c>
      <x:c r="G39" s="12" t="str">
        <x:v>Lost</x:v>
      </x:c>
      <x:c r="H39" s="34" t="n">
        <x:v>0</x:v>
      </x:c>
      <x:c r="I39" s="12" t="n">
        <x:v>1.15</x:v>
      </x:c>
      <x:c r="J39" s="12" t="n">
        <x:v>19</x:v>
      </x:c>
      <x:c r="K39" s="12" t="str">
        <x:v>Sales A</x:v>
      </x:c>
      <x:c r="L39" s="12" t="str">
        <x:v>Normal</x:v>
      </x:c>
    </x:row>
    <x:row r="40">
      <x:c r="A40" s="12" t="str">
        <x:v>LEAD-00039</x:v>
      </x:c>
      <x:c r="B40" s="18" t="n">
        <x:v>46212</x:v>
      </x:c>
      <x:c r="C40" s="12" t="str">
        <x:v>DLR-013</x:v>
      </x:c>
      <x:c r="D40" s="12" t="str">
        <x:v>VinFast HTA Ninh Bình</x:v>
      </x:c>
      <x:c r="E40" s="12" t="str">
        <x:v>VinFast</x:v>
      </x:c>
      <x:c r="F40" s="12" t="str">
        <x:v>Walk-in</x:v>
      </x:c>
      <x:c r="G40" s="12" t="str">
        <x:v>Order</x:v>
      </x:c>
      <x:c r="H40" s="34" t="n">
        <x:v>0.95</x:v>
      </x:c>
      <x:c r="I40" s="12" t="n">
        <x:v>1.18</x:v>
      </x:c>
      <x:c r="J40" s="12" t="n">
        <x:v>13</x:v>
      </x:c>
      <x:c r="K40" s="12" t="str">
        <x:v>Sales B</x:v>
      </x:c>
      <x:c r="L40" s="12" t="str">
        <x:v>Hot</x:v>
      </x:c>
    </x:row>
    <x:row r="41">
      <x:c r="A41" s="12" t="str">
        <x:v>LEAD-00040</x:v>
      </x:c>
      <x:c r="B41" s="18" t="n">
        <x:v>46206</x:v>
      </x:c>
      <x:c r="C41" s="12" t="str">
        <x:v>DLR-011</x:v>
      </x:c>
      <x:c r="D41" s="12" t="str">
        <x:v>VinFast HTA Phạm Văn Đồng</x:v>
      </x:c>
      <x:c r="E41" s="12" t="str">
        <x:v>VinFast</x:v>
      </x:c>
      <x:c r="F41" s="12" t="str">
        <x:v>Referral</x:v>
      </x:c>
      <x:c r="G41" s="12" t="str">
        <x:v>Test Drive</x:v>
      </x:c>
      <x:c r="H41" s="34" t="n">
        <x:v>0.5</x:v>
      </x:c>
      <x:c r="I41" s="12" t="n">
        <x:v>0.61</x:v>
      </x:c>
      <x:c r="J41" s="12" t="n">
        <x:v>19</x:v>
      </x:c>
      <x:c r="K41" s="12" t="str">
        <x:v>Sales D</x:v>
      </x:c>
      <x:c r="L41" s="12" t="str">
        <x:v>Normal</x:v>
      </x:c>
    </x:row>
    <x:row r="42">
      <x:c r="A42" s="12" t="str">
        <x:v>LEAD-00041</x:v>
      </x:c>
      <x:c r="B42" s="18" t="n">
        <x:v>46212</x:v>
      </x:c>
      <x:c r="C42" s="12" t="str">
        <x:v>DLR-010</x:v>
      </x:c>
      <x:c r="D42" s="12" t="str">
        <x:v>VinFast HTA Đàm Quang Trung</x:v>
      </x:c>
      <x:c r="E42" s="12" t="str">
        <x:v>VinFast</x:v>
      </x:c>
      <x:c r="F42" s="12" t="str">
        <x:v>Corporate/Fleet</x:v>
      </x:c>
      <x:c r="G42" s="12" t="str">
        <x:v>Negotiation</x:v>
      </x:c>
      <x:c r="H42" s="34" t="n">
        <x:v>0.7</x:v>
      </x:c>
      <x:c r="I42" s="12" t="n">
        <x:v>0.49</x:v>
      </x:c>
      <x:c r="J42" s="12" t="n">
        <x:v>13</x:v>
      </x:c>
      <x:c r="K42" s="12" t="str">
        <x:v>Sales D</x:v>
      </x:c>
      <x:c r="L42" s="12" t="str">
        <x:v>Priority</x:v>
      </x:c>
    </x:row>
    <x:row r="43">
      <x:c r="A43" s="12" t="str">
        <x:v>LEAD-00042</x:v>
      </x:c>
      <x:c r="B43" s="18" t="n">
        <x:v>46212</x:v>
      </x:c>
      <x:c r="C43" s="12" t="str">
        <x:v>DLR-008</x:v>
      </x:c>
      <x:c r="D43" s="12" t="str">
        <x:v>VinFast HTA Nguyễn Văn Linh</x:v>
      </x:c>
      <x:c r="E43" s="12" t="str">
        <x:v>VinFast</x:v>
      </x:c>
      <x:c r="F43" s="12" t="str">
        <x:v>Event</x:v>
      </x:c>
      <x:c r="G43" s="12" t="str">
        <x:v>Qualified</x:v>
      </x:c>
      <x:c r="H43" s="34" t="n">
        <x:v>0.3</x:v>
      </x:c>
      <x:c r="I43" s="12" t="n">
        <x:v>0.68</x:v>
      </x:c>
      <x:c r="J43" s="12" t="n">
        <x:v>13</x:v>
      </x:c>
      <x:c r="K43" s="12" t="str">
        <x:v>Sales C</x:v>
      </x:c>
      <x:c r="L43" s="12" t="str">
        <x:v>Normal</x:v>
      </x:c>
    </x:row>
    <x:row r="44">
      <x:c r="A44" s="12" t="str">
        <x:v>LEAD-00043</x:v>
      </x:c>
      <x:c r="B44" s="18" t="n">
        <x:v>46211</x:v>
      </x:c>
      <x:c r="C44" s="12" t="str">
        <x:v>DLR-012</x:v>
      </x:c>
      <x:c r="D44" s="12" t="str">
        <x:v>VinFast HTA Võ Chí Công</x:v>
      </x:c>
      <x:c r="E44" s="12" t="str">
        <x:v>VinFast</x:v>
      </x:c>
      <x:c r="F44" s="12" t="str">
        <x:v>Event</x:v>
      </x:c>
      <x:c r="G44" s="12" t="str">
        <x:v>Order</x:v>
      </x:c>
      <x:c r="H44" s="34" t="n">
        <x:v>0.95</x:v>
      </x:c>
      <x:c r="I44" s="12" t="n">
        <x:v>0.43</x:v>
      </x:c>
      <x:c r="J44" s="12" t="n">
        <x:v>14</x:v>
      </x:c>
      <x:c r="K44" s="12" t="str">
        <x:v>Sales C</x:v>
      </x:c>
      <x:c r="L44" s="12" t="str">
        <x:v>Hot</x:v>
      </x:c>
    </x:row>
    <x:row r="45">
      <x:c r="A45" s="12" t="str">
        <x:v>LEAD-00044</x:v>
      </x:c>
      <x:c r="B45" s="18" t="n">
        <x:v>46223</x:v>
      </x:c>
      <x:c r="C45" s="12" t="str">
        <x:v>DLR-004</x:v>
      </x:c>
      <x:c r="D45" s="12" t="str">
        <x:v>Việt Trì Ford</x:v>
      </x:c>
      <x:c r="E45" s="12" t="str">
        <x:v>Ford</x:v>
      </x:c>
      <x:c r="F45" s="12" t="str">
        <x:v>Corporate/Fleet</x:v>
      </x:c>
      <x:c r="G45" s="12" t="str">
        <x:v>Order</x:v>
      </x:c>
      <x:c r="H45" s="34" t="n">
        <x:v>0.95</x:v>
      </x:c>
      <x:c r="I45" s="12" t="n">
        <x:v>1.18</x:v>
      </x:c>
      <x:c r="J45" s="12" t="n">
        <x:v>2</x:v>
      </x:c>
      <x:c r="K45" s="12" t="str">
        <x:v>Sales C</x:v>
      </x:c>
      <x:c r="L45" s="12" t="str">
        <x:v>Priority</x:v>
      </x:c>
    </x:row>
    <x:row r="46">
      <x:c r="A46" s="12" t="str">
        <x:v>LEAD-00045</x:v>
      </x:c>
      <x:c r="B46" s="18" t="n">
        <x:v>46221</x:v>
      </x:c>
      <x:c r="C46" s="12" t="str">
        <x:v>DLR-009</x:v>
      </x:c>
      <x:c r="D46" s="12" t="str">
        <x:v>VinFast HTA Đông Anh</x:v>
      </x:c>
      <x:c r="E46" s="12" t="str">
        <x:v>VinFast</x:v>
      </x:c>
      <x:c r="F46" s="12" t="str">
        <x:v>Digital</x:v>
      </x:c>
      <x:c r="G46" s="12" t="str">
        <x:v>New</x:v>
      </x:c>
      <x:c r="H46" s="34" t="n">
        <x:v>0.08</x:v>
      </x:c>
      <x:c r="I46" s="12" t="n">
        <x:v>0.5</x:v>
      </x:c>
      <x:c r="J46" s="12" t="n">
        <x:v>4</x:v>
      </x:c>
      <x:c r="K46" s="12" t="str">
        <x:v>Sales B</x:v>
      </x:c>
      <x:c r="L46" s="12" t="str">
        <x:v>Priority</x:v>
      </x:c>
    </x:row>
    <x:row r="47">
      <x:c r="A47" s="12" t="str">
        <x:v>LEAD-00046</x:v>
      </x:c>
      <x:c r="B47" s="18" t="n">
        <x:v>46205</x:v>
      </x:c>
      <x:c r="C47" s="12" t="str">
        <x:v>DLR-020</x:v>
      </x:c>
      <x:c r="D47" s="12" t="str">
        <x:v>Wuling HTA Long Biên</x:v>
      </x:c>
      <x:c r="E47" s="12" t="str">
        <x:v>Wuling</x:v>
      </x:c>
      <x:c r="F47" s="12" t="str">
        <x:v>Walk-in</x:v>
      </x:c>
      <x:c r="G47" s="12" t="str">
        <x:v>Order</x:v>
      </x:c>
      <x:c r="H47" s="34" t="n">
        <x:v>0.95</x:v>
      </x:c>
      <x:c r="I47" s="12" t="n">
        <x:v>0.62</x:v>
      </x:c>
      <x:c r="J47" s="12" t="n">
        <x:v>20</x:v>
      </x:c>
      <x:c r="K47" s="12" t="str">
        <x:v>Sales B</x:v>
      </x:c>
      <x:c r="L47" s="12" t="str">
        <x:v>Normal</x:v>
      </x:c>
    </x:row>
    <x:row r="48">
      <x:c r="A48" s="12" t="str">
        <x:v>LEAD-00047</x:v>
      </x:c>
      <x:c r="B48" s="18" t="n">
        <x:v>46214</x:v>
      </x:c>
      <x:c r="C48" s="12" t="str">
        <x:v>DLR-009</x:v>
      </x:c>
      <x:c r="D48" s="12" t="str">
        <x:v>VinFast HTA Đông Anh</x:v>
      </x:c>
      <x:c r="E48" s="12" t="str">
        <x:v>VinFast</x:v>
      </x:c>
      <x:c r="F48" s="12" t="str">
        <x:v>Event</x:v>
      </x:c>
      <x:c r="G48" s="12" t="str">
        <x:v>Order</x:v>
      </x:c>
      <x:c r="H48" s="34" t="n">
        <x:v>0.95</x:v>
      </x:c>
      <x:c r="I48" s="12" t="n">
        <x:v>0.36</x:v>
      </x:c>
      <x:c r="J48" s="12" t="n">
        <x:v>11</x:v>
      </x:c>
      <x:c r="K48" s="12" t="str">
        <x:v>Sales C</x:v>
      </x:c>
      <x:c r="L48" s="12" t="str">
        <x:v>Normal</x:v>
      </x:c>
    </x:row>
    <x:row r="49">
      <x:c r="A49" s="12" t="str">
        <x:v>LEAD-00048</x:v>
      </x:c>
      <x:c r="B49" s="18" t="n">
        <x:v>46217</x:v>
      </x:c>
      <x:c r="C49" s="12" t="str">
        <x:v>DLR-019</x:v>
      </x:c>
      <x:c r="D49" s="12" t="str">
        <x:v>OMODA &amp; JAECOO HTA Việt Trì</x:v>
      </x:c>
      <x:c r="E49" s="12" t="str">
        <x:v>OMODA &amp; JAECOO</x:v>
      </x:c>
      <x:c r="F49" s="12" t="str">
        <x:v>Corporate/Fleet</x:v>
      </x:c>
      <x:c r="G49" s="12" t="str">
        <x:v>Contacted</x:v>
      </x:c>
      <x:c r="H49" s="34" t="n">
        <x:v>0.15</x:v>
      </x:c>
      <x:c r="I49" s="12" t="n">
        <x:v>0.68</x:v>
      </x:c>
      <x:c r="J49" s="12" t="n">
        <x:v>8</x:v>
      </x:c>
      <x:c r="K49" s="12" t="str">
        <x:v>Sales D</x:v>
      </x:c>
      <x:c r="L49" s="12" t="str">
        <x:v>Hot</x:v>
      </x:c>
    </x:row>
    <x:row r="50">
      <x:c r="A50" s="12" t="str">
        <x:v>LEAD-00049</x:v>
      </x:c>
      <x:c r="B50" s="18" t="n">
        <x:v>46211</x:v>
      </x:c>
      <x:c r="C50" s="12" t="str">
        <x:v>DLR-008</x:v>
      </x:c>
      <x:c r="D50" s="12" t="str">
        <x:v>VinFast HTA Nguyễn Văn Linh</x:v>
      </x:c>
      <x:c r="E50" s="12" t="str">
        <x:v>VinFast</x:v>
      </x:c>
      <x:c r="F50" s="12" t="str">
        <x:v>Event</x:v>
      </x:c>
      <x:c r="G50" s="12" t="str">
        <x:v>New</x:v>
      </x:c>
      <x:c r="H50" s="34" t="n">
        <x:v>0.08</x:v>
      </x:c>
      <x:c r="I50" s="12" t="n">
        <x:v>0.8</x:v>
      </x:c>
      <x:c r="J50" s="12" t="n">
        <x:v>14</x:v>
      </x:c>
      <x:c r="K50" s="12" t="str">
        <x:v>Sales A</x:v>
      </x:c>
      <x:c r="L50" s="12" t="str">
        <x:v>Normal</x:v>
      </x:c>
    </x:row>
    <x:row r="51">
      <x:c r="A51" s="12" t="str">
        <x:v>LEAD-00050</x:v>
      </x:c>
      <x:c r="B51" s="18" t="n">
        <x:v>46221</x:v>
      </x:c>
      <x:c r="C51" s="12" t="str">
        <x:v>DLR-012</x:v>
      </x:c>
      <x:c r="D51" s="12" t="str">
        <x:v>VinFast HTA Võ Chí Công</x:v>
      </x:c>
      <x:c r="E51" s="12" t="str">
        <x:v>VinFast</x:v>
      </x:c>
      <x:c r="F51" s="12" t="str">
        <x:v>Referral</x:v>
      </x:c>
      <x:c r="G51" s="12" t="str">
        <x:v>Qualified</x:v>
      </x:c>
      <x:c r="H51" s="34" t="n">
        <x:v>0.3</x:v>
      </x:c>
      <x:c r="I51" s="12" t="n">
        <x:v>1.05</x:v>
      </x:c>
      <x:c r="J51" s="12" t="n">
        <x:v>4</x:v>
      </x:c>
      <x:c r="K51" s="12" t="str">
        <x:v>Sales D</x:v>
      </x:c>
      <x:c r="L51" s="12" t="str">
        <x:v>Hot</x:v>
      </x:c>
    </x:row>
    <x:row r="52">
      <x:c r="A52" s="12" t="str">
        <x:v>LEAD-00051</x:v>
      </x:c>
      <x:c r="B52" s="18" t="n">
        <x:v>46225</x:v>
      </x:c>
      <x:c r="C52" s="12" t="str">
        <x:v>DLR-019</x:v>
      </x:c>
      <x:c r="D52" s="12" t="str">
        <x:v>OMODA &amp; JAECOO HTA Việt Trì</x:v>
      </x:c>
      <x:c r="E52" s="12" t="str">
        <x:v>OMODA &amp; JAECOO</x:v>
      </x:c>
      <x:c r="F52" s="12" t="str">
        <x:v>Digital</x:v>
      </x:c>
      <x:c r="G52" s="12" t="str">
        <x:v>Lost</x:v>
      </x:c>
      <x:c r="H52" s="34" t="n">
        <x:v>0</x:v>
      </x:c>
      <x:c r="I52" s="12" t="n">
        <x:v>0.85</x:v>
      </x:c>
      <x:c r="J52" s="12" t="n">
        <x:v>0</x:v>
      </x:c>
      <x:c r="K52" s="12" t="str">
        <x:v>Sales C</x:v>
      </x:c>
      <x:c r="L52" s="12" t="str">
        <x:v>Normal</x:v>
      </x:c>
    </x:row>
    <x:row r="53">
      <x:c r="A53" s="12" t="str">
        <x:v>LEAD-00052</x:v>
      </x:c>
      <x:c r="B53" s="18" t="n">
        <x:v>46222</x:v>
      </x:c>
      <x:c r="C53" s="12" t="str">
        <x:v>DLR-016</x:v>
      </x:c>
      <x:c r="D53" s="12" t="str">
        <x:v>VinFast HTA Mỹ Đình</x:v>
      </x:c>
      <x:c r="E53" s="12" t="str">
        <x:v>VinFast</x:v>
      </x:c>
      <x:c r="F53" s="12" t="str">
        <x:v>Event</x:v>
      </x:c>
      <x:c r="G53" s="12" t="str">
        <x:v>Negotiation</x:v>
      </x:c>
      <x:c r="H53" s="34" t="n">
        <x:v>0.7</x:v>
      </x:c>
      <x:c r="I53" s="12" t="n">
        <x:v>0.48</x:v>
      </x:c>
      <x:c r="J53" s="12" t="n">
        <x:v>3</x:v>
      </x:c>
      <x:c r="K53" s="12" t="str">
        <x:v>Sales C</x:v>
      </x:c>
      <x:c r="L53" s="12" t="str">
        <x:v>Hot</x:v>
      </x:c>
    </x:row>
    <x:row r="54">
      <x:c r="A54" s="12" t="str">
        <x:v>LEAD-00053</x:v>
      </x:c>
      <x:c r="B54" s="18" t="n">
        <x:v>46216</x:v>
      </x:c>
      <x:c r="C54" s="12" t="str">
        <x:v>DLR-013</x:v>
      </x:c>
      <x:c r="D54" s="12" t="str">
        <x:v>VinFast HTA Ninh Bình</x:v>
      </x:c>
      <x:c r="E54" s="12" t="str">
        <x:v>VinFast</x:v>
      </x:c>
      <x:c r="F54" s="12" t="str">
        <x:v>Walk-in</x:v>
      </x:c>
      <x:c r="G54" s="12" t="str">
        <x:v>Lost</x:v>
      </x:c>
      <x:c r="H54" s="34" t="n">
        <x:v>0</x:v>
      </x:c>
      <x:c r="I54" s="12" t="n">
        <x:v>0.75</x:v>
      </x:c>
      <x:c r="J54" s="12" t="n">
        <x:v>9</x:v>
      </x:c>
      <x:c r="K54" s="12" t="str">
        <x:v>Sales D</x:v>
      </x:c>
      <x:c r="L54" s="12" t="str">
        <x:v>Normal</x:v>
      </x:c>
    </x:row>
    <x:row r="55">
      <x:c r="A55" s="12" t="str">
        <x:v>LEAD-00054</x:v>
      </x:c>
      <x:c r="B55" s="18" t="n">
        <x:v>46218</x:v>
      </x:c>
      <x:c r="C55" s="12" t="str">
        <x:v>DLR-009</x:v>
      </x:c>
      <x:c r="D55" s="12" t="str">
        <x:v>VinFast HTA Đông Anh</x:v>
      </x:c>
      <x:c r="E55" s="12" t="str">
        <x:v>VinFast</x:v>
      </x:c>
      <x:c r="F55" s="12" t="str">
        <x:v>Walk-in</x:v>
      </x:c>
      <x:c r="G55" s="12" t="str">
        <x:v>Lost</x:v>
      </x:c>
      <x:c r="H55" s="34" t="n">
        <x:v>0</x:v>
      </x:c>
      <x:c r="I55" s="12" t="n">
        <x:v>0.5</x:v>
      </x:c>
      <x:c r="J55" s="12" t="n">
        <x:v>7</x:v>
      </x:c>
      <x:c r="K55" s="12" t="str">
        <x:v>Sales A</x:v>
      </x:c>
      <x:c r="L55" s="12" t="str">
        <x:v>Priority</x:v>
      </x:c>
    </x:row>
    <x:row r="56">
      <x:c r="A56" s="12" t="str">
        <x:v>LEAD-00055</x:v>
      </x:c>
      <x:c r="B56" s="18" t="n">
        <x:v>46211</x:v>
      </x:c>
      <x:c r="C56" s="12" t="str">
        <x:v>DLR-011</x:v>
      </x:c>
      <x:c r="D56" s="12" t="str">
        <x:v>VinFast HTA Phạm Văn Đồng</x:v>
      </x:c>
      <x:c r="E56" s="12" t="str">
        <x:v>VinFast</x:v>
      </x:c>
      <x:c r="F56" s="12" t="str">
        <x:v>Event</x:v>
      </x:c>
      <x:c r="G56" s="12" t="str">
        <x:v>Contacted</x:v>
      </x:c>
      <x:c r="H56" s="34" t="n">
        <x:v>0.15</x:v>
      </x:c>
      <x:c r="I56" s="12" t="n">
        <x:v>1.47</x:v>
      </x:c>
      <x:c r="J56" s="12" t="n">
        <x:v>14</x:v>
      </x:c>
      <x:c r="K56" s="12" t="str">
        <x:v>Sales C</x:v>
      </x:c>
      <x:c r="L56" s="12" t="str">
        <x:v>Normal</x:v>
      </x:c>
    </x:row>
    <x:row r="57">
      <x:c r="A57" s="12" t="str">
        <x:v>LEAD-00056</x:v>
      </x:c>
      <x:c r="B57" s="18" t="n">
        <x:v>46221</x:v>
      </x:c>
      <x:c r="C57" s="12" t="str">
        <x:v>DLR-010</x:v>
      </x:c>
      <x:c r="D57" s="12" t="str">
        <x:v>VinFast HTA Đàm Quang Trung</x:v>
      </x:c>
      <x:c r="E57" s="12" t="str">
        <x:v>VinFast</x:v>
      </x:c>
      <x:c r="F57" s="12" t="str">
        <x:v>Event</x:v>
      </x:c>
      <x:c r="G57" s="12" t="str">
        <x:v>Test Drive</x:v>
      </x:c>
      <x:c r="H57" s="34" t="n">
        <x:v>0.5</x:v>
      </x:c>
      <x:c r="I57" s="12" t="n">
        <x:v>0.93</x:v>
      </x:c>
      <x:c r="J57" s="12" t="n">
        <x:v>4</x:v>
      </x:c>
      <x:c r="K57" s="12" t="str">
        <x:v>Sales C</x:v>
      </x:c>
      <x:c r="L57" s="12" t="str">
        <x:v>Normal</x:v>
      </x:c>
    </x:row>
    <x:row r="58">
      <x:c r="A58" s="12" t="str">
        <x:v>LEAD-00057</x:v>
      </x:c>
      <x:c r="B58" s="18" t="n">
        <x:v>46217</x:v>
      </x:c>
      <x:c r="C58" s="12" t="str">
        <x:v>DLR-006</x:v>
      </x:c>
      <x:c r="D58" s="12" t="str">
        <x:v>BYD HTA Hoàn Kiếm</x:v>
      </x:c>
      <x:c r="E58" s="12" t="str">
        <x:v>BYD</x:v>
      </x:c>
      <x:c r="F58" s="12" t="str">
        <x:v>Referral</x:v>
      </x:c>
      <x:c r="G58" s="12" t="str">
        <x:v>Contacted</x:v>
      </x:c>
      <x:c r="H58" s="34" t="n">
        <x:v>0.15</x:v>
      </x:c>
      <x:c r="I58" s="12" t="n">
        <x:v>1.48</x:v>
      </x:c>
      <x:c r="J58" s="12" t="n">
        <x:v>8</x:v>
      </x:c>
      <x:c r="K58" s="12" t="str">
        <x:v>Sales C</x:v>
      </x:c>
      <x:c r="L58" s="12" t="str">
        <x:v>Normal</x:v>
      </x:c>
    </x:row>
    <x:row r="59">
      <x:c r="A59" s="12" t="str">
        <x:v>LEAD-00058</x:v>
      </x:c>
      <x:c r="B59" s="18" t="n">
        <x:v>46204</x:v>
      </x:c>
      <x:c r="C59" s="12" t="str">
        <x:v>DLR-012</x:v>
      </x:c>
      <x:c r="D59" s="12" t="str">
        <x:v>VinFast HTA Võ Chí Công</x:v>
      </x:c>
      <x:c r="E59" s="12" t="str">
        <x:v>VinFast</x:v>
      </x:c>
      <x:c r="F59" s="12" t="str">
        <x:v>Walk-in</x:v>
      </x:c>
      <x:c r="G59" s="12" t="str">
        <x:v>Negotiation</x:v>
      </x:c>
      <x:c r="H59" s="34" t="n">
        <x:v>0.7</x:v>
      </x:c>
      <x:c r="I59" s="12" t="n">
        <x:v>1.29</x:v>
      </x:c>
      <x:c r="J59" s="12" t="n">
        <x:v>21</x:v>
      </x:c>
      <x:c r="K59" s="12" t="str">
        <x:v>Sales B</x:v>
      </x:c>
      <x:c r="L59" s="12" t="str">
        <x:v>Priority</x:v>
      </x:c>
    </x:row>
    <x:row r="60">
      <x:c r="A60" s="12" t="str">
        <x:v>LEAD-00059</x:v>
      </x:c>
      <x:c r="B60" s="18" t="n">
        <x:v>46209</x:v>
      </x:c>
      <x:c r="C60" s="12" t="str">
        <x:v>DLR-015</x:v>
      </x:c>
      <x:c r="D60" s="12" t="str">
        <x:v>VinFast HTA Văn Phú</x:v>
      </x:c>
      <x:c r="E60" s="12" t="str">
        <x:v>VinFast</x:v>
      </x:c>
      <x:c r="F60" s="12" t="str">
        <x:v>Corporate/Fleet</x:v>
      </x:c>
      <x:c r="G60" s="12" t="str">
        <x:v>Negotiation</x:v>
      </x:c>
      <x:c r="H60" s="34" t="n">
        <x:v>0.7</x:v>
      </x:c>
      <x:c r="I60" s="12" t="n">
        <x:v>0.43</x:v>
      </x:c>
      <x:c r="J60" s="12" t="n">
        <x:v>16</x:v>
      </x:c>
      <x:c r="K60" s="12" t="str">
        <x:v>Sales D</x:v>
      </x:c>
      <x:c r="L60" s="12" t="str">
        <x:v>Priority</x:v>
      </x:c>
    </x:row>
    <x:row r="61">
      <x:c r="A61" s="12" t="str">
        <x:v>LEAD-00060</x:v>
      </x:c>
      <x:c r="B61" s="18" t="n">
        <x:v>46207</x:v>
      </x:c>
      <x:c r="C61" s="12" t="str">
        <x:v>DLR-011</x:v>
      </x:c>
      <x:c r="D61" s="12" t="str">
        <x:v>VinFast HTA Phạm Văn Đồng</x:v>
      </x:c>
      <x:c r="E61" s="12" t="str">
        <x:v>VinFast</x:v>
      </x:c>
      <x:c r="F61" s="12" t="str">
        <x:v>Corporate/Fleet</x:v>
      </x:c>
      <x:c r="G61" s="12" t="str">
        <x:v>Test Drive</x:v>
      </x:c>
      <x:c r="H61" s="34" t="n">
        <x:v>0.5</x:v>
      </x:c>
      <x:c r="I61" s="12" t="n">
        <x:v>1.44</x:v>
      </x:c>
      <x:c r="J61" s="12" t="n">
        <x:v>18</x:v>
      </x:c>
      <x:c r="K61" s="12" t="str">
        <x:v>Sales A</x:v>
      </x:c>
      <x:c r="L61" s="12" t="str">
        <x:v>Priority</x:v>
      </x:c>
    </x:row>
    <x:row r="62">
      <x:c r="A62" s="12" t="str">
        <x:v>LEAD-00061</x:v>
      </x:c>
      <x:c r="B62" s="18" t="n">
        <x:v>46208</x:v>
      </x:c>
      <x:c r="C62" s="12" t="str">
        <x:v>DLR-017</x:v>
      </x:c>
      <x:c r="D62" s="12" t="str">
        <x:v>VinFast Quốc Oai</x:v>
      </x:c>
      <x:c r="E62" s="12" t="str">
        <x:v>VinFast</x:v>
      </x:c>
      <x:c r="F62" s="12" t="str">
        <x:v>Digital</x:v>
      </x:c>
      <x:c r="G62" s="12" t="str">
        <x:v>Qualified</x:v>
      </x:c>
      <x:c r="H62" s="34" t="n">
        <x:v>0.3</x:v>
      </x:c>
      <x:c r="I62" s="12" t="n">
        <x:v>0.5</x:v>
      </x:c>
      <x:c r="J62" s="12" t="n">
        <x:v>17</x:v>
      </x:c>
      <x:c r="K62" s="12" t="str">
        <x:v>Sales D</x:v>
      </x:c>
      <x:c r="L62" s="12" t="str">
        <x:v>Priority</x:v>
      </x:c>
    </x:row>
    <x:row r="63">
      <x:c r="A63" s="12" t="str">
        <x:v>LEAD-00062</x:v>
      </x:c>
      <x:c r="B63" s="18" t="n">
        <x:v>46218</x:v>
      </x:c>
      <x:c r="C63" s="12" t="str">
        <x:v>DLR-020</x:v>
      </x:c>
      <x:c r="D63" s="12" t="str">
        <x:v>Wuling HTA Long Biên</x:v>
      </x:c>
      <x:c r="E63" s="12" t="str">
        <x:v>Wuling</x:v>
      </x:c>
      <x:c r="F63" s="12" t="str">
        <x:v>Referral</x:v>
      </x:c>
      <x:c r="G63" s="12" t="str">
        <x:v>Order</x:v>
      </x:c>
      <x:c r="H63" s="34" t="n">
        <x:v>0.95</x:v>
      </x:c>
      <x:c r="I63" s="12" t="n">
        <x:v>1.42</x:v>
      </x:c>
      <x:c r="J63" s="12" t="n">
        <x:v>7</x:v>
      </x:c>
      <x:c r="K63" s="12" t="str">
        <x:v>Sales D</x:v>
      </x:c>
      <x:c r="L63" s="12" t="str">
        <x:v>Hot</x:v>
      </x:c>
    </x:row>
    <x:row r="64">
      <x:c r="A64" s="12" t="str">
        <x:v>LEAD-00063</x:v>
      </x:c>
      <x:c r="B64" s="18" t="n">
        <x:v>46220</x:v>
      </x:c>
      <x:c r="C64" s="12" t="str">
        <x:v>DLR-019</x:v>
      </x:c>
      <x:c r="D64" s="12" t="str">
        <x:v>OMODA &amp; JAECOO HTA Việt Trì</x:v>
      </x:c>
      <x:c r="E64" s="12" t="str">
        <x:v>OMODA &amp; JAECOO</x:v>
      </x:c>
      <x:c r="F64" s="12" t="str">
        <x:v>Digital</x:v>
      </x:c>
      <x:c r="G64" s="12" t="str">
        <x:v>Qualified</x:v>
      </x:c>
      <x:c r="H64" s="34" t="n">
        <x:v>0.3</x:v>
      </x:c>
      <x:c r="I64" s="12" t="n">
        <x:v>0.72</x:v>
      </x:c>
      <x:c r="J64" s="12" t="n">
        <x:v>5</x:v>
      </x:c>
      <x:c r="K64" s="12" t="str">
        <x:v>Sales B</x:v>
      </x:c>
      <x:c r="L64" s="12" t="str">
        <x:v>Hot</x:v>
      </x:c>
    </x:row>
    <x:row r="65">
      <x:c r="A65" s="12" t="str">
        <x:v>LEAD-00064</x:v>
      </x:c>
      <x:c r="B65" s="18" t="n">
        <x:v>46220</x:v>
      </x:c>
      <x:c r="C65" s="12" t="str">
        <x:v>DLR-003</x:v>
      </x:c>
      <x:c r="D65" s="12" t="str">
        <x:v>Mỹ Đình Ford</x:v>
      </x:c>
      <x:c r="E65" s="12" t="str">
        <x:v>Ford</x:v>
      </x:c>
      <x:c r="F65" s="12" t="str">
        <x:v>Digital</x:v>
      </x:c>
      <x:c r="G65" s="12" t="str">
        <x:v>Negotiation</x:v>
      </x:c>
      <x:c r="H65" s="34" t="n">
        <x:v>0.7</x:v>
      </x:c>
      <x:c r="I65" s="12" t="n">
        <x:v>0.5</x:v>
      </x:c>
      <x:c r="J65" s="12" t="n">
        <x:v>5</x:v>
      </x:c>
      <x:c r="K65" s="12" t="str">
        <x:v>Sales C</x:v>
      </x:c>
      <x:c r="L65" s="12" t="str">
        <x:v>Normal</x:v>
      </x:c>
    </x:row>
    <x:row r="66">
      <x:c r="A66" s="12" t="str">
        <x:v>LEAD-00065</x:v>
      </x:c>
      <x:c r="B66" s="18" t="n">
        <x:v>46217</x:v>
      </x:c>
      <x:c r="C66" s="12" t="str">
        <x:v>DLR-008</x:v>
      </x:c>
      <x:c r="D66" s="12" t="str">
        <x:v>VinFast HTA Nguyễn Văn Linh</x:v>
      </x:c>
      <x:c r="E66" s="12" t="str">
        <x:v>VinFast</x:v>
      </x:c>
      <x:c r="F66" s="12" t="str">
        <x:v>Referral</x:v>
      </x:c>
      <x:c r="G66" s="12" t="str">
        <x:v>Qualified</x:v>
      </x:c>
      <x:c r="H66" s="34" t="n">
        <x:v>0.3</x:v>
      </x:c>
      <x:c r="I66" s="12" t="n">
        <x:v>0.61</x:v>
      </x:c>
      <x:c r="J66" s="12" t="n">
        <x:v>8</x:v>
      </x:c>
      <x:c r="K66" s="12" t="str">
        <x:v>Sales B</x:v>
      </x:c>
      <x:c r="L66" s="12" t="str">
        <x:v>Priority</x:v>
      </x:c>
    </x:row>
    <x:row r="67">
      <x:c r="A67" s="12" t="str">
        <x:v>LEAD-00066</x:v>
      </x:c>
      <x:c r="B67" s="18" t="n">
        <x:v>46213</x:v>
      </x:c>
      <x:c r="C67" s="12" t="str">
        <x:v>DLR-013</x:v>
      </x:c>
      <x:c r="D67" s="12" t="str">
        <x:v>VinFast HTA Ninh Bình</x:v>
      </x:c>
      <x:c r="E67" s="12" t="str">
        <x:v>VinFast</x:v>
      </x:c>
      <x:c r="F67" s="12" t="str">
        <x:v>Event</x:v>
      </x:c>
      <x:c r="G67" s="12" t="str">
        <x:v>Lost</x:v>
      </x:c>
      <x:c r="H67" s="34" t="n">
        <x:v>0</x:v>
      </x:c>
      <x:c r="I67" s="12" t="n">
        <x:v>1.36</x:v>
      </x:c>
      <x:c r="J67" s="12" t="n">
        <x:v>12</x:v>
      </x:c>
      <x:c r="K67" s="12" t="str">
        <x:v>Sales D</x:v>
      </x:c>
      <x:c r="L67" s="12" t="str">
        <x:v>Priority</x:v>
      </x:c>
    </x:row>
    <x:row r="68">
      <x:c r="A68" s="12" t="str">
        <x:v>LEAD-00067</x:v>
      </x:c>
      <x:c r="B68" s="18" t="n">
        <x:v>46222</x:v>
      </x:c>
      <x:c r="C68" s="12" t="str">
        <x:v>DLR-006</x:v>
      </x:c>
      <x:c r="D68" s="12" t="str">
        <x:v>BYD HTA Hoàn Kiếm</x:v>
      </x:c>
      <x:c r="E68" s="12" t="str">
        <x:v>BYD</x:v>
      </x:c>
      <x:c r="F68" s="12" t="str">
        <x:v>Corporate/Fleet</x:v>
      </x:c>
      <x:c r="G68" s="12" t="str">
        <x:v>New</x:v>
      </x:c>
      <x:c r="H68" s="34" t="n">
        <x:v>0.08</x:v>
      </x:c>
      <x:c r="I68" s="12" t="n">
        <x:v>0.8</x:v>
      </x:c>
      <x:c r="J68" s="12" t="n">
        <x:v>3</x:v>
      </x:c>
      <x:c r="K68" s="12" t="str">
        <x:v>Sales B</x:v>
      </x:c>
      <x:c r="L68" s="12" t="str">
        <x:v>Normal</x:v>
      </x:c>
    </x:row>
    <x:row r="69">
      <x:c r="A69" s="12" t="str">
        <x:v>LEAD-00068</x:v>
      </x:c>
      <x:c r="B69" s="18" t="n">
        <x:v>46218</x:v>
      </x:c>
      <x:c r="C69" s="12" t="str">
        <x:v>DLR-019</x:v>
      </x:c>
      <x:c r="D69" s="12" t="str">
        <x:v>OMODA &amp; JAECOO HTA Việt Trì</x:v>
      </x:c>
      <x:c r="E69" s="12" t="str">
        <x:v>OMODA &amp; JAECOO</x:v>
      </x:c>
      <x:c r="F69" s="12" t="str">
        <x:v>Event</x:v>
      </x:c>
      <x:c r="G69" s="12" t="str">
        <x:v>Lost</x:v>
      </x:c>
      <x:c r="H69" s="34" t="n">
        <x:v>0</x:v>
      </x:c>
      <x:c r="I69" s="12" t="n">
        <x:v>0.48</x:v>
      </x:c>
      <x:c r="J69" s="12" t="n">
        <x:v>7</x:v>
      </x:c>
      <x:c r="K69" s="12" t="str">
        <x:v>Sales A</x:v>
      </x:c>
      <x:c r="L69" s="12" t="str">
        <x:v>Hot</x:v>
      </x:c>
    </x:row>
    <x:row r="70">
      <x:c r="A70" s="12" t="str">
        <x:v>LEAD-00069</x:v>
      </x:c>
      <x:c r="B70" s="18" t="n">
        <x:v>46208</x:v>
      </x:c>
      <x:c r="C70" s="12" t="str">
        <x:v>DLR-020</x:v>
      </x:c>
      <x:c r="D70" s="12" t="str">
        <x:v>Wuling HTA Long Biên</x:v>
      </x:c>
      <x:c r="E70" s="12" t="str">
        <x:v>Wuling</x:v>
      </x:c>
      <x:c r="F70" s="12" t="str">
        <x:v>Referral</x:v>
      </x:c>
      <x:c r="G70" s="12" t="str">
        <x:v>New</x:v>
      </x:c>
      <x:c r="H70" s="34" t="n">
        <x:v>0.08</x:v>
      </x:c>
      <x:c r="I70" s="12" t="n">
        <x:v>0.48</x:v>
      </x:c>
      <x:c r="J70" s="12" t="n">
        <x:v>17</x:v>
      </x:c>
      <x:c r="K70" s="12" t="str">
        <x:v>Sales A</x:v>
      </x:c>
      <x:c r="L70" s="12" t="str">
        <x:v>Priority</x:v>
      </x:c>
    </x:row>
    <x:row r="71">
      <x:c r="A71" s="12" t="str">
        <x:v>LEAD-00070</x:v>
      </x:c>
      <x:c r="B71" s="18" t="n">
        <x:v>46204</x:v>
      </x:c>
      <x:c r="C71" s="12" t="str">
        <x:v>DLR-002</x:v>
      </x:c>
      <x:c r="D71" s="12" t="str">
        <x:v>Hà Thành Ford - Mỹ Đình</x:v>
      </x:c>
      <x:c r="E71" s="12" t="str">
        <x:v>Ford</x:v>
      </x:c>
      <x:c r="F71" s="12" t="str">
        <x:v>Event</x:v>
      </x:c>
      <x:c r="G71" s="12" t="str">
        <x:v>Negotiation</x:v>
      </x:c>
      <x:c r="H71" s="34" t="n">
        <x:v>0.7</x:v>
      </x:c>
      <x:c r="I71" s="12" t="n">
        <x:v>0.6</x:v>
      </x:c>
      <x:c r="J71" s="12" t="n">
        <x:v>21</x:v>
      </x:c>
      <x:c r="K71" s="12" t="str">
        <x:v>Sales C</x:v>
      </x:c>
      <x:c r="L71" s="12" t="str">
        <x:v>Hot</x:v>
      </x:c>
    </x:row>
    <x:row r="72">
      <x:c r="A72" s="12" t="str">
        <x:v>LEAD-00071</x:v>
      </x:c>
      <x:c r="B72" s="18" t="n">
        <x:v>46214</x:v>
      </x:c>
      <x:c r="C72" s="12" t="str">
        <x:v>DLR-002</x:v>
      </x:c>
      <x:c r="D72" s="12" t="str">
        <x:v>Hà Thành Ford - Mỹ Đình</x:v>
      </x:c>
      <x:c r="E72" s="12" t="str">
        <x:v>Ford</x:v>
      </x:c>
      <x:c r="F72" s="12" t="str">
        <x:v>Corporate/Fleet</x:v>
      </x:c>
      <x:c r="G72" s="12" t="str">
        <x:v>Qualified</x:v>
      </x:c>
      <x:c r="H72" s="34" t="n">
        <x:v>0.3</x:v>
      </x:c>
      <x:c r="I72" s="12" t="n">
        <x:v>1.22</x:v>
      </x:c>
      <x:c r="J72" s="12" t="n">
        <x:v>11</x:v>
      </x:c>
      <x:c r="K72" s="12" t="str">
        <x:v>Sales D</x:v>
      </x:c>
      <x:c r="L72" s="12" t="str">
        <x:v>Priority</x:v>
      </x:c>
    </x:row>
    <x:row r="73">
      <x:c r="A73" s="12" t="str">
        <x:v>LEAD-00072</x:v>
      </x:c>
      <x:c r="B73" s="18" t="n">
        <x:v>46215</x:v>
      </x:c>
      <x:c r="C73" s="12" t="str">
        <x:v>DLR-006</x:v>
      </x:c>
      <x:c r="D73" s="12" t="str">
        <x:v>BYD HTA Hoàn Kiếm</x:v>
      </x:c>
      <x:c r="E73" s="12" t="str">
        <x:v>BYD</x:v>
      </x:c>
      <x:c r="F73" s="12" t="str">
        <x:v>Event</x:v>
      </x:c>
      <x:c r="G73" s="12" t="str">
        <x:v>Negotiation</x:v>
      </x:c>
      <x:c r="H73" s="34" t="n">
        <x:v>0.7</x:v>
      </x:c>
      <x:c r="I73" s="12" t="n">
        <x:v>0.81</x:v>
      </x:c>
      <x:c r="J73" s="12" t="n">
        <x:v>10</x:v>
      </x:c>
      <x:c r="K73" s="12" t="str">
        <x:v>Sales D</x:v>
      </x:c>
      <x:c r="L73" s="12" t="str">
        <x:v>Priority</x:v>
      </x:c>
    </x:row>
    <x:row r="74">
      <x:c r="A74" s="12" t="str">
        <x:v>LEAD-00073</x:v>
      </x:c>
      <x:c r="B74" s="18" t="n">
        <x:v>46222</x:v>
      </x:c>
      <x:c r="C74" s="12" t="str">
        <x:v>DLR-008</x:v>
      </x:c>
      <x:c r="D74" s="12" t="str">
        <x:v>VinFast HTA Nguyễn Văn Linh</x:v>
      </x:c>
      <x:c r="E74" s="12" t="str">
        <x:v>VinFast</x:v>
      </x:c>
      <x:c r="F74" s="12" t="str">
        <x:v>Digital</x:v>
      </x:c>
      <x:c r="G74" s="12" t="str">
        <x:v>Test Drive</x:v>
      </x:c>
      <x:c r="H74" s="34" t="n">
        <x:v>0.5</x:v>
      </x:c>
      <x:c r="I74" s="12" t="n">
        <x:v>0.92</x:v>
      </x:c>
      <x:c r="J74" s="12" t="n">
        <x:v>3</x:v>
      </x:c>
      <x:c r="K74" s="12" t="str">
        <x:v>Sales B</x:v>
      </x:c>
      <x:c r="L74" s="12" t="str">
        <x:v>Normal</x:v>
      </x:c>
    </x:row>
    <x:row r="75">
      <x:c r="A75" s="12" t="str">
        <x:v>LEAD-00074</x:v>
      </x:c>
      <x:c r="B75" s="18" t="n">
        <x:v>46224</x:v>
      </x:c>
      <x:c r="C75" s="12" t="str">
        <x:v>DLR-014</x:v>
      </x:c>
      <x:c r="D75" s="12" t="str">
        <x:v>VinFast HTA Nam Từ Liêm</x:v>
      </x:c>
      <x:c r="E75" s="12" t="str">
        <x:v>VinFast</x:v>
      </x:c>
      <x:c r="F75" s="12" t="str">
        <x:v>Walk-in</x:v>
      </x:c>
      <x:c r="G75" s="12" t="str">
        <x:v>Contacted</x:v>
      </x:c>
      <x:c r="H75" s="34" t="n">
        <x:v>0.15</x:v>
      </x:c>
      <x:c r="I75" s="12" t="n">
        <x:v>1.42</x:v>
      </x:c>
      <x:c r="J75" s="12" t="n">
        <x:v>1</x:v>
      </x:c>
      <x:c r="K75" s="12" t="str">
        <x:v>Sales A</x:v>
      </x:c>
      <x:c r="L75" s="12" t="str">
        <x:v>Priority</x:v>
      </x:c>
    </x:row>
    <x:row r="76">
      <x:c r="A76" s="12" t="str">
        <x:v>LEAD-00075</x:v>
      </x:c>
      <x:c r="B76" s="18" t="n">
        <x:v>46209</x:v>
      </x:c>
      <x:c r="C76" s="12" t="str">
        <x:v>DLR-007</x:v>
      </x:c>
      <x:c r="D76" s="12" t="str">
        <x:v>BYD Hà Đông</x:v>
      </x:c>
      <x:c r="E76" s="12" t="str">
        <x:v>BYD</x:v>
      </x:c>
      <x:c r="F76" s="12" t="str">
        <x:v>Event</x:v>
      </x:c>
      <x:c r="G76" s="12" t="str">
        <x:v>Negotiation</x:v>
      </x:c>
      <x:c r="H76" s="34" t="n">
        <x:v>0.7</x:v>
      </x:c>
      <x:c r="I76" s="12" t="n">
        <x:v>0.32</x:v>
      </x:c>
      <x:c r="J76" s="12" t="n">
        <x:v>16</x:v>
      </x:c>
      <x:c r="K76" s="12" t="str">
        <x:v>Sales B</x:v>
      </x:c>
      <x:c r="L76" s="12" t="str">
        <x:v>Priority</x:v>
      </x:c>
    </x:row>
    <x:row r="77">
      <x:c r="A77" s="12" t="str">
        <x:v>LEAD-00076</x:v>
      </x:c>
      <x:c r="B77" s="18" t="n">
        <x:v>46219</x:v>
      </x:c>
      <x:c r="C77" s="12" t="str">
        <x:v>DLR-001</x:v>
      </x:c>
      <x:c r="D77" s="12" t="str">
        <x:v>Hà Thành Ford</x:v>
      </x:c>
      <x:c r="E77" s="12" t="str">
        <x:v>Ford</x:v>
      </x:c>
      <x:c r="F77" s="12" t="str">
        <x:v>Walk-in</x:v>
      </x:c>
      <x:c r="G77" s="12" t="str">
        <x:v>Test Drive</x:v>
      </x:c>
      <x:c r="H77" s="34" t="n">
        <x:v>0.5</x:v>
      </x:c>
      <x:c r="I77" s="12" t="n">
        <x:v>1.5</x:v>
      </x:c>
      <x:c r="J77" s="12" t="n">
        <x:v>6</x:v>
      </x:c>
      <x:c r="K77" s="12" t="str">
        <x:v>Sales B</x:v>
      </x:c>
      <x:c r="L77" s="12" t="str">
        <x:v>Priority</x:v>
      </x:c>
    </x:row>
    <x:row r="78">
      <x:c r="A78" s="12" t="str">
        <x:v>LEAD-00077</x:v>
      </x:c>
      <x:c r="B78" s="18" t="n">
        <x:v>46223</x:v>
      </x:c>
      <x:c r="C78" s="12" t="str">
        <x:v>DLR-015</x:v>
      </x:c>
      <x:c r="D78" s="12" t="str">
        <x:v>VinFast HTA Văn Phú</x:v>
      </x:c>
      <x:c r="E78" s="12" t="str">
        <x:v>VinFast</x:v>
      </x:c>
      <x:c r="F78" s="12" t="str">
        <x:v>Walk-in</x:v>
      </x:c>
      <x:c r="G78" s="12" t="str">
        <x:v>Contacted</x:v>
      </x:c>
      <x:c r="H78" s="34" t="n">
        <x:v>0.15</x:v>
      </x:c>
      <x:c r="I78" s="12" t="n">
        <x:v>0.32</x:v>
      </x:c>
      <x:c r="J78" s="12" t="n">
        <x:v>2</x:v>
      </x:c>
      <x:c r="K78" s="12" t="str">
        <x:v>Sales B</x:v>
      </x:c>
      <x:c r="L78" s="12" t="str">
        <x:v>Hot</x:v>
      </x:c>
    </x:row>
    <x:row r="79">
      <x:c r="A79" s="12" t="str">
        <x:v>LEAD-00078</x:v>
      </x:c>
      <x:c r="B79" s="18" t="n">
        <x:v>46218</x:v>
      </x:c>
      <x:c r="C79" s="12" t="str">
        <x:v>DLR-008</x:v>
      </x:c>
      <x:c r="D79" s="12" t="str">
        <x:v>VinFast HTA Nguyễn Văn Linh</x:v>
      </x:c>
      <x:c r="E79" s="12" t="str">
        <x:v>VinFast</x:v>
      </x:c>
      <x:c r="F79" s="12" t="str">
        <x:v>Walk-in</x:v>
      </x:c>
      <x:c r="G79" s="12" t="str">
        <x:v>Contacted</x:v>
      </x:c>
      <x:c r="H79" s="34" t="n">
        <x:v>0.15</x:v>
      </x:c>
      <x:c r="I79" s="12" t="n">
        <x:v>1.18</x:v>
      </x:c>
      <x:c r="J79" s="12" t="n">
        <x:v>7</x:v>
      </x:c>
      <x:c r="K79" s="12" t="str">
        <x:v>Sales B</x:v>
      </x:c>
      <x:c r="L79" s="12" t="str">
        <x:v>Priority</x:v>
      </x:c>
    </x:row>
    <x:row r="80">
      <x:c r="A80" s="12" t="str">
        <x:v>LEAD-00079</x:v>
      </x:c>
      <x:c r="B80" s="18" t="n">
        <x:v>46211</x:v>
      </x:c>
      <x:c r="C80" s="12" t="str">
        <x:v>DLR-020</x:v>
      </x:c>
      <x:c r="D80" s="12" t="str">
        <x:v>Wuling HTA Long Biên</x:v>
      </x:c>
      <x:c r="E80" s="12" t="str">
        <x:v>Wuling</x:v>
      </x:c>
      <x:c r="F80" s="12" t="str">
        <x:v>Walk-in</x:v>
      </x:c>
      <x:c r="G80" s="12" t="str">
        <x:v>Test Drive</x:v>
      </x:c>
      <x:c r="H80" s="34" t="n">
        <x:v>0.5</x:v>
      </x:c>
      <x:c r="I80" s="12" t="n">
        <x:v>1.38</x:v>
      </x:c>
      <x:c r="J80" s="12" t="n">
        <x:v>14</x:v>
      </x:c>
      <x:c r="K80" s="12" t="str">
        <x:v>Sales A</x:v>
      </x:c>
      <x:c r="L80" s="12" t="str">
        <x:v>Normal</x:v>
      </x:c>
    </x:row>
    <x:row r="81">
      <x:c r="A81" s="12" t="str">
        <x:v>LEAD-00080</x:v>
      </x:c>
      <x:c r="B81" s="18" t="n">
        <x:v>46219</x:v>
      </x:c>
      <x:c r="C81" s="12" t="str">
        <x:v>DLR-002</x:v>
      </x:c>
      <x:c r="D81" s="12" t="str">
        <x:v>Hà Thành Ford - Mỹ Đình</x:v>
      </x:c>
      <x:c r="E81" s="12" t="str">
        <x:v>Ford</x:v>
      </x:c>
      <x:c r="F81" s="12" t="str">
        <x:v>Corporate/Fleet</x:v>
      </x:c>
      <x:c r="G81" s="12" t="str">
        <x:v>Test Drive</x:v>
      </x:c>
      <x:c r="H81" s="34" t="n">
        <x:v>0.5</x:v>
      </x:c>
      <x:c r="I81" s="12" t="n">
        <x:v>0.61</x:v>
      </x:c>
      <x:c r="J81" s="12" t="n">
        <x:v>6</x:v>
      </x:c>
      <x:c r="K81" s="12" t="str">
        <x:v>Sales D</x:v>
      </x:c>
      <x:c r="L81" s="12" t="str">
        <x:v>Hot</x:v>
      </x:c>
    </x:row>
    <x:row r="82">
      <x:c r="A82" s="12" t="str">
        <x:v>LEAD-00081</x:v>
      </x:c>
      <x:c r="B82" s="18" t="n">
        <x:v>46225</x:v>
      </x:c>
      <x:c r="C82" s="12" t="str">
        <x:v>DLR-006</x:v>
      </x:c>
      <x:c r="D82" s="12" t="str">
        <x:v>BYD HTA Hoàn Kiếm</x:v>
      </x:c>
      <x:c r="E82" s="12" t="str">
        <x:v>BYD</x:v>
      </x:c>
      <x:c r="F82" s="12" t="str">
        <x:v>Corporate/Fleet</x:v>
      </x:c>
      <x:c r="G82" s="12" t="str">
        <x:v>Lost</x:v>
      </x:c>
      <x:c r="H82" s="34" t="n">
        <x:v>0</x:v>
      </x:c>
      <x:c r="I82" s="12" t="n">
        <x:v>0.89</x:v>
      </x:c>
      <x:c r="J82" s="12" t="n">
        <x:v>0</x:v>
      </x:c>
      <x:c r="K82" s="12" t="str">
        <x:v>Sales A</x:v>
      </x:c>
      <x:c r="L82" s="12" t="str">
        <x:v>Normal</x:v>
      </x:c>
    </x:row>
    <x:row r="83">
      <x:c r="A83" s="12" t="str">
        <x:v>LEAD-00082</x:v>
      </x:c>
      <x:c r="B83" s="18" t="n">
        <x:v>46211</x:v>
      </x:c>
      <x:c r="C83" s="12" t="str">
        <x:v>DLR-019</x:v>
      </x:c>
      <x:c r="D83" s="12" t="str">
        <x:v>OMODA &amp; JAECOO HTA Việt Trì</x:v>
      </x:c>
      <x:c r="E83" s="12" t="str">
        <x:v>OMODA &amp; JAECOO</x:v>
      </x:c>
      <x:c r="F83" s="12" t="str">
        <x:v>Event</x:v>
      </x:c>
      <x:c r="G83" s="12" t="str">
        <x:v>Negotiation</x:v>
      </x:c>
      <x:c r="H83" s="34" t="n">
        <x:v>0.7</x:v>
      </x:c>
      <x:c r="I83" s="12" t="n">
        <x:v>1.24</x:v>
      </x:c>
      <x:c r="J83" s="12" t="n">
        <x:v>14</x:v>
      </x:c>
      <x:c r="K83" s="12" t="str">
        <x:v>Sales A</x:v>
      </x:c>
      <x:c r="L83" s="12" t="str">
        <x:v>Priority</x:v>
      </x:c>
    </x:row>
    <x:row r="84">
      <x:c r="A84" s="12" t="str">
        <x:v>LEAD-00083</x:v>
      </x:c>
      <x:c r="B84" s="18" t="n">
        <x:v>46224</x:v>
      </x:c>
      <x:c r="C84" s="12" t="str">
        <x:v>DLR-003</x:v>
      </x:c>
      <x:c r="D84" s="12" t="str">
        <x:v>Mỹ Đình Ford</x:v>
      </x:c>
      <x:c r="E84" s="12" t="str">
        <x:v>Ford</x:v>
      </x:c>
      <x:c r="F84" s="12" t="str">
        <x:v>Event</x:v>
      </x:c>
      <x:c r="G84" s="12" t="str">
        <x:v>Negotiation</x:v>
      </x:c>
      <x:c r="H84" s="34" t="n">
        <x:v>0.7</x:v>
      </x:c>
      <x:c r="I84" s="12" t="n">
        <x:v>0.95</x:v>
      </x:c>
      <x:c r="J84" s="12" t="n">
        <x:v>1</x:v>
      </x:c>
      <x:c r="K84" s="12" t="str">
        <x:v>Sales D</x:v>
      </x:c>
      <x:c r="L84" s="12" t="str">
        <x:v>Priority</x:v>
      </x:c>
    </x:row>
    <x:row r="85">
      <x:c r="A85" s="12" t="str">
        <x:v>LEAD-00084</x:v>
      </x:c>
      <x:c r="B85" s="18" t="n">
        <x:v>46213</x:v>
      </x:c>
      <x:c r="C85" s="12" t="str">
        <x:v>DLR-011</x:v>
      </x:c>
      <x:c r="D85" s="12" t="str">
        <x:v>VinFast HTA Phạm Văn Đồng</x:v>
      </x:c>
      <x:c r="E85" s="12" t="str">
        <x:v>VinFast</x:v>
      </x:c>
      <x:c r="F85" s="12" t="str">
        <x:v>Event</x:v>
      </x:c>
      <x:c r="G85" s="12" t="str">
        <x:v>Qualified</x:v>
      </x:c>
      <x:c r="H85" s="34" t="n">
        <x:v>0.3</x:v>
      </x:c>
      <x:c r="I85" s="12" t="n">
        <x:v>1.21</x:v>
      </x:c>
      <x:c r="J85" s="12" t="n">
        <x:v>12</x:v>
      </x:c>
      <x:c r="K85" s="12" t="str">
        <x:v>Sales C</x:v>
      </x:c>
      <x:c r="L85" s="12" t="str">
        <x:v>Priority</x:v>
      </x:c>
    </x:row>
    <x:row r="86">
      <x:c r="A86" s="12" t="str">
        <x:v>LEAD-00085</x:v>
      </x:c>
      <x:c r="B86" s="18" t="n">
        <x:v>46210</x:v>
      </x:c>
      <x:c r="C86" s="12" t="str">
        <x:v>DLR-014</x:v>
      </x:c>
      <x:c r="D86" s="12" t="str">
        <x:v>VinFast HTA Nam Từ Liêm</x:v>
      </x:c>
      <x:c r="E86" s="12" t="str">
        <x:v>VinFast</x:v>
      </x:c>
      <x:c r="F86" s="12" t="str">
        <x:v>Corporate/Fleet</x:v>
      </x:c>
      <x:c r="G86" s="12" t="str">
        <x:v>Order</x:v>
      </x:c>
      <x:c r="H86" s="34" t="n">
        <x:v>0.95</x:v>
      </x:c>
      <x:c r="I86" s="12" t="n">
        <x:v>0.4</x:v>
      </x:c>
      <x:c r="J86" s="12" t="n">
        <x:v>15</x:v>
      </x:c>
      <x:c r="K86" s="12" t="str">
        <x:v>Sales D</x:v>
      </x:c>
      <x:c r="L86" s="12" t="str">
        <x:v>Normal</x:v>
      </x:c>
    </x:row>
    <x:row r="87">
      <x:c r="A87" s="12" t="str">
        <x:v>LEAD-00086</x:v>
      </x:c>
      <x:c r="B87" s="18" t="n">
        <x:v>46213</x:v>
      </x:c>
      <x:c r="C87" s="12" t="str">
        <x:v>DLR-002</x:v>
      </x:c>
      <x:c r="D87" s="12" t="str">
        <x:v>Hà Thành Ford - Mỹ Đình</x:v>
      </x:c>
      <x:c r="E87" s="12" t="str">
        <x:v>Ford</x:v>
      </x:c>
      <x:c r="F87" s="12" t="str">
        <x:v>Walk-in</x:v>
      </x:c>
      <x:c r="G87" s="12" t="str">
        <x:v>Test Drive</x:v>
      </x:c>
      <x:c r="H87" s="34" t="n">
        <x:v>0.5</x:v>
      </x:c>
      <x:c r="I87" s="12" t="n">
        <x:v>0.41</x:v>
      </x:c>
      <x:c r="J87" s="12" t="n">
        <x:v>12</x:v>
      </x:c>
      <x:c r="K87" s="12" t="str">
        <x:v>Sales B</x:v>
      </x:c>
      <x:c r="L87" s="12" t="str">
        <x:v>Priority</x:v>
      </x:c>
    </x:row>
    <x:row r="88">
      <x:c r="A88" s="12" t="str">
        <x:v>LEAD-00087</x:v>
      </x:c>
      <x:c r="B88" s="18" t="n">
        <x:v>46212</x:v>
      </x:c>
      <x:c r="C88" s="12" t="str">
        <x:v>DLR-007</x:v>
      </x:c>
      <x:c r="D88" s="12" t="str">
        <x:v>BYD Hà Đông</x:v>
      </x:c>
      <x:c r="E88" s="12" t="str">
        <x:v>BYD</x:v>
      </x:c>
      <x:c r="F88" s="12" t="str">
        <x:v>Digital</x:v>
      </x:c>
      <x:c r="G88" s="12" t="str">
        <x:v>Lost</x:v>
      </x:c>
      <x:c r="H88" s="34" t="n">
        <x:v>0</x:v>
      </x:c>
      <x:c r="I88" s="12" t="n">
        <x:v>0.7</x:v>
      </x:c>
      <x:c r="J88" s="12" t="n">
        <x:v>13</x:v>
      </x:c>
      <x:c r="K88" s="12" t="str">
        <x:v>Sales B</x:v>
      </x:c>
      <x:c r="L88" s="12" t="str">
        <x:v>Priority</x:v>
      </x:c>
    </x:row>
    <x:row r="89">
      <x:c r="A89" s="12" t="str">
        <x:v>LEAD-00088</x:v>
      </x:c>
      <x:c r="B89" s="18" t="n">
        <x:v>46206</x:v>
      </x:c>
      <x:c r="C89" s="12" t="str">
        <x:v>DLR-018</x:v>
      </x:c>
      <x:c r="D89" s="12" t="str">
        <x:v>OMODA &amp; JAECOO HTA Nam Từ Liêm</x:v>
      </x:c>
      <x:c r="E89" s="12" t="str">
        <x:v>OMODA &amp; JAECOO</x:v>
      </x:c>
      <x:c r="F89" s="12" t="str">
        <x:v>Corporate/Fleet</x:v>
      </x:c>
      <x:c r="G89" s="12" t="str">
        <x:v>Contacted</x:v>
      </x:c>
      <x:c r="H89" s="34" t="n">
        <x:v>0.15</x:v>
      </x:c>
      <x:c r="I89" s="12" t="n">
        <x:v>0.79</x:v>
      </x:c>
      <x:c r="J89" s="12" t="n">
        <x:v>19</x:v>
      </x:c>
      <x:c r="K89" s="12" t="str">
        <x:v>Sales B</x:v>
      </x:c>
      <x:c r="L89" s="12" t="str">
        <x:v>Priority</x:v>
      </x:c>
    </x:row>
    <x:row r="90">
      <x:c r="A90" s="12" t="str">
        <x:v>LEAD-00089</x:v>
      </x:c>
      <x:c r="B90" s="18" t="n">
        <x:v>46212</x:v>
      </x:c>
      <x:c r="C90" s="12" t="str">
        <x:v>DLR-003</x:v>
      </x:c>
      <x:c r="D90" s="12" t="str">
        <x:v>Mỹ Đình Ford</x:v>
      </x:c>
      <x:c r="E90" s="12" t="str">
        <x:v>Ford</x:v>
      </x:c>
      <x:c r="F90" s="12" t="str">
        <x:v>Corporate/Fleet</x:v>
      </x:c>
      <x:c r="G90" s="12" t="str">
        <x:v>Qualified</x:v>
      </x:c>
      <x:c r="H90" s="34" t="n">
        <x:v>0.3</x:v>
      </x:c>
      <x:c r="I90" s="12" t="n">
        <x:v>0.35</x:v>
      </x:c>
      <x:c r="J90" s="12" t="n">
        <x:v>13</x:v>
      </x:c>
      <x:c r="K90" s="12" t="str">
        <x:v>Sales B</x:v>
      </x:c>
      <x:c r="L90" s="12" t="str">
        <x:v>Normal</x:v>
      </x:c>
    </x:row>
    <x:row r="91">
      <x:c r="A91" s="12" t="str">
        <x:v>LEAD-00090</x:v>
      </x:c>
      <x:c r="B91" s="18" t="n">
        <x:v>46225</x:v>
      </x:c>
      <x:c r="C91" s="12" t="str">
        <x:v>DLR-012</x:v>
      </x:c>
      <x:c r="D91" s="12" t="str">
        <x:v>VinFast HTA Võ Chí Công</x:v>
      </x:c>
      <x:c r="E91" s="12" t="str">
        <x:v>VinFast</x:v>
      </x:c>
      <x:c r="F91" s="12" t="str">
        <x:v>Walk-in</x:v>
      </x:c>
      <x:c r="G91" s="12" t="str">
        <x:v>New</x:v>
      </x:c>
      <x:c r="H91" s="34" t="n">
        <x:v>0.08</x:v>
      </x:c>
      <x:c r="I91" s="12" t="n">
        <x:v>1.41</x:v>
      </x:c>
      <x:c r="J91" s="12" t="n">
        <x:v>0</x:v>
      </x:c>
      <x:c r="K91" s="12" t="str">
        <x:v>Sales C</x:v>
      </x:c>
      <x:c r="L91" s="12" t="str">
        <x:v>Hot</x:v>
      </x:c>
    </x:row>
    <x:row r="92">
      <x:c r="A92" s="12" t="str">
        <x:v>LEAD-00091</x:v>
      </x:c>
      <x:c r="B92" s="18" t="n">
        <x:v>46214</x:v>
      </x:c>
      <x:c r="C92" s="12" t="str">
        <x:v>DLR-012</x:v>
      </x:c>
      <x:c r="D92" s="12" t="str">
        <x:v>VinFast HTA Võ Chí Công</x:v>
      </x:c>
      <x:c r="E92" s="12" t="str">
        <x:v>VinFast</x:v>
      </x:c>
      <x:c r="F92" s="12" t="str">
        <x:v>Digital</x:v>
      </x:c>
      <x:c r="G92" s="12" t="str">
        <x:v>New</x:v>
      </x:c>
      <x:c r="H92" s="34" t="n">
        <x:v>0.08</x:v>
      </x:c>
      <x:c r="I92" s="12" t="n">
        <x:v>1.12</x:v>
      </x:c>
      <x:c r="J92" s="12" t="n">
        <x:v>11</x:v>
      </x:c>
      <x:c r="K92" s="12" t="str">
        <x:v>Sales D</x:v>
      </x:c>
      <x:c r="L92" s="12" t="str">
        <x:v>Priority</x:v>
      </x:c>
    </x:row>
    <x:row r="93">
      <x:c r="A93" s="12" t="str">
        <x:v>LEAD-00092</x:v>
      </x:c>
      <x:c r="B93" s="18" t="n">
        <x:v>46224</x:v>
      </x:c>
      <x:c r="C93" s="12" t="str">
        <x:v>DLR-002</x:v>
      </x:c>
      <x:c r="D93" s="12" t="str">
        <x:v>Hà Thành Ford - Mỹ Đình</x:v>
      </x:c>
      <x:c r="E93" s="12" t="str">
        <x:v>Ford</x:v>
      </x:c>
      <x:c r="F93" s="12" t="str">
        <x:v>Event</x:v>
      </x:c>
      <x:c r="G93" s="12" t="str">
        <x:v>New</x:v>
      </x:c>
      <x:c r="H93" s="34" t="n">
        <x:v>0.08</x:v>
      </x:c>
      <x:c r="I93" s="12" t="n">
        <x:v>1.35</x:v>
      </x:c>
      <x:c r="J93" s="12" t="n">
        <x:v>1</x:v>
      </x:c>
      <x:c r="K93" s="12" t="str">
        <x:v>Sales C</x:v>
      </x:c>
      <x:c r="L93" s="12" t="str">
        <x:v>Normal</x:v>
      </x:c>
    </x:row>
    <x:row r="94">
      <x:c r="A94" s="12" t="str">
        <x:v>LEAD-00093</x:v>
      </x:c>
      <x:c r="B94" s="18" t="n">
        <x:v>46225</x:v>
      </x:c>
      <x:c r="C94" s="12" t="str">
        <x:v>DLR-015</x:v>
      </x:c>
      <x:c r="D94" s="12" t="str">
        <x:v>VinFast HTA Văn Phú</x:v>
      </x:c>
      <x:c r="E94" s="12" t="str">
        <x:v>VinFast</x:v>
      </x:c>
      <x:c r="F94" s="12" t="str">
        <x:v>Corporate/Fleet</x:v>
      </x:c>
      <x:c r="G94" s="12" t="str">
        <x:v>Negotiation</x:v>
      </x:c>
      <x:c r="H94" s="34" t="n">
        <x:v>0.7</x:v>
      </x:c>
      <x:c r="I94" s="12" t="n">
        <x:v>0.44</x:v>
      </x:c>
      <x:c r="J94" s="12" t="n">
        <x:v>0</x:v>
      </x:c>
      <x:c r="K94" s="12" t="str">
        <x:v>Sales B</x:v>
      </x:c>
      <x:c r="L94" s="12" t="str">
        <x:v>Priority</x:v>
      </x:c>
    </x:row>
    <x:row r="95">
      <x:c r="A95" s="12" t="str">
        <x:v>LEAD-00094</x:v>
      </x:c>
      <x:c r="B95" s="18" t="n">
        <x:v>46207</x:v>
      </x:c>
      <x:c r="C95" s="12" t="str">
        <x:v>DLR-012</x:v>
      </x:c>
      <x:c r="D95" s="12" t="str">
        <x:v>VinFast HTA Võ Chí Công</x:v>
      </x:c>
      <x:c r="E95" s="12" t="str">
        <x:v>VinFast</x:v>
      </x:c>
      <x:c r="F95" s="12" t="str">
        <x:v>Digital</x:v>
      </x:c>
      <x:c r="G95" s="12" t="str">
        <x:v>Negotiation</x:v>
      </x:c>
      <x:c r="H95" s="34" t="n">
        <x:v>0.7</x:v>
      </x:c>
      <x:c r="I95" s="12" t="n">
        <x:v>0.87</x:v>
      </x:c>
      <x:c r="J95" s="12" t="n">
        <x:v>18</x:v>
      </x:c>
      <x:c r="K95" s="12" t="str">
        <x:v>Sales D</x:v>
      </x:c>
      <x:c r="L95" s="12" t="str">
        <x:v>Hot</x:v>
      </x:c>
    </x:row>
    <x:row r="96">
      <x:c r="A96" s="12" t="str">
        <x:v>LEAD-00095</x:v>
      </x:c>
      <x:c r="B96" s="18" t="n">
        <x:v>46223</x:v>
      </x:c>
      <x:c r="C96" s="12" t="str">
        <x:v>DLR-018</x:v>
      </x:c>
      <x:c r="D96" s="12" t="str">
        <x:v>OMODA &amp; JAECOO HTA Nam Từ Liêm</x:v>
      </x:c>
      <x:c r="E96" s="12" t="str">
        <x:v>OMODA &amp; JAECOO</x:v>
      </x:c>
      <x:c r="F96" s="12" t="str">
        <x:v>Referral</x:v>
      </x:c>
      <x:c r="G96" s="12" t="str">
        <x:v>New</x:v>
      </x:c>
      <x:c r="H96" s="34" t="n">
        <x:v>0.08</x:v>
      </x:c>
      <x:c r="I96" s="12" t="n">
        <x:v>0.6</x:v>
      </x:c>
      <x:c r="J96" s="12" t="n">
        <x:v>2</x:v>
      </x:c>
      <x:c r="K96" s="12" t="str">
        <x:v>Sales A</x:v>
      </x:c>
      <x:c r="L96" s="12" t="str">
        <x:v>Hot</x:v>
      </x:c>
    </x:row>
    <x:row r="97">
      <x:c r="A97" s="12" t="str">
        <x:v>LEAD-00096</x:v>
      </x:c>
      <x:c r="B97" s="18" t="n">
        <x:v>46208</x:v>
      </x:c>
      <x:c r="C97" s="12" t="str">
        <x:v>DLR-011</x:v>
      </x:c>
      <x:c r="D97" s="12" t="str">
        <x:v>VinFast HTA Phạm Văn Đồng</x:v>
      </x:c>
      <x:c r="E97" s="12" t="str">
        <x:v>VinFast</x:v>
      </x:c>
      <x:c r="F97" s="12" t="str">
        <x:v>Referral</x:v>
      </x:c>
      <x:c r="G97" s="12" t="str">
        <x:v>New</x:v>
      </x:c>
      <x:c r="H97" s="34" t="n">
        <x:v>0.08</x:v>
      </x:c>
      <x:c r="I97" s="12" t="n">
        <x:v>0.52</x:v>
      </x:c>
      <x:c r="J97" s="12" t="n">
        <x:v>17</x:v>
      </x:c>
      <x:c r="K97" s="12" t="str">
        <x:v>Sales C</x:v>
      </x:c>
      <x:c r="L97" s="12" t="str">
        <x:v>Priority</x:v>
      </x:c>
    </x:row>
    <x:row r="98">
      <x:c r="A98" s="12" t="str">
        <x:v>LEAD-00097</x:v>
      </x:c>
      <x:c r="B98" s="18" t="n">
        <x:v>46210</x:v>
      </x:c>
      <x:c r="C98" s="12" t="str">
        <x:v>DLR-016</x:v>
      </x:c>
      <x:c r="D98" s="12" t="str">
        <x:v>VinFast HTA Mỹ Đình</x:v>
      </x:c>
      <x:c r="E98" s="12" t="str">
        <x:v>VinFast</x:v>
      </x:c>
      <x:c r="F98" s="12" t="str">
        <x:v>Walk-in</x:v>
      </x:c>
      <x:c r="G98" s="12" t="str">
        <x:v>Test Drive</x:v>
      </x:c>
      <x:c r="H98" s="34" t="n">
        <x:v>0.5</x:v>
      </x:c>
      <x:c r="I98" s="12" t="n">
        <x:v>0.38</x:v>
      </x:c>
      <x:c r="J98" s="12" t="n">
        <x:v>15</x:v>
      </x:c>
      <x:c r="K98" s="12" t="str">
        <x:v>Sales A</x:v>
      </x:c>
      <x:c r="L98" s="12" t="str">
        <x:v>Normal</x:v>
      </x:c>
    </x:row>
    <x:row r="99">
      <x:c r="A99" s="12" t="str">
        <x:v>LEAD-00098</x:v>
      </x:c>
      <x:c r="B99" s="18" t="n">
        <x:v>46214</x:v>
      </x:c>
      <x:c r="C99" s="12" t="str">
        <x:v>DLR-020</x:v>
      </x:c>
      <x:c r="D99" s="12" t="str">
        <x:v>Wuling HTA Long Biên</x:v>
      </x:c>
      <x:c r="E99" s="12" t="str">
        <x:v>Wuling</x:v>
      </x:c>
      <x:c r="F99" s="12" t="str">
        <x:v>Digital</x:v>
      </x:c>
      <x:c r="G99" s="12" t="str">
        <x:v>New</x:v>
      </x:c>
      <x:c r="H99" s="34" t="n">
        <x:v>0.08</x:v>
      </x:c>
      <x:c r="I99" s="12" t="n">
        <x:v>0.93</x:v>
      </x:c>
      <x:c r="J99" s="12" t="n">
        <x:v>11</x:v>
      </x:c>
      <x:c r="K99" s="12" t="str">
        <x:v>Sales C</x:v>
      </x:c>
      <x:c r="L99" s="12" t="str">
        <x:v>Hot</x:v>
      </x:c>
    </x:row>
    <x:row r="100">
      <x:c r="A100" s="12" t="str">
        <x:v>LEAD-00099</x:v>
      </x:c>
      <x:c r="B100" s="18" t="n">
        <x:v>46209</x:v>
      </x:c>
      <x:c r="C100" s="12" t="str">
        <x:v>DLR-004</x:v>
      </x:c>
      <x:c r="D100" s="12" t="str">
        <x:v>Việt Trì Ford</x:v>
      </x:c>
      <x:c r="E100" s="12" t="str">
        <x:v>Ford</x:v>
      </x:c>
      <x:c r="F100" s="12" t="str">
        <x:v>Corporate/Fleet</x:v>
      </x:c>
      <x:c r="G100" s="12" t="str">
        <x:v>Test Drive</x:v>
      </x:c>
      <x:c r="H100" s="34" t="n">
        <x:v>0.5</x:v>
      </x:c>
      <x:c r="I100" s="12" t="n">
        <x:v>1.01</x:v>
      </x:c>
      <x:c r="J100" s="12" t="n">
        <x:v>16</x:v>
      </x:c>
      <x:c r="K100" s="12" t="str">
        <x:v>Sales A</x:v>
      </x:c>
      <x:c r="L100" s="12" t="str">
        <x:v>Normal</x:v>
      </x:c>
    </x:row>
    <x:row r="101">
      <x:c r="A101" s="12" t="str">
        <x:v>LEAD-00100</x:v>
      </x:c>
      <x:c r="B101" s="18" t="n">
        <x:v>46209</x:v>
      </x:c>
      <x:c r="C101" s="12" t="str">
        <x:v>DLR-011</x:v>
      </x:c>
      <x:c r="D101" s="12" t="str">
        <x:v>VinFast HTA Phạm Văn Đồng</x:v>
      </x:c>
      <x:c r="E101" s="12" t="str">
        <x:v>VinFast</x:v>
      </x:c>
      <x:c r="F101" s="12" t="str">
        <x:v>Referral</x:v>
      </x:c>
      <x:c r="G101" s="12" t="str">
        <x:v>Order</x:v>
      </x:c>
      <x:c r="H101" s="34" t="n">
        <x:v>0.95</x:v>
      </x:c>
      <x:c r="I101" s="12" t="n">
        <x:v>0.66</x:v>
      </x:c>
      <x:c r="J101" s="12" t="n">
        <x:v>16</x:v>
      </x:c>
      <x:c r="K101" s="12" t="str">
        <x:v>Sales B</x:v>
      </x:c>
      <x:c r="L101" s="12" t="str">
        <x:v>Hot</x:v>
      </x:c>
    </x:row>
    <x:row r="102">
      <x:c r="A102" s="12" t="str">
        <x:v>LEAD-00101</x:v>
      </x:c>
      <x:c r="B102" s="18" t="n">
        <x:v>46211</x:v>
      </x:c>
      <x:c r="C102" s="12" t="str">
        <x:v>DLR-014</x:v>
      </x:c>
      <x:c r="D102" s="12" t="str">
        <x:v>VinFast HTA Nam Từ Liêm</x:v>
      </x:c>
      <x:c r="E102" s="12" t="str">
        <x:v>VinFast</x:v>
      </x:c>
      <x:c r="F102" s="12" t="str">
        <x:v>Digital</x:v>
      </x:c>
      <x:c r="G102" s="12" t="str">
        <x:v>Qualified</x:v>
      </x:c>
      <x:c r="H102" s="34" t="n">
        <x:v>0.3</x:v>
      </x:c>
      <x:c r="I102" s="12" t="n">
        <x:v>0.48</x:v>
      </x:c>
      <x:c r="J102" s="12" t="n">
        <x:v>14</x:v>
      </x:c>
      <x:c r="K102" s="12" t="str">
        <x:v>Sales A</x:v>
      </x:c>
      <x:c r="L102" s="12" t="str">
        <x:v>Normal</x:v>
      </x:c>
    </x:row>
    <x:row r="103">
      <x:c r="A103" s="12" t="str">
        <x:v>LEAD-00102</x:v>
      </x:c>
      <x:c r="B103" s="18" t="n">
        <x:v>46218</x:v>
      </x:c>
      <x:c r="C103" s="12" t="str">
        <x:v>DLR-015</x:v>
      </x:c>
      <x:c r="D103" s="12" t="str">
        <x:v>VinFast HTA Văn Phú</x:v>
      </x:c>
      <x:c r="E103" s="12" t="str">
        <x:v>VinFast</x:v>
      </x:c>
      <x:c r="F103" s="12" t="str">
        <x:v>Walk-in</x:v>
      </x:c>
      <x:c r="G103" s="12" t="str">
        <x:v>Qualified</x:v>
      </x:c>
      <x:c r="H103" s="34" t="n">
        <x:v>0.3</x:v>
      </x:c>
      <x:c r="I103" s="12" t="n">
        <x:v>1.12</x:v>
      </x:c>
      <x:c r="J103" s="12" t="n">
        <x:v>7</x:v>
      </x:c>
      <x:c r="K103" s="12" t="str">
        <x:v>Sales D</x:v>
      </x:c>
      <x:c r="L103" s="12" t="str">
        <x:v>Hot</x:v>
      </x:c>
    </x:row>
    <x:row r="104">
      <x:c r="A104" s="12" t="str">
        <x:v>LEAD-00103</x:v>
      </x:c>
      <x:c r="B104" s="18" t="n">
        <x:v>46206</x:v>
      </x:c>
      <x:c r="C104" s="12" t="str">
        <x:v>DLR-009</x:v>
      </x:c>
      <x:c r="D104" s="12" t="str">
        <x:v>VinFast HTA Đông Anh</x:v>
      </x:c>
      <x:c r="E104" s="12" t="str">
        <x:v>VinFast</x:v>
      </x:c>
      <x:c r="F104" s="12" t="str">
        <x:v>Digital</x:v>
      </x:c>
      <x:c r="G104" s="12" t="str">
        <x:v>New</x:v>
      </x:c>
      <x:c r="H104" s="34" t="n">
        <x:v>0.08</x:v>
      </x:c>
      <x:c r="I104" s="12" t="n">
        <x:v>0.5</x:v>
      </x:c>
      <x:c r="J104" s="12" t="n">
        <x:v>19</x:v>
      </x:c>
      <x:c r="K104" s="12" t="str">
        <x:v>Sales A</x:v>
      </x:c>
      <x:c r="L104" s="12" t="str">
        <x:v>Priority</x:v>
      </x:c>
    </x:row>
    <x:row r="105">
      <x:c r="A105" s="12" t="str">
        <x:v>LEAD-00104</x:v>
      </x:c>
      <x:c r="B105" s="18" t="n">
        <x:v>46213</x:v>
      </x:c>
      <x:c r="C105" s="12" t="str">
        <x:v>DLR-012</x:v>
      </x:c>
      <x:c r="D105" s="12" t="str">
        <x:v>VinFast HTA Võ Chí Công</x:v>
      </x:c>
      <x:c r="E105" s="12" t="str">
        <x:v>VinFast</x:v>
      </x:c>
      <x:c r="F105" s="12" t="str">
        <x:v>Corporate/Fleet</x:v>
      </x:c>
      <x:c r="G105" s="12" t="str">
        <x:v>Qualified</x:v>
      </x:c>
      <x:c r="H105" s="34" t="n">
        <x:v>0.3</x:v>
      </x:c>
      <x:c r="I105" s="12" t="n">
        <x:v>1.21</x:v>
      </x:c>
      <x:c r="J105" s="12" t="n">
        <x:v>12</x:v>
      </x:c>
      <x:c r="K105" s="12" t="str">
        <x:v>Sales A</x:v>
      </x:c>
      <x:c r="L105" s="12" t="str">
        <x:v>Hot</x:v>
      </x:c>
    </x:row>
    <x:row r="106">
      <x:c r="A106" s="12" t="str">
        <x:v>LEAD-00105</x:v>
      </x:c>
      <x:c r="B106" s="18" t="n">
        <x:v>46210</x:v>
      </x:c>
      <x:c r="C106" s="12" t="str">
        <x:v>DLR-009</x:v>
      </x:c>
      <x:c r="D106" s="12" t="str">
        <x:v>VinFast HTA Đông Anh</x:v>
      </x:c>
      <x:c r="E106" s="12" t="str">
        <x:v>VinFast</x:v>
      </x:c>
      <x:c r="F106" s="12" t="str">
        <x:v>Event</x:v>
      </x:c>
      <x:c r="G106" s="12" t="str">
        <x:v>New</x:v>
      </x:c>
      <x:c r="H106" s="34" t="n">
        <x:v>0.08</x:v>
      </x:c>
      <x:c r="I106" s="12" t="n">
        <x:v>0.84</x:v>
      </x:c>
      <x:c r="J106" s="12" t="n">
        <x:v>15</x:v>
      </x:c>
      <x:c r="K106" s="12" t="str">
        <x:v>Sales A</x:v>
      </x:c>
      <x:c r="L106" s="12" t="str">
        <x:v>Priority</x:v>
      </x:c>
    </x:row>
    <x:row r="107">
      <x:c r="A107" s="12" t="str">
        <x:v>LEAD-00106</x:v>
      </x:c>
      <x:c r="B107" s="18" t="n">
        <x:v>46216</x:v>
      </x:c>
      <x:c r="C107" s="12" t="str">
        <x:v>DLR-013</x:v>
      </x:c>
      <x:c r="D107" s="12" t="str">
        <x:v>VinFast HTA Ninh Bình</x:v>
      </x:c>
      <x:c r="E107" s="12" t="str">
        <x:v>VinFast</x:v>
      </x:c>
      <x:c r="F107" s="12" t="str">
        <x:v>Event</x:v>
      </x:c>
      <x:c r="G107" s="12" t="str">
        <x:v>Qualified</x:v>
      </x:c>
      <x:c r="H107" s="34" t="n">
        <x:v>0.3</x:v>
      </x:c>
      <x:c r="I107" s="12" t="n">
        <x:v>0.4</x:v>
      </x:c>
      <x:c r="J107" s="12" t="n">
        <x:v>9</x:v>
      </x:c>
      <x:c r="K107" s="12" t="str">
        <x:v>Sales D</x:v>
      </x:c>
      <x:c r="L107" s="12" t="str">
        <x:v>Priority</x:v>
      </x:c>
    </x:row>
    <x:row r="108">
      <x:c r="A108" s="12" t="str">
        <x:v>LEAD-00107</x:v>
      </x:c>
      <x:c r="B108" s="18" t="n">
        <x:v>46206</x:v>
      </x:c>
      <x:c r="C108" s="12" t="str">
        <x:v>DLR-003</x:v>
      </x:c>
      <x:c r="D108" s="12" t="str">
        <x:v>Mỹ Đình Ford</x:v>
      </x:c>
      <x:c r="E108" s="12" t="str">
        <x:v>Ford</x:v>
      </x:c>
      <x:c r="F108" s="12" t="str">
        <x:v>Digital</x:v>
      </x:c>
      <x:c r="G108" s="12" t="str">
        <x:v>Negotiation</x:v>
      </x:c>
      <x:c r="H108" s="34" t="n">
        <x:v>0.7</x:v>
      </x:c>
      <x:c r="I108" s="12" t="n">
        <x:v>0.96</x:v>
      </x:c>
      <x:c r="J108" s="12" t="n">
        <x:v>19</x:v>
      </x:c>
      <x:c r="K108" s="12" t="str">
        <x:v>Sales D</x:v>
      </x:c>
      <x:c r="L108" s="12" t="str">
        <x:v>Hot</x:v>
      </x:c>
    </x:row>
    <x:row r="109">
      <x:c r="A109" s="12" t="str">
        <x:v>LEAD-00108</x:v>
      </x:c>
      <x:c r="B109" s="18" t="n">
        <x:v>46210</x:v>
      </x:c>
      <x:c r="C109" s="12" t="str">
        <x:v>DLR-002</x:v>
      </x:c>
      <x:c r="D109" s="12" t="str">
        <x:v>Hà Thành Ford - Mỹ Đình</x:v>
      </x:c>
      <x:c r="E109" s="12" t="str">
        <x:v>Ford</x:v>
      </x:c>
      <x:c r="F109" s="12" t="str">
        <x:v>Corporate/Fleet</x:v>
      </x:c>
      <x:c r="G109" s="12" t="str">
        <x:v>New</x:v>
      </x:c>
      <x:c r="H109" s="34" t="n">
        <x:v>0.08</x:v>
      </x:c>
      <x:c r="I109" s="12" t="n">
        <x:v>0.84</x:v>
      </x:c>
      <x:c r="J109" s="12" t="n">
        <x:v>15</x:v>
      </x:c>
      <x:c r="K109" s="12" t="str">
        <x:v>Sales C</x:v>
      </x:c>
      <x:c r="L109" s="12" t="str">
        <x:v>Normal</x:v>
      </x:c>
    </x:row>
    <x:row r="110">
      <x:c r="A110" s="12" t="str">
        <x:v>LEAD-00109</x:v>
      </x:c>
      <x:c r="B110" s="18" t="n">
        <x:v>46210</x:v>
      </x:c>
      <x:c r="C110" s="12" t="str">
        <x:v>DLR-001</x:v>
      </x:c>
      <x:c r="D110" s="12" t="str">
        <x:v>Hà Thành Ford</x:v>
      </x:c>
      <x:c r="E110" s="12" t="str">
        <x:v>Ford</x:v>
      </x:c>
      <x:c r="F110" s="12" t="str">
        <x:v>Digital</x:v>
      </x:c>
      <x:c r="G110" s="12" t="str">
        <x:v>Order</x:v>
      </x:c>
      <x:c r="H110" s="34" t="n">
        <x:v>0.95</x:v>
      </x:c>
      <x:c r="I110" s="12" t="n">
        <x:v>0.55</x:v>
      </x:c>
      <x:c r="J110" s="12" t="n">
        <x:v>15</x:v>
      </x:c>
      <x:c r="K110" s="12" t="str">
        <x:v>Sales D</x:v>
      </x:c>
      <x:c r="L110" s="12" t="str">
        <x:v>Hot</x:v>
      </x:c>
    </x:row>
    <x:row r="111">
      <x:c r="A111" s="12" t="str">
        <x:v>LEAD-00110</x:v>
      </x:c>
      <x:c r="B111" s="18" t="n">
        <x:v>46221</x:v>
      </x:c>
      <x:c r="C111" s="12" t="str">
        <x:v>DLR-015</x:v>
      </x:c>
      <x:c r="D111" s="12" t="str">
        <x:v>VinFast HTA Văn Phú</x:v>
      </x:c>
      <x:c r="E111" s="12" t="str">
        <x:v>VinFast</x:v>
      </x:c>
      <x:c r="F111" s="12" t="str">
        <x:v>Corporate/Fleet</x:v>
      </x:c>
      <x:c r="G111" s="12" t="str">
        <x:v>Qualified</x:v>
      </x:c>
      <x:c r="H111" s="34" t="n">
        <x:v>0.3</x:v>
      </x:c>
      <x:c r="I111" s="12" t="n">
        <x:v>0.52</x:v>
      </x:c>
      <x:c r="J111" s="12" t="n">
        <x:v>4</x:v>
      </x:c>
      <x:c r="K111" s="12" t="str">
        <x:v>Sales C</x:v>
      </x:c>
      <x:c r="L111" s="12" t="str">
        <x:v>Hot</x:v>
      </x:c>
    </x:row>
    <x:row r="112">
      <x:c r="A112" s="12" t="str">
        <x:v>LEAD-00111</x:v>
      </x:c>
      <x:c r="B112" s="18" t="n">
        <x:v>46216</x:v>
      </x:c>
      <x:c r="C112" s="12" t="str">
        <x:v>DLR-012</x:v>
      </x:c>
      <x:c r="D112" s="12" t="str">
        <x:v>VinFast HTA Võ Chí Công</x:v>
      </x:c>
      <x:c r="E112" s="12" t="str">
        <x:v>VinFast</x:v>
      </x:c>
      <x:c r="F112" s="12" t="str">
        <x:v>Walk-in</x:v>
      </x:c>
      <x:c r="G112" s="12" t="str">
        <x:v>Qualified</x:v>
      </x:c>
      <x:c r="H112" s="34" t="n">
        <x:v>0.3</x:v>
      </x:c>
      <x:c r="I112" s="12" t="n">
        <x:v>0.55</x:v>
      </x:c>
      <x:c r="J112" s="12" t="n">
        <x:v>9</x:v>
      </x:c>
      <x:c r="K112" s="12" t="str">
        <x:v>Sales D</x:v>
      </x:c>
      <x:c r="L112" s="12" t="str">
        <x:v>Normal</x:v>
      </x:c>
    </x:row>
    <x:row r="113">
      <x:c r="A113" s="12" t="str">
        <x:v>LEAD-00112</x:v>
      </x:c>
      <x:c r="B113" s="18" t="n">
        <x:v>46219</x:v>
      </x:c>
      <x:c r="C113" s="12" t="str">
        <x:v>DLR-011</x:v>
      </x:c>
      <x:c r="D113" s="12" t="str">
        <x:v>VinFast HTA Phạm Văn Đồng</x:v>
      </x:c>
      <x:c r="E113" s="12" t="str">
        <x:v>VinFast</x:v>
      </x:c>
      <x:c r="F113" s="12" t="str">
        <x:v>Corporate/Fleet</x:v>
      </x:c>
      <x:c r="G113" s="12" t="str">
        <x:v>New</x:v>
      </x:c>
      <x:c r="H113" s="34" t="n">
        <x:v>0.08</x:v>
      </x:c>
      <x:c r="I113" s="12" t="n">
        <x:v>0.98</x:v>
      </x:c>
      <x:c r="J113" s="12" t="n">
        <x:v>6</x:v>
      </x:c>
      <x:c r="K113" s="12" t="str">
        <x:v>Sales D</x:v>
      </x:c>
      <x:c r="L113" s="12" t="str">
        <x:v>Hot</x:v>
      </x:c>
    </x:row>
    <x:row r="114">
      <x:c r="A114" s="12" t="str">
        <x:v>LEAD-00113</x:v>
      </x:c>
      <x:c r="B114" s="18" t="n">
        <x:v>46204</x:v>
      </x:c>
      <x:c r="C114" s="12" t="str">
        <x:v>DLR-005</x:v>
      </x:c>
      <x:c r="D114" s="12" t="str">
        <x:v>BYD HTA Tây Hồ</x:v>
      </x:c>
      <x:c r="E114" s="12" t="str">
        <x:v>BYD</x:v>
      </x:c>
      <x:c r="F114" s="12" t="str">
        <x:v>Event</x:v>
      </x:c>
      <x:c r="G114" s="12" t="str">
        <x:v>Contacted</x:v>
      </x:c>
      <x:c r="H114" s="34" t="n">
        <x:v>0.15</x:v>
      </x:c>
      <x:c r="I114" s="12" t="n">
        <x:v>0.43</x:v>
      </x:c>
      <x:c r="J114" s="12" t="n">
        <x:v>21</x:v>
      </x:c>
      <x:c r="K114" s="12" t="str">
        <x:v>Sales B</x:v>
      </x:c>
      <x:c r="L114" s="12" t="str">
        <x:v>Priority</x:v>
      </x:c>
    </x:row>
    <x:row r="115">
      <x:c r="A115" s="12" t="str">
        <x:v>LEAD-00114</x:v>
      </x:c>
      <x:c r="B115" s="18" t="n">
        <x:v>46204</x:v>
      </x:c>
      <x:c r="C115" s="12" t="str">
        <x:v>DLR-004</x:v>
      </x:c>
      <x:c r="D115" s="12" t="str">
        <x:v>Việt Trì Ford</x:v>
      </x:c>
      <x:c r="E115" s="12" t="str">
        <x:v>Ford</x:v>
      </x:c>
      <x:c r="F115" s="12" t="str">
        <x:v>Digital</x:v>
      </x:c>
      <x:c r="G115" s="12" t="str">
        <x:v>New</x:v>
      </x:c>
      <x:c r="H115" s="34" t="n">
        <x:v>0.08</x:v>
      </x:c>
      <x:c r="I115" s="12" t="n">
        <x:v>0.97</x:v>
      </x:c>
      <x:c r="J115" s="12" t="n">
        <x:v>21</x:v>
      </x:c>
      <x:c r="K115" s="12" t="str">
        <x:v>Sales C</x:v>
      </x:c>
      <x:c r="L115" s="12" t="str">
        <x:v>Normal</x:v>
      </x:c>
    </x:row>
    <x:row r="116">
      <x:c r="A116" s="12" t="str">
        <x:v>LEAD-00115</x:v>
      </x:c>
      <x:c r="B116" s="18" t="n">
        <x:v>46214</x:v>
      </x:c>
      <x:c r="C116" s="12" t="str">
        <x:v>DLR-015</x:v>
      </x:c>
      <x:c r="D116" s="12" t="str">
        <x:v>VinFast HTA Văn Phú</x:v>
      </x:c>
      <x:c r="E116" s="12" t="str">
        <x:v>VinFast</x:v>
      </x:c>
      <x:c r="F116" s="12" t="str">
        <x:v>Digital</x:v>
      </x:c>
      <x:c r="G116" s="12" t="str">
        <x:v>New</x:v>
      </x:c>
      <x:c r="H116" s="34" t="n">
        <x:v>0.08</x:v>
      </x:c>
      <x:c r="I116" s="12" t="n">
        <x:v>0.84</x:v>
      </x:c>
      <x:c r="J116" s="12" t="n">
        <x:v>11</x:v>
      </x:c>
      <x:c r="K116" s="12" t="str">
        <x:v>Sales C</x:v>
      </x:c>
      <x:c r="L116" s="12" t="str">
        <x:v>Normal</x:v>
      </x:c>
    </x:row>
    <x:row r="117">
      <x:c r="A117" s="12" t="str">
        <x:v>LEAD-00116</x:v>
      </x:c>
      <x:c r="B117" s="18" t="n">
        <x:v>46213</x:v>
      </x:c>
      <x:c r="C117" s="12" t="str">
        <x:v>DLR-019</x:v>
      </x:c>
      <x:c r="D117" s="12" t="str">
        <x:v>OMODA &amp; JAECOO HTA Việt Trì</x:v>
      </x:c>
      <x:c r="E117" s="12" t="str">
        <x:v>OMODA &amp; JAECOO</x:v>
      </x:c>
      <x:c r="F117" s="12" t="str">
        <x:v>Referral</x:v>
      </x:c>
      <x:c r="G117" s="12" t="str">
        <x:v>New</x:v>
      </x:c>
      <x:c r="H117" s="34" t="n">
        <x:v>0.08</x:v>
      </x:c>
      <x:c r="I117" s="12" t="n">
        <x:v>0.3</x:v>
      </x:c>
      <x:c r="J117" s="12" t="n">
        <x:v>12</x:v>
      </x:c>
      <x:c r="K117" s="12" t="str">
        <x:v>Sales A</x:v>
      </x:c>
      <x:c r="L117" s="12" t="str">
        <x:v>Priority</x:v>
      </x:c>
    </x:row>
    <x:row r="118">
      <x:c r="A118" s="12" t="str">
        <x:v>LEAD-00117</x:v>
      </x:c>
      <x:c r="B118" s="18" t="n">
        <x:v>46212</x:v>
      </x:c>
      <x:c r="C118" s="12" t="str">
        <x:v>DLR-006</x:v>
      </x:c>
      <x:c r="D118" s="12" t="str">
        <x:v>BYD HTA Hoàn Kiếm</x:v>
      </x:c>
      <x:c r="E118" s="12" t="str">
        <x:v>BYD</x:v>
      </x:c>
      <x:c r="F118" s="12" t="str">
        <x:v>Referral</x:v>
      </x:c>
      <x:c r="G118" s="12" t="str">
        <x:v>Lost</x:v>
      </x:c>
      <x:c r="H118" s="34" t="n">
        <x:v>0</x:v>
      </x:c>
      <x:c r="I118" s="12" t="n">
        <x:v>0.64</x:v>
      </x:c>
      <x:c r="J118" s="12" t="n">
        <x:v>13</x:v>
      </x:c>
      <x:c r="K118" s="12" t="str">
        <x:v>Sales C</x:v>
      </x:c>
      <x:c r="L118" s="12" t="str">
        <x:v>Normal</x:v>
      </x:c>
    </x:row>
    <x:row r="119">
      <x:c r="A119" s="12" t="str">
        <x:v>LEAD-00118</x:v>
      </x:c>
      <x:c r="B119" s="18" t="n">
        <x:v>46215</x:v>
      </x:c>
      <x:c r="C119" s="12" t="str">
        <x:v>DLR-020</x:v>
      </x:c>
      <x:c r="D119" s="12" t="str">
        <x:v>Wuling HTA Long Biên</x:v>
      </x:c>
      <x:c r="E119" s="12" t="str">
        <x:v>Wuling</x:v>
      </x:c>
      <x:c r="F119" s="12" t="str">
        <x:v>Corporate/Fleet</x:v>
      </x:c>
      <x:c r="G119" s="12" t="str">
        <x:v>Qualified</x:v>
      </x:c>
      <x:c r="H119" s="34" t="n">
        <x:v>0.3</x:v>
      </x:c>
      <x:c r="I119" s="12" t="n">
        <x:v>0.74</x:v>
      </x:c>
      <x:c r="J119" s="12" t="n">
        <x:v>10</x:v>
      </x:c>
      <x:c r="K119" s="12" t="str">
        <x:v>Sales C</x:v>
      </x:c>
      <x:c r="L119" s="12" t="str">
        <x:v>Hot</x:v>
      </x:c>
    </x:row>
    <x:row r="120">
      <x:c r="A120" s="12" t="str">
        <x:v>LEAD-00119</x:v>
      </x:c>
      <x:c r="B120" s="18" t="n">
        <x:v>46206</x:v>
      </x:c>
      <x:c r="C120" s="12" t="str">
        <x:v>DLR-001</x:v>
      </x:c>
      <x:c r="D120" s="12" t="str">
        <x:v>Hà Thành Ford</x:v>
      </x:c>
      <x:c r="E120" s="12" t="str">
        <x:v>Ford</x:v>
      </x:c>
      <x:c r="F120" s="12" t="str">
        <x:v>Event</x:v>
      </x:c>
      <x:c r="G120" s="12" t="str">
        <x:v>Contacted</x:v>
      </x:c>
      <x:c r="H120" s="34" t="n">
        <x:v>0.15</x:v>
      </x:c>
      <x:c r="I120" s="12" t="n">
        <x:v>0.34</x:v>
      </x:c>
      <x:c r="J120" s="12" t="n">
        <x:v>19</x:v>
      </x:c>
      <x:c r="K120" s="12" t="str">
        <x:v>Sales B</x:v>
      </x:c>
      <x:c r="L120" s="12" t="str">
        <x:v>Hot</x:v>
      </x:c>
    </x:row>
    <x:row r="121">
      <x:c r="A121" s="12" t="str">
        <x:v>LEAD-00120</x:v>
      </x:c>
      <x:c r="B121" s="18" t="n">
        <x:v>46218</x:v>
      </x:c>
      <x:c r="C121" s="12" t="str">
        <x:v>DLR-008</x:v>
      </x:c>
      <x:c r="D121" s="12" t="str">
        <x:v>VinFast HTA Nguyễn Văn Linh</x:v>
      </x:c>
      <x:c r="E121" s="12" t="str">
        <x:v>VinFast</x:v>
      </x:c>
      <x:c r="F121" s="12" t="str">
        <x:v>Event</x:v>
      </x:c>
      <x:c r="G121" s="12" t="str">
        <x:v>Test Drive</x:v>
      </x:c>
      <x:c r="H121" s="34" t="n">
        <x:v>0.5</x:v>
      </x:c>
      <x:c r="I121" s="12" t="n">
        <x:v>0.36</x:v>
      </x:c>
      <x:c r="J121" s="12" t="n">
        <x:v>7</x:v>
      </x:c>
      <x:c r="K121" s="12" t="str">
        <x:v>Sales C</x:v>
      </x:c>
      <x:c r="L121" s="12" t="str">
        <x:v>Priority</x:v>
      </x:c>
    </x:row>
    <x:row r="122">
      <x:c r="A122" s="12" t="str">
        <x:v>LEAD-00121</x:v>
      </x:c>
      <x:c r="B122" s="18" t="n">
        <x:v>46223</x:v>
      </x:c>
      <x:c r="C122" s="12" t="str">
        <x:v>DLR-009</x:v>
      </x:c>
      <x:c r="D122" s="12" t="str">
        <x:v>VinFast HTA Đông Anh</x:v>
      </x:c>
      <x:c r="E122" s="12" t="str">
        <x:v>VinFast</x:v>
      </x:c>
      <x:c r="F122" s="12" t="str">
        <x:v>Corporate/Fleet</x:v>
      </x:c>
      <x:c r="G122" s="12" t="str">
        <x:v>Qualified</x:v>
      </x:c>
      <x:c r="H122" s="34" t="n">
        <x:v>0.3</x:v>
      </x:c>
      <x:c r="I122" s="12" t="n">
        <x:v>0.96</x:v>
      </x:c>
      <x:c r="J122" s="12" t="n">
        <x:v>2</x:v>
      </x:c>
      <x:c r="K122" s="12" t="str">
        <x:v>Sales B</x:v>
      </x:c>
      <x:c r="L122" s="12" t="str">
        <x:v>Hot</x:v>
      </x:c>
    </x:row>
    <x:row r="123">
      <x:c r="A123" s="12" t="str">
        <x:v>LEAD-00122</x:v>
      </x:c>
      <x:c r="B123" s="18" t="n">
        <x:v>46204</x:v>
      </x:c>
      <x:c r="C123" s="12" t="str">
        <x:v>DLR-002</x:v>
      </x:c>
      <x:c r="D123" s="12" t="str">
        <x:v>Hà Thành Ford - Mỹ Đình</x:v>
      </x:c>
      <x:c r="E123" s="12" t="str">
        <x:v>Ford</x:v>
      </x:c>
      <x:c r="F123" s="12" t="str">
        <x:v>Walk-in</x:v>
      </x:c>
      <x:c r="G123" s="12" t="str">
        <x:v>Contacted</x:v>
      </x:c>
      <x:c r="H123" s="34" t="n">
        <x:v>0.15</x:v>
      </x:c>
      <x:c r="I123" s="12" t="n">
        <x:v>0.48</x:v>
      </x:c>
      <x:c r="J123" s="12" t="n">
        <x:v>21</x:v>
      </x:c>
      <x:c r="K123" s="12" t="str">
        <x:v>Sales D</x:v>
      </x:c>
      <x:c r="L123" s="12" t="str">
        <x:v>Normal</x:v>
      </x:c>
    </x:row>
    <x:row r="124">
      <x:c r="A124" s="12" t="str">
        <x:v>LEAD-00123</x:v>
      </x:c>
      <x:c r="B124" s="18" t="n">
        <x:v>46204</x:v>
      </x:c>
      <x:c r="C124" s="12" t="str">
        <x:v>DLR-005</x:v>
      </x:c>
      <x:c r="D124" s="12" t="str">
        <x:v>BYD HTA Tây Hồ</x:v>
      </x:c>
      <x:c r="E124" s="12" t="str">
        <x:v>BYD</x:v>
      </x:c>
      <x:c r="F124" s="12" t="str">
        <x:v>Digital</x:v>
      </x:c>
      <x:c r="G124" s="12" t="str">
        <x:v>Contacted</x:v>
      </x:c>
      <x:c r="H124" s="34" t="n">
        <x:v>0.15</x:v>
      </x:c>
      <x:c r="I124" s="12" t="n">
        <x:v>0.85</x:v>
      </x:c>
      <x:c r="J124" s="12" t="n">
        <x:v>21</x:v>
      </x:c>
      <x:c r="K124" s="12" t="str">
        <x:v>Sales D</x:v>
      </x:c>
      <x:c r="L124" s="12" t="str">
        <x:v>Hot</x:v>
      </x:c>
    </x:row>
    <x:row r="125">
      <x:c r="A125" s="12" t="str">
        <x:v>LEAD-00124</x:v>
      </x:c>
      <x:c r="B125" s="18" t="n">
        <x:v>46217</x:v>
      </x:c>
      <x:c r="C125" s="12" t="str">
        <x:v>DLR-012</x:v>
      </x:c>
      <x:c r="D125" s="12" t="str">
        <x:v>VinFast HTA Võ Chí Công</x:v>
      </x:c>
      <x:c r="E125" s="12" t="str">
        <x:v>VinFast</x:v>
      </x:c>
      <x:c r="F125" s="12" t="str">
        <x:v>Digital</x:v>
      </x:c>
      <x:c r="G125" s="12" t="str">
        <x:v>Test Drive</x:v>
      </x:c>
      <x:c r="H125" s="34" t="n">
        <x:v>0.5</x:v>
      </x:c>
      <x:c r="I125" s="12" t="n">
        <x:v>0.72</x:v>
      </x:c>
      <x:c r="J125" s="12" t="n">
        <x:v>8</x:v>
      </x:c>
      <x:c r="K125" s="12" t="str">
        <x:v>Sales C</x:v>
      </x:c>
      <x:c r="L125" s="12" t="str">
        <x:v>Normal</x:v>
      </x:c>
    </x:row>
    <x:row r="126">
      <x:c r="A126" s="12" t="str">
        <x:v>LEAD-00125</x:v>
      </x:c>
      <x:c r="B126" s="18" t="n">
        <x:v>46224</x:v>
      </x:c>
      <x:c r="C126" s="12" t="str">
        <x:v>DLR-005</x:v>
      </x:c>
      <x:c r="D126" s="12" t="str">
        <x:v>BYD HTA Tây Hồ</x:v>
      </x:c>
      <x:c r="E126" s="12" t="str">
        <x:v>BYD</x:v>
      </x:c>
      <x:c r="F126" s="12" t="str">
        <x:v>Event</x:v>
      </x:c>
      <x:c r="G126" s="12" t="str">
        <x:v>New</x:v>
      </x:c>
      <x:c r="H126" s="34" t="n">
        <x:v>0.08</x:v>
      </x:c>
      <x:c r="I126" s="12" t="n">
        <x:v>1.42</x:v>
      </x:c>
      <x:c r="J126" s="12" t="n">
        <x:v>1</x:v>
      </x:c>
      <x:c r="K126" s="12" t="str">
        <x:v>Sales C</x:v>
      </x:c>
      <x:c r="L126" s="12" t="str">
        <x:v>Normal</x:v>
      </x:c>
    </x:row>
    <x:row r="127">
      <x:c r="A127" s="12" t="str">
        <x:v>LEAD-00126</x:v>
      </x:c>
      <x:c r="B127" s="18" t="n">
        <x:v>46210</x:v>
      </x:c>
      <x:c r="C127" s="12" t="str">
        <x:v>DLR-014</x:v>
      </x:c>
      <x:c r="D127" s="12" t="str">
        <x:v>VinFast HTA Nam Từ Liêm</x:v>
      </x:c>
      <x:c r="E127" s="12" t="str">
        <x:v>VinFast</x:v>
      </x:c>
      <x:c r="F127" s="12" t="str">
        <x:v>Walk-in</x:v>
      </x:c>
      <x:c r="G127" s="12" t="str">
        <x:v>New</x:v>
      </x:c>
      <x:c r="H127" s="34" t="n">
        <x:v>0.08</x:v>
      </x:c>
      <x:c r="I127" s="12" t="n">
        <x:v>0.32</x:v>
      </x:c>
      <x:c r="J127" s="12" t="n">
        <x:v>15</x:v>
      </x:c>
      <x:c r="K127" s="12" t="str">
        <x:v>Sales A</x:v>
      </x:c>
      <x:c r="L127" s="12" t="str">
        <x:v>Hot</x:v>
      </x:c>
    </x:row>
    <x:row r="128">
      <x:c r="A128" s="12" t="str">
        <x:v>LEAD-00127</x:v>
      </x:c>
      <x:c r="B128" s="18" t="n">
        <x:v>46225</x:v>
      </x:c>
      <x:c r="C128" s="12" t="str">
        <x:v>DLR-005</x:v>
      </x:c>
      <x:c r="D128" s="12" t="str">
        <x:v>BYD HTA Tây Hồ</x:v>
      </x:c>
      <x:c r="E128" s="12" t="str">
        <x:v>BYD</x:v>
      </x:c>
      <x:c r="F128" s="12" t="str">
        <x:v>Referral</x:v>
      </x:c>
      <x:c r="G128" s="12" t="str">
        <x:v>Contacted</x:v>
      </x:c>
      <x:c r="H128" s="34" t="n">
        <x:v>0.15</x:v>
      </x:c>
      <x:c r="I128" s="12" t="n">
        <x:v>1.08</x:v>
      </x:c>
      <x:c r="J128" s="12" t="n">
        <x:v>0</x:v>
      </x:c>
      <x:c r="K128" s="12" t="str">
        <x:v>Sales C</x:v>
      </x:c>
      <x:c r="L128" s="12" t="str">
        <x:v>Normal</x:v>
      </x:c>
    </x:row>
    <x:row r="129">
      <x:c r="A129" s="12" t="str">
        <x:v>LEAD-00128</x:v>
      </x:c>
      <x:c r="B129" s="18" t="n">
        <x:v>46215</x:v>
      </x:c>
      <x:c r="C129" s="12" t="str">
        <x:v>DLR-001</x:v>
      </x:c>
      <x:c r="D129" s="12" t="str">
        <x:v>Hà Thành Ford</x:v>
      </x:c>
      <x:c r="E129" s="12" t="str">
        <x:v>Ford</x:v>
      </x:c>
      <x:c r="F129" s="12" t="str">
        <x:v>Referral</x:v>
      </x:c>
      <x:c r="G129" s="12" t="str">
        <x:v>Order</x:v>
      </x:c>
      <x:c r="H129" s="34" t="n">
        <x:v>0.95</x:v>
      </x:c>
      <x:c r="I129" s="12" t="n">
        <x:v>1.35</x:v>
      </x:c>
      <x:c r="J129" s="12" t="n">
        <x:v>10</x:v>
      </x:c>
      <x:c r="K129" s="12" t="str">
        <x:v>Sales C</x:v>
      </x:c>
      <x:c r="L129" s="12" t="str">
        <x:v>Priority</x:v>
      </x:c>
    </x:row>
    <x:row r="130">
      <x:c r="A130" s="12" t="str">
        <x:v>LEAD-00129</x:v>
      </x:c>
      <x:c r="B130" s="18" t="n">
        <x:v>46213</x:v>
      </x:c>
      <x:c r="C130" s="12" t="str">
        <x:v>DLR-009</x:v>
      </x:c>
      <x:c r="D130" s="12" t="str">
        <x:v>VinFast HTA Đông Anh</x:v>
      </x:c>
      <x:c r="E130" s="12" t="str">
        <x:v>VinFast</x:v>
      </x:c>
      <x:c r="F130" s="12" t="str">
        <x:v>Event</x:v>
      </x:c>
      <x:c r="G130" s="12" t="str">
        <x:v>New</x:v>
      </x:c>
      <x:c r="H130" s="34" t="n">
        <x:v>0.08</x:v>
      </x:c>
      <x:c r="I130" s="12" t="n">
        <x:v>1.34</x:v>
      </x:c>
      <x:c r="J130" s="12" t="n">
        <x:v>12</x:v>
      </x:c>
      <x:c r="K130" s="12" t="str">
        <x:v>Sales D</x:v>
      </x:c>
      <x:c r="L130" s="12" t="str">
        <x:v>Hot</x:v>
      </x:c>
    </x:row>
    <x:row r="131">
      <x:c r="A131" s="12" t="str">
        <x:v>LEAD-00130</x:v>
      </x:c>
      <x:c r="B131" s="18" t="n">
        <x:v>46222</x:v>
      </x:c>
      <x:c r="C131" s="12" t="str">
        <x:v>DLR-013</x:v>
      </x:c>
      <x:c r="D131" s="12" t="str">
        <x:v>VinFast HTA Ninh Bình</x:v>
      </x:c>
      <x:c r="E131" s="12" t="str">
        <x:v>VinFast</x:v>
      </x:c>
      <x:c r="F131" s="12" t="str">
        <x:v>Walk-in</x:v>
      </x:c>
      <x:c r="G131" s="12" t="str">
        <x:v>Negotiation</x:v>
      </x:c>
      <x:c r="H131" s="34" t="n">
        <x:v>0.7</x:v>
      </x:c>
      <x:c r="I131" s="12" t="n">
        <x:v>0.62</x:v>
      </x:c>
      <x:c r="J131" s="12" t="n">
        <x:v>3</x:v>
      </x:c>
      <x:c r="K131" s="12" t="str">
        <x:v>Sales A</x:v>
      </x:c>
      <x:c r="L131" s="12" t="str">
        <x:v>Hot</x:v>
      </x:c>
    </x:row>
    <x:row r="132">
      <x:c r="A132" s="12" t="str">
        <x:v>LEAD-00131</x:v>
      </x:c>
      <x:c r="B132" s="18" t="n">
        <x:v>46214</x:v>
      </x:c>
      <x:c r="C132" s="12" t="str">
        <x:v>DLR-007</x:v>
      </x:c>
      <x:c r="D132" s="12" t="str">
        <x:v>BYD Hà Đông</x:v>
      </x:c>
      <x:c r="E132" s="12" t="str">
        <x:v>BYD</x:v>
      </x:c>
      <x:c r="F132" s="12" t="str">
        <x:v>Corporate/Fleet</x:v>
      </x:c>
      <x:c r="G132" s="12" t="str">
        <x:v>Qualified</x:v>
      </x:c>
      <x:c r="H132" s="34" t="n">
        <x:v>0.3</x:v>
      </x:c>
      <x:c r="I132" s="12" t="n">
        <x:v>0.65</x:v>
      </x:c>
      <x:c r="J132" s="12" t="n">
        <x:v>11</x:v>
      </x:c>
      <x:c r="K132" s="12" t="str">
        <x:v>Sales D</x:v>
      </x:c>
      <x:c r="L132" s="12" t="str">
        <x:v>Priority</x:v>
      </x:c>
    </x:row>
    <x:row r="133">
      <x:c r="A133" s="12" t="str">
        <x:v>LEAD-00132</x:v>
      </x:c>
      <x:c r="B133" s="18" t="n">
        <x:v>46214</x:v>
      </x:c>
      <x:c r="C133" s="12" t="str">
        <x:v>DLR-002</x:v>
      </x:c>
      <x:c r="D133" s="12" t="str">
        <x:v>Hà Thành Ford - Mỹ Đình</x:v>
      </x:c>
      <x:c r="E133" s="12" t="str">
        <x:v>Ford</x:v>
      </x:c>
      <x:c r="F133" s="12" t="str">
        <x:v>Referral</x:v>
      </x:c>
      <x:c r="G133" s="12" t="str">
        <x:v>Qualified</x:v>
      </x:c>
      <x:c r="H133" s="34" t="n">
        <x:v>0.3</x:v>
      </x:c>
      <x:c r="I133" s="12" t="n">
        <x:v>1.14</x:v>
      </x:c>
      <x:c r="J133" s="12" t="n">
        <x:v>11</x:v>
      </x:c>
      <x:c r="K133" s="12" t="str">
        <x:v>Sales D</x:v>
      </x:c>
      <x:c r="L133" s="12" t="str">
        <x:v>Normal</x:v>
      </x:c>
    </x:row>
    <x:row r="134">
      <x:c r="A134" s="12" t="str">
        <x:v>LEAD-00133</x:v>
      </x:c>
      <x:c r="B134" s="18" t="n">
        <x:v>46223</x:v>
      </x:c>
      <x:c r="C134" s="12" t="str">
        <x:v>DLR-009</x:v>
      </x:c>
      <x:c r="D134" s="12" t="str">
        <x:v>VinFast HTA Đông Anh</x:v>
      </x:c>
      <x:c r="E134" s="12" t="str">
        <x:v>VinFast</x:v>
      </x:c>
      <x:c r="F134" s="12" t="str">
        <x:v>Corporate/Fleet</x:v>
      </x:c>
      <x:c r="G134" s="12" t="str">
        <x:v>Qualified</x:v>
      </x:c>
      <x:c r="H134" s="34" t="n">
        <x:v>0.3</x:v>
      </x:c>
      <x:c r="I134" s="12" t="n">
        <x:v>0.32</x:v>
      </x:c>
      <x:c r="J134" s="12" t="n">
        <x:v>2</x:v>
      </x:c>
      <x:c r="K134" s="12" t="str">
        <x:v>Sales A</x:v>
      </x:c>
      <x:c r="L134" s="12" t="str">
        <x:v>Normal</x:v>
      </x:c>
    </x:row>
    <x:row r="135">
      <x:c r="A135" s="12" t="str">
        <x:v>LEAD-00134</x:v>
      </x:c>
      <x:c r="B135" s="18" t="n">
        <x:v>46210</x:v>
      </x:c>
      <x:c r="C135" s="12" t="str">
        <x:v>DLR-006</x:v>
      </x:c>
      <x:c r="D135" s="12" t="str">
        <x:v>BYD HTA Hoàn Kiếm</x:v>
      </x:c>
      <x:c r="E135" s="12" t="str">
        <x:v>BYD</x:v>
      </x:c>
      <x:c r="F135" s="12" t="str">
        <x:v>Corporate/Fleet</x:v>
      </x:c>
      <x:c r="G135" s="12" t="str">
        <x:v>Contacted</x:v>
      </x:c>
      <x:c r="H135" s="34" t="n">
        <x:v>0.15</x:v>
      </x:c>
      <x:c r="I135" s="12" t="n">
        <x:v>0.81</x:v>
      </x:c>
      <x:c r="J135" s="12" t="n">
        <x:v>15</x:v>
      </x:c>
      <x:c r="K135" s="12" t="str">
        <x:v>Sales B</x:v>
      </x:c>
      <x:c r="L135" s="12" t="str">
        <x:v>Hot</x:v>
      </x:c>
    </x:row>
    <x:row r="136">
      <x:c r="A136" s="12" t="str">
        <x:v>LEAD-00135</x:v>
      </x:c>
      <x:c r="B136" s="18" t="n">
        <x:v>46218</x:v>
      </x:c>
      <x:c r="C136" s="12" t="str">
        <x:v>DLR-016</x:v>
      </x:c>
      <x:c r="D136" s="12" t="str">
        <x:v>VinFast HTA Mỹ Đình</x:v>
      </x:c>
      <x:c r="E136" s="12" t="str">
        <x:v>VinFast</x:v>
      </x:c>
      <x:c r="F136" s="12" t="str">
        <x:v>Corporate/Fleet</x:v>
      </x:c>
      <x:c r="G136" s="12" t="str">
        <x:v>Lost</x:v>
      </x:c>
      <x:c r="H136" s="34" t="n">
        <x:v>0</x:v>
      </x:c>
      <x:c r="I136" s="12" t="n">
        <x:v>1.08</x:v>
      </x:c>
      <x:c r="J136" s="12" t="n">
        <x:v>7</x:v>
      </x:c>
      <x:c r="K136" s="12" t="str">
        <x:v>Sales D</x:v>
      </x:c>
      <x:c r="L136" s="12" t="str">
        <x:v>Hot</x:v>
      </x:c>
    </x:row>
    <x:row r="137">
      <x:c r="A137" s="12" t="str">
        <x:v>LEAD-00136</x:v>
      </x:c>
      <x:c r="B137" s="18" t="n">
        <x:v>46212</x:v>
      </x:c>
      <x:c r="C137" s="12" t="str">
        <x:v>DLR-011</x:v>
      </x:c>
      <x:c r="D137" s="12" t="str">
        <x:v>VinFast HTA Phạm Văn Đồng</x:v>
      </x:c>
      <x:c r="E137" s="12" t="str">
        <x:v>VinFast</x:v>
      </x:c>
      <x:c r="F137" s="12" t="str">
        <x:v>Walk-in</x:v>
      </x:c>
      <x:c r="G137" s="12" t="str">
        <x:v>Negotiation</x:v>
      </x:c>
      <x:c r="H137" s="34" t="n">
        <x:v>0.7</x:v>
      </x:c>
      <x:c r="I137" s="12" t="n">
        <x:v>1.11</x:v>
      </x:c>
      <x:c r="J137" s="12" t="n">
        <x:v>13</x:v>
      </x:c>
      <x:c r="K137" s="12" t="str">
        <x:v>Sales C</x:v>
      </x:c>
      <x:c r="L137" s="12" t="str">
        <x:v>Priority</x:v>
      </x:c>
    </x:row>
    <x:row r="138">
      <x:c r="A138" s="12" t="str">
        <x:v>LEAD-00137</x:v>
      </x:c>
      <x:c r="B138" s="18" t="n">
        <x:v>46206</x:v>
      </x:c>
      <x:c r="C138" s="12" t="str">
        <x:v>DLR-004</x:v>
      </x:c>
      <x:c r="D138" s="12" t="str">
        <x:v>Việt Trì Ford</x:v>
      </x:c>
      <x:c r="E138" s="12" t="str">
        <x:v>Ford</x:v>
      </x:c>
      <x:c r="F138" s="12" t="str">
        <x:v>Event</x:v>
      </x:c>
      <x:c r="G138" s="12" t="str">
        <x:v>Contacted</x:v>
      </x:c>
      <x:c r="H138" s="34" t="n">
        <x:v>0.15</x:v>
      </x:c>
      <x:c r="I138" s="12" t="n">
        <x:v>0.98</x:v>
      </x:c>
      <x:c r="J138" s="12" t="n">
        <x:v>19</x:v>
      </x:c>
      <x:c r="K138" s="12" t="str">
        <x:v>Sales D</x:v>
      </x:c>
      <x:c r="L138" s="12" t="str">
        <x:v>Priority</x:v>
      </x:c>
    </x:row>
    <x:row r="139">
      <x:c r="A139" s="12" t="str">
        <x:v>LEAD-00138</x:v>
      </x:c>
      <x:c r="B139" s="18" t="n">
        <x:v>46205</x:v>
      </x:c>
      <x:c r="C139" s="12" t="str">
        <x:v>DLR-001</x:v>
      </x:c>
      <x:c r="D139" s="12" t="str">
        <x:v>Hà Thành Ford</x:v>
      </x:c>
      <x:c r="E139" s="12" t="str">
        <x:v>Ford</x:v>
      </x:c>
      <x:c r="F139" s="12" t="str">
        <x:v>Corporate/Fleet</x:v>
      </x:c>
      <x:c r="G139" s="12" t="str">
        <x:v>Negotiation</x:v>
      </x:c>
      <x:c r="H139" s="34" t="n">
        <x:v>0.7</x:v>
      </x:c>
      <x:c r="I139" s="12" t="n">
        <x:v>1.03</x:v>
      </x:c>
      <x:c r="J139" s="12" t="n">
        <x:v>20</x:v>
      </x:c>
      <x:c r="K139" s="12" t="str">
        <x:v>Sales C</x:v>
      </x:c>
      <x:c r="L139" s="12" t="str">
        <x:v>Normal</x:v>
      </x:c>
    </x:row>
    <x:row r="140">
      <x:c r="A140" s="12" t="str">
        <x:v>LEAD-00139</x:v>
      </x:c>
      <x:c r="B140" s="18" t="n">
        <x:v>46215</x:v>
      </x:c>
      <x:c r="C140" s="12" t="str">
        <x:v>DLR-020</x:v>
      </x:c>
      <x:c r="D140" s="12" t="str">
        <x:v>Wuling HTA Long Biên</x:v>
      </x:c>
      <x:c r="E140" s="12" t="str">
        <x:v>Wuling</x:v>
      </x:c>
      <x:c r="F140" s="12" t="str">
        <x:v>Corporate/Fleet</x:v>
      </x:c>
      <x:c r="G140" s="12" t="str">
        <x:v>Qualified</x:v>
      </x:c>
      <x:c r="H140" s="34" t="n">
        <x:v>0.3</x:v>
      </x:c>
      <x:c r="I140" s="12" t="n">
        <x:v>0.32</x:v>
      </x:c>
      <x:c r="J140" s="12" t="n">
        <x:v>10</x:v>
      </x:c>
      <x:c r="K140" s="12" t="str">
        <x:v>Sales C</x:v>
      </x:c>
      <x:c r="L140" s="12" t="str">
        <x:v>Priority</x:v>
      </x:c>
    </x:row>
    <x:row r="141">
      <x:c r="A141" s="12" t="str">
        <x:v>LEAD-00140</x:v>
      </x:c>
      <x:c r="B141" s="18" t="n">
        <x:v>46207</x:v>
      </x:c>
      <x:c r="C141" s="12" t="str">
        <x:v>DLR-018</x:v>
      </x:c>
      <x:c r="D141" s="12" t="str">
        <x:v>OMODA &amp; JAECOO HTA Nam Từ Liêm</x:v>
      </x:c>
      <x:c r="E141" s="12" t="str">
        <x:v>OMODA &amp; JAECOO</x:v>
      </x:c>
      <x:c r="F141" s="12" t="str">
        <x:v>Corporate/Fleet</x:v>
      </x:c>
      <x:c r="G141" s="12" t="str">
        <x:v>Order</x:v>
      </x:c>
      <x:c r="H141" s="34" t="n">
        <x:v>0.95</x:v>
      </x:c>
      <x:c r="I141" s="12" t="n">
        <x:v>0.34</x:v>
      </x:c>
      <x:c r="J141" s="12" t="n">
        <x:v>18</x:v>
      </x:c>
      <x:c r="K141" s="12" t="str">
        <x:v>Sales C</x:v>
      </x:c>
      <x:c r="L141" s="12" t="str">
        <x:v>Hot</x:v>
      </x:c>
    </x:row>
    <x:row r="142">
      <x:c r="A142" s="12" t="str">
        <x:v>LEAD-00141</x:v>
      </x:c>
      <x:c r="B142" s="18" t="n">
        <x:v>46223</x:v>
      </x:c>
      <x:c r="C142" s="12" t="str">
        <x:v>DLR-019</x:v>
      </x:c>
      <x:c r="D142" s="12" t="str">
        <x:v>OMODA &amp; JAECOO HTA Việt Trì</x:v>
      </x:c>
      <x:c r="E142" s="12" t="str">
        <x:v>OMODA &amp; JAECOO</x:v>
      </x:c>
      <x:c r="F142" s="12" t="str">
        <x:v>Digital</x:v>
      </x:c>
      <x:c r="G142" s="12" t="str">
        <x:v>Qualified</x:v>
      </x:c>
      <x:c r="H142" s="34" t="n">
        <x:v>0.3</x:v>
      </x:c>
      <x:c r="I142" s="12" t="n">
        <x:v>1.05</x:v>
      </x:c>
      <x:c r="J142" s="12" t="n">
        <x:v>2</x:v>
      </x:c>
      <x:c r="K142" s="12" t="str">
        <x:v>Sales A</x:v>
      </x:c>
      <x:c r="L142" s="12" t="str">
        <x:v>Hot</x:v>
      </x:c>
    </x:row>
    <x:row r="143">
      <x:c r="A143" s="12" t="str">
        <x:v>LEAD-00142</x:v>
      </x:c>
      <x:c r="B143" s="18" t="n">
        <x:v>46209</x:v>
      </x:c>
      <x:c r="C143" s="12" t="str">
        <x:v>DLR-017</x:v>
      </x:c>
      <x:c r="D143" s="12" t="str">
        <x:v>VinFast Quốc Oai</x:v>
      </x:c>
      <x:c r="E143" s="12" t="str">
        <x:v>VinFast</x:v>
      </x:c>
      <x:c r="F143" s="12" t="str">
        <x:v>Event</x:v>
      </x:c>
      <x:c r="G143" s="12" t="str">
        <x:v>Test Drive</x:v>
      </x:c>
      <x:c r="H143" s="34" t="n">
        <x:v>0.5</x:v>
      </x:c>
      <x:c r="I143" s="12" t="n">
        <x:v>0.69</x:v>
      </x:c>
      <x:c r="J143" s="12" t="n">
        <x:v>16</x:v>
      </x:c>
      <x:c r="K143" s="12" t="str">
        <x:v>Sales C</x:v>
      </x:c>
      <x:c r="L143" s="12" t="str">
        <x:v>Priority</x:v>
      </x:c>
    </x:row>
    <x:row r="144">
      <x:c r="A144" s="12" t="str">
        <x:v>LEAD-00143</x:v>
      </x:c>
      <x:c r="B144" s="18" t="n">
        <x:v>46225</x:v>
      </x:c>
      <x:c r="C144" s="12" t="str">
        <x:v>DLR-014</x:v>
      </x:c>
      <x:c r="D144" s="12" t="str">
        <x:v>VinFast HTA Nam Từ Liêm</x:v>
      </x:c>
      <x:c r="E144" s="12" t="str">
        <x:v>VinFast</x:v>
      </x:c>
      <x:c r="F144" s="12" t="str">
        <x:v>Referral</x:v>
      </x:c>
      <x:c r="G144" s="12" t="str">
        <x:v>Test Drive</x:v>
      </x:c>
      <x:c r="H144" s="34" t="n">
        <x:v>0.5</x:v>
      </x:c>
      <x:c r="I144" s="12" t="n">
        <x:v>1.35</x:v>
      </x:c>
      <x:c r="J144" s="12" t="n">
        <x:v>0</x:v>
      </x:c>
      <x:c r="K144" s="12" t="str">
        <x:v>Sales A</x:v>
      </x:c>
      <x:c r="L144" s="12" t="str">
        <x:v>Hot</x:v>
      </x:c>
    </x:row>
    <x:row r="145">
      <x:c r="A145" s="12" t="str">
        <x:v>LEAD-00144</x:v>
      </x:c>
      <x:c r="B145" s="18" t="n">
        <x:v>46224</x:v>
      </x:c>
      <x:c r="C145" s="12" t="str">
        <x:v>DLR-005</x:v>
      </x:c>
      <x:c r="D145" s="12" t="str">
        <x:v>BYD HTA Tây Hồ</x:v>
      </x:c>
      <x:c r="E145" s="12" t="str">
        <x:v>BYD</x:v>
      </x:c>
      <x:c r="F145" s="12" t="str">
        <x:v>Digital</x:v>
      </x:c>
      <x:c r="G145" s="12" t="str">
        <x:v>New</x:v>
      </x:c>
      <x:c r="H145" s="34" t="n">
        <x:v>0.08</x:v>
      </x:c>
      <x:c r="I145" s="12" t="n">
        <x:v>1.11</x:v>
      </x:c>
      <x:c r="J145" s="12" t="n">
        <x:v>1</x:v>
      </x:c>
      <x:c r="K145" s="12" t="str">
        <x:v>Sales C</x:v>
      </x:c>
      <x:c r="L145" s="12" t="str">
        <x:v>Hot</x:v>
      </x:c>
    </x:row>
    <x:row r="146">
      <x:c r="A146" s="12" t="str">
        <x:v>LEAD-00145</x:v>
      </x:c>
      <x:c r="B146" s="18" t="n">
        <x:v>46210</x:v>
      </x:c>
      <x:c r="C146" s="12" t="str">
        <x:v>DLR-018</x:v>
      </x:c>
      <x:c r="D146" s="12" t="str">
        <x:v>OMODA &amp; JAECOO HTA Nam Từ Liêm</x:v>
      </x:c>
      <x:c r="E146" s="12" t="str">
        <x:v>OMODA &amp; JAECOO</x:v>
      </x:c>
      <x:c r="F146" s="12" t="str">
        <x:v>Walk-in</x:v>
      </x:c>
      <x:c r="G146" s="12" t="str">
        <x:v>Order</x:v>
      </x:c>
      <x:c r="H146" s="34" t="n">
        <x:v>0.95</x:v>
      </x:c>
      <x:c r="I146" s="12" t="n">
        <x:v>0.43</x:v>
      </x:c>
      <x:c r="J146" s="12" t="n">
        <x:v>15</x:v>
      </x:c>
      <x:c r="K146" s="12" t="str">
        <x:v>Sales D</x:v>
      </x:c>
      <x:c r="L146" s="12" t="str">
        <x:v>Normal</x:v>
      </x:c>
    </x:row>
    <x:row r="147">
      <x:c r="A147" s="12" t="str">
        <x:v>LEAD-00146</x:v>
      </x:c>
      <x:c r="B147" s="18" t="n">
        <x:v>46210</x:v>
      </x:c>
      <x:c r="C147" s="12" t="str">
        <x:v>DLR-002</x:v>
      </x:c>
      <x:c r="D147" s="12" t="str">
        <x:v>Hà Thành Ford - Mỹ Đình</x:v>
      </x:c>
      <x:c r="E147" s="12" t="str">
        <x:v>Ford</x:v>
      </x:c>
      <x:c r="F147" s="12" t="str">
        <x:v>Walk-in</x:v>
      </x:c>
      <x:c r="G147" s="12" t="str">
        <x:v>New</x:v>
      </x:c>
      <x:c r="H147" s="34" t="n">
        <x:v>0.08</x:v>
      </x:c>
      <x:c r="I147" s="12" t="n">
        <x:v>1.02</x:v>
      </x:c>
      <x:c r="J147" s="12" t="n">
        <x:v>15</x:v>
      </x:c>
      <x:c r="K147" s="12" t="str">
        <x:v>Sales A</x:v>
      </x:c>
      <x:c r="L147" s="12" t="str">
        <x:v>Priority</x:v>
      </x:c>
    </x:row>
    <x:row r="148">
      <x:c r="A148" s="12" t="str">
        <x:v>LEAD-00147</x:v>
      </x:c>
      <x:c r="B148" s="18" t="n">
        <x:v>46215</x:v>
      </x:c>
      <x:c r="C148" s="12" t="str">
        <x:v>DLR-016</x:v>
      </x:c>
      <x:c r="D148" s="12" t="str">
        <x:v>VinFast HTA Mỹ Đình</x:v>
      </x:c>
      <x:c r="E148" s="12" t="str">
        <x:v>VinFast</x:v>
      </x:c>
      <x:c r="F148" s="12" t="str">
        <x:v>Referral</x:v>
      </x:c>
      <x:c r="G148" s="12" t="str">
        <x:v>Contacted</x:v>
      </x:c>
      <x:c r="H148" s="34" t="n">
        <x:v>0.15</x:v>
      </x:c>
      <x:c r="I148" s="12" t="n">
        <x:v>1.2</x:v>
      </x:c>
      <x:c r="J148" s="12" t="n">
        <x:v>10</x:v>
      </x:c>
      <x:c r="K148" s="12" t="str">
        <x:v>Sales B</x:v>
      </x:c>
      <x:c r="L148" s="12" t="str">
        <x:v>Priority</x:v>
      </x:c>
    </x:row>
    <x:row r="149">
      <x:c r="A149" s="12" t="str">
        <x:v>LEAD-00148</x:v>
      </x:c>
      <x:c r="B149" s="18" t="n">
        <x:v>46204</x:v>
      </x:c>
      <x:c r="C149" s="12" t="str">
        <x:v>DLR-011</x:v>
      </x:c>
      <x:c r="D149" s="12" t="str">
        <x:v>VinFast HTA Phạm Văn Đồng</x:v>
      </x:c>
      <x:c r="E149" s="12" t="str">
        <x:v>VinFast</x:v>
      </x:c>
      <x:c r="F149" s="12" t="str">
        <x:v>Referral</x:v>
      </x:c>
      <x:c r="G149" s="12" t="str">
        <x:v>New</x:v>
      </x:c>
      <x:c r="H149" s="34" t="n">
        <x:v>0.08</x:v>
      </x:c>
      <x:c r="I149" s="12" t="n">
        <x:v>1.27</x:v>
      </x:c>
      <x:c r="J149" s="12" t="n">
        <x:v>21</x:v>
      </x:c>
      <x:c r="K149" s="12" t="str">
        <x:v>Sales D</x:v>
      </x:c>
      <x:c r="L149" s="12" t="str">
        <x:v>Normal</x:v>
      </x:c>
    </x:row>
    <x:row r="150">
      <x:c r="A150" s="12" t="str">
        <x:v>LEAD-00149</x:v>
      </x:c>
      <x:c r="B150" s="18" t="n">
        <x:v>46209</x:v>
      </x:c>
      <x:c r="C150" s="12" t="str">
        <x:v>DLR-010</x:v>
      </x:c>
      <x:c r="D150" s="12" t="str">
        <x:v>VinFast HTA Đàm Quang Trung</x:v>
      </x:c>
      <x:c r="E150" s="12" t="str">
        <x:v>VinFast</x:v>
      </x:c>
      <x:c r="F150" s="12" t="str">
        <x:v>Event</x:v>
      </x:c>
      <x:c r="G150" s="12" t="str">
        <x:v>New</x:v>
      </x:c>
      <x:c r="H150" s="34" t="n">
        <x:v>0.08</x:v>
      </x:c>
      <x:c r="I150" s="12" t="n">
        <x:v>1.03</x:v>
      </x:c>
      <x:c r="J150" s="12" t="n">
        <x:v>16</x:v>
      </x:c>
      <x:c r="K150" s="12" t="str">
        <x:v>Sales A</x:v>
      </x:c>
      <x:c r="L150" s="12" t="str">
        <x:v>Priority</x:v>
      </x:c>
    </x:row>
    <x:row r="151">
      <x:c r="A151" s="12" t="str">
        <x:v>LEAD-00150</x:v>
      </x:c>
      <x:c r="B151" s="18" t="n">
        <x:v>46204</x:v>
      </x:c>
      <x:c r="C151" s="12" t="str">
        <x:v>DLR-003</x:v>
      </x:c>
      <x:c r="D151" s="12" t="str">
        <x:v>Mỹ Đình Ford</x:v>
      </x:c>
      <x:c r="E151" s="12" t="str">
        <x:v>Ford</x:v>
      </x:c>
      <x:c r="F151" s="12" t="str">
        <x:v>Digital</x:v>
      </x:c>
      <x:c r="G151" s="12" t="str">
        <x:v>Negotiation</x:v>
      </x:c>
      <x:c r="H151" s="34" t="n">
        <x:v>0.7</x:v>
      </x:c>
      <x:c r="I151" s="12" t="n">
        <x:v>0.46</x:v>
      </x:c>
      <x:c r="J151" s="12" t="n">
        <x:v>21</x:v>
      </x:c>
      <x:c r="K151" s="12" t="str">
        <x:v>Sales B</x:v>
      </x:c>
      <x:c r="L151" s="12" t="str">
        <x:v>Hot</x:v>
      </x:c>
    </x:row>
    <x:row r="152">
      <x:c r="A152" s="12" t="str">
        <x:v>LEAD-00151</x:v>
      </x:c>
      <x:c r="B152" s="18" t="n">
        <x:v>46214</x:v>
      </x:c>
      <x:c r="C152" s="12" t="str">
        <x:v>DLR-020</x:v>
      </x:c>
      <x:c r="D152" s="12" t="str">
        <x:v>Wuling HTA Long Biên</x:v>
      </x:c>
      <x:c r="E152" s="12" t="str">
        <x:v>Wuling</x:v>
      </x:c>
      <x:c r="F152" s="12" t="str">
        <x:v>Digital</x:v>
      </x:c>
      <x:c r="G152" s="12" t="str">
        <x:v>Negotiation</x:v>
      </x:c>
      <x:c r="H152" s="34" t="n">
        <x:v>0.7</x:v>
      </x:c>
      <x:c r="I152" s="12" t="n">
        <x:v>1.43</x:v>
      </x:c>
      <x:c r="J152" s="12" t="n">
        <x:v>11</x:v>
      </x:c>
      <x:c r="K152" s="12" t="str">
        <x:v>Sales A</x:v>
      </x:c>
      <x:c r="L152" s="12" t="str">
        <x:v>Normal</x:v>
      </x:c>
    </x:row>
    <x:row r="153">
      <x:c r="A153" s="12" t="str">
        <x:v>LEAD-00152</x:v>
      </x:c>
      <x:c r="B153" s="18" t="n">
        <x:v>46214</x:v>
      </x:c>
      <x:c r="C153" s="12" t="str">
        <x:v>DLR-013</x:v>
      </x:c>
      <x:c r="D153" s="12" t="str">
        <x:v>VinFast HTA Ninh Bình</x:v>
      </x:c>
      <x:c r="E153" s="12" t="str">
        <x:v>VinFast</x:v>
      </x:c>
      <x:c r="F153" s="12" t="str">
        <x:v>Digital</x:v>
      </x:c>
      <x:c r="G153" s="12" t="str">
        <x:v>Negotiation</x:v>
      </x:c>
      <x:c r="H153" s="34" t="n">
        <x:v>0.7</x:v>
      </x:c>
      <x:c r="I153" s="12" t="n">
        <x:v>0.54</x:v>
      </x:c>
      <x:c r="J153" s="12" t="n">
        <x:v>11</x:v>
      </x:c>
      <x:c r="K153" s="12" t="str">
        <x:v>Sales C</x:v>
      </x:c>
      <x:c r="L153" s="12" t="str">
        <x:v>Priority</x:v>
      </x:c>
    </x:row>
    <x:row r="154">
      <x:c r="A154" s="12" t="str">
        <x:v>LEAD-00153</x:v>
      </x:c>
      <x:c r="B154" s="18" t="n">
        <x:v>46210</x:v>
      </x:c>
      <x:c r="C154" s="12" t="str">
        <x:v>DLR-004</x:v>
      </x:c>
      <x:c r="D154" s="12" t="str">
        <x:v>Việt Trì Ford</x:v>
      </x:c>
      <x:c r="E154" s="12" t="str">
        <x:v>Ford</x:v>
      </x:c>
      <x:c r="F154" s="12" t="str">
        <x:v>Referral</x:v>
      </x:c>
      <x:c r="G154" s="12" t="str">
        <x:v>New</x:v>
      </x:c>
      <x:c r="H154" s="34" t="n">
        <x:v>0.08</x:v>
      </x:c>
      <x:c r="I154" s="12" t="n">
        <x:v>1.06</x:v>
      </x:c>
      <x:c r="J154" s="12" t="n">
        <x:v>15</x:v>
      </x:c>
      <x:c r="K154" s="12" t="str">
        <x:v>Sales D</x:v>
      </x:c>
      <x:c r="L154" s="12" t="str">
        <x:v>Priority</x:v>
      </x:c>
    </x:row>
    <x:row r="155">
      <x:c r="A155" s="12" t="str">
        <x:v>LEAD-00154</x:v>
      </x:c>
      <x:c r="B155" s="18" t="n">
        <x:v>46212</x:v>
      </x:c>
      <x:c r="C155" s="12" t="str">
        <x:v>DLR-019</x:v>
      </x:c>
      <x:c r="D155" s="12" t="str">
        <x:v>OMODA &amp; JAECOO HTA Việt Trì</x:v>
      </x:c>
      <x:c r="E155" s="12" t="str">
        <x:v>OMODA &amp; JAECOO</x:v>
      </x:c>
      <x:c r="F155" s="12" t="str">
        <x:v>Digital</x:v>
      </x:c>
      <x:c r="G155" s="12" t="str">
        <x:v>Order</x:v>
      </x:c>
      <x:c r="H155" s="34" t="n">
        <x:v>0.95</x:v>
      </x:c>
      <x:c r="I155" s="12" t="n">
        <x:v>1.16</x:v>
      </x:c>
      <x:c r="J155" s="12" t="n">
        <x:v>13</x:v>
      </x:c>
      <x:c r="K155" s="12" t="str">
        <x:v>Sales C</x:v>
      </x:c>
      <x:c r="L155" s="12" t="str">
        <x:v>Hot</x:v>
      </x:c>
    </x:row>
    <x:row r="156">
      <x:c r="A156" s="12" t="str">
        <x:v>LEAD-00155</x:v>
      </x:c>
      <x:c r="B156" s="18" t="n">
        <x:v>46209</x:v>
      </x:c>
      <x:c r="C156" s="12" t="str">
        <x:v>DLR-018</x:v>
      </x:c>
      <x:c r="D156" s="12" t="str">
        <x:v>OMODA &amp; JAECOO HTA Nam Từ Liêm</x:v>
      </x:c>
      <x:c r="E156" s="12" t="str">
        <x:v>OMODA &amp; JAECOO</x:v>
      </x:c>
      <x:c r="F156" s="12" t="str">
        <x:v>Walk-in</x:v>
      </x:c>
      <x:c r="G156" s="12" t="str">
        <x:v>Negotiation</x:v>
      </x:c>
      <x:c r="H156" s="34" t="n">
        <x:v>0.7</x:v>
      </x:c>
      <x:c r="I156" s="12" t="n">
        <x:v>0.39</x:v>
      </x:c>
      <x:c r="J156" s="12" t="n">
        <x:v>16</x:v>
      </x:c>
      <x:c r="K156" s="12" t="str">
        <x:v>Sales D</x:v>
      </x:c>
      <x:c r="L156" s="12" t="str">
        <x:v>Normal</x:v>
      </x:c>
    </x:row>
    <x:row r="157">
      <x:c r="A157" s="12" t="str">
        <x:v>LEAD-00156</x:v>
      </x:c>
      <x:c r="B157" s="18" t="n">
        <x:v>46213</x:v>
      </x:c>
      <x:c r="C157" s="12" t="str">
        <x:v>DLR-015</x:v>
      </x:c>
      <x:c r="D157" s="12" t="str">
        <x:v>VinFast HTA Văn Phú</x:v>
      </x:c>
      <x:c r="E157" s="12" t="str">
        <x:v>VinFast</x:v>
      </x:c>
      <x:c r="F157" s="12" t="str">
        <x:v>Walk-in</x:v>
      </x:c>
      <x:c r="G157" s="12" t="str">
        <x:v>Qualified</x:v>
      </x:c>
      <x:c r="H157" s="34" t="n">
        <x:v>0.3</x:v>
      </x:c>
      <x:c r="I157" s="12" t="n">
        <x:v>1.42</x:v>
      </x:c>
      <x:c r="J157" s="12" t="n">
        <x:v>12</x:v>
      </x:c>
      <x:c r="K157" s="12" t="str">
        <x:v>Sales B</x:v>
      </x:c>
      <x:c r="L157" s="12" t="str">
        <x:v>Priority</x:v>
      </x:c>
    </x:row>
    <x:row r="158">
      <x:c r="A158" s="12" t="str">
        <x:v>LEAD-00157</x:v>
      </x:c>
      <x:c r="B158" s="18" t="n">
        <x:v>46224</x:v>
      </x:c>
      <x:c r="C158" s="12" t="str">
        <x:v>DLR-009</x:v>
      </x:c>
      <x:c r="D158" s="12" t="str">
        <x:v>VinFast HTA Đông Anh</x:v>
      </x:c>
      <x:c r="E158" s="12" t="str">
        <x:v>VinFast</x:v>
      </x:c>
      <x:c r="F158" s="12" t="str">
        <x:v>Event</x:v>
      </x:c>
      <x:c r="G158" s="12" t="str">
        <x:v>Order</x:v>
      </x:c>
      <x:c r="H158" s="34" t="n">
        <x:v>0.95</x:v>
      </x:c>
      <x:c r="I158" s="12" t="n">
        <x:v>0.83</x:v>
      </x:c>
      <x:c r="J158" s="12" t="n">
        <x:v>1</x:v>
      </x:c>
      <x:c r="K158" s="12" t="str">
        <x:v>Sales B</x:v>
      </x:c>
      <x:c r="L158" s="12" t="str">
        <x:v>Normal</x:v>
      </x:c>
    </x:row>
    <x:row r="159">
      <x:c r="A159" s="12" t="str">
        <x:v>LEAD-00158</x:v>
      </x:c>
      <x:c r="B159" s="18" t="n">
        <x:v>46209</x:v>
      </x:c>
      <x:c r="C159" s="12" t="str">
        <x:v>DLR-017</x:v>
      </x:c>
      <x:c r="D159" s="12" t="str">
        <x:v>VinFast Quốc Oai</x:v>
      </x:c>
      <x:c r="E159" s="12" t="str">
        <x:v>VinFast</x:v>
      </x:c>
      <x:c r="F159" s="12" t="str">
        <x:v>Digital</x:v>
      </x:c>
      <x:c r="G159" s="12" t="str">
        <x:v>Negotiation</x:v>
      </x:c>
      <x:c r="H159" s="34" t="n">
        <x:v>0.7</x:v>
      </x:c>
      <x:c r="I159" s="12" t="n">
        <x:v>0.65</x:v>
      </x:c>
      <x:c r="J159" s="12" t="n">
        <x:v>16</x:v>
      </x:c>
      <x:c r="K159" s="12" t="str">
        <x:v>Sales C</x:v>
      </x:c>
      <x:c r="L159" s="12" t="str">
        <x:v>Normal</x:v>
      </x:c>
    </x:row>
    <x:row r="160">
      <x:c r="A160" s="12" t="str">
        <x:v>LEAD-00159</x:v>
      </x:c>
      <x:c r="B160" s="18" t="n">
        <x:v>46213</x:v>
      </x:c>
      <x:c r="C160" s="12" t="str">
        <x:v>DLR-005</x:v>
      </x:c>
      <x:c r="D160" s="12" t="str">
        <x:v>BYD HTA Tây Hồ</x:v>
      </x:c>
      <x:c r="E160" s="12" t="str">
        <x:v>BYD</x:v>
      </x:c>
      <x:c r="F160" s="12" t="str">
        <x:v>Event</x:v>
      </x:c>
      <x:c r="G160" s="12" t="str">
        <x:v>Qualified</x:v>
      </x:c>
      <x:c r="H160" s="34" t="n">
        <x:v>0.3</x:v>
      </x:c>
      <x:c r="I160" s="12" t="n">
        <x:v>0.9</x:v>
      </x:c>
      <x:c r="J160" s="12" t="n">
        <x:v>12</x:v>
      </x:c>
      <x:c r="K160" s="12" t="str">
        <x:v>Sales C</x:v>
      </x:c>
      <x:c r="L160" s="12" t="str">
        <x:v>Priority</x:v>
      </x:c>
    </x:row>
    <x:row r="161">
      <x:c r="A161" s="12" t="str">
        <x:v>LEAD-00160</x:v>
      </x:c>
      <x:c r="B161" s="18" t="n">
        <x:v>46211</x:v>
      </x:c>
      <x:c r="C161" s="12" t="str">
        <x:v>DLR-006</x:v>
      </x:c>
      <x:c r="D161" s="12" t="str">
        <x:v>BYD HTA Hoàn Kiếm</x:v>
      </x:c>
      <x:c r="E161" s="12" t="str">
        <x:v>BYD</x:v>
      </x:c>
      <x:c r="F161" s="12" t="str">
        <x:v>Referral</x:v>
      </x:c>
      <x:c r="G161" s="12" t="str">
        <x:v>Lost</x:v>
      </x:c>
      <x:c r="H161" s="34" t="n">
        <x:v>0</x:v>
      </x:c>
      <x:c r="I161" s="12" t="n">
        <x:v>1.2</x:v>
      </x:c>
      <x:c r="J161" s="12" t="n">
        <x:v>14</x:v>
      </x:c>
      <x:c r="K161" s="12" t="str">
        <x:v>Sales C</x:v>
      </x:c>
      <x:c r="L161" s="12" t="str">
        <x:v>Hot</x:v>
      </x:c>
    </x:row>
    <x:row r="162">
      <x:c r="A162" s="12" t="str">
        <x:v>LEAD-00161</x:v>
      </x:c>
      <x:c r="B162" s="18" t="n">
        <x:v>46214</x:v>
      </x:c>
      <x:c r="C162" s="12" t="str">
        <x:v>DLR-012</x:v>
      </x:c>
      <x:c r="D162" s="12" t="str">
        <x:v>VinFast HTA Võ Chí Công</x:v>
      </x:c>
      <x:c r="E162" s="12" t="str">
        <x:v>VinFast</x:v>
      </x:c>
      <x:c r="F162" s="12" t="str">
        <x:v>Event</x:v>
      </x:c>
      <x:c r="G162" s="12" t="str">
        <x:v>Order</x:v>
      </x:c>
      <x:c r="H162" s="34" t="n">
        <x:v>0.95</x:v>
      </x:c>
      <x:c r="I162" s="12" t="n">
        <x:v>0.39</x:v>
      </x:c>
      <x:c r="J162" s="12" t="n">
        <x:v>11</x:v>
      </x:c>
      <x:c r="K162" s="12" t="str">
        <x:v>Sales A</x:v>
      </x:c>
      <x:c r="L162" s="12" t="str">
        <x:v>Hot</x:v>
      </x:c>
    </x:row>
    <x:row r="163">
      <x:c r="A163" s="12" t="str">
        <x:v>LEAD-00162</x:v>
      </x:c>
      <x:c r="B163" s="18" t="n">
        <x:v>46213</x:v>
      </x:c>
      <x:c r="C163" s="12" t="str">
        <x:v>DLR-007</x:v>
      </x:c>
      <x:c r="D163" s="12" t="str">
        <x:v>BYD Hà Đông</x:v>
      </x:c>
      <x:c r="E163" s="12" t="str">
        <x:v>BYD</x:v>
      </x:c>
      <x:c r="F163" s="12" t="str">
        <x:v>Referral</x:v>
      </x:c>
      <x:c r="G163" s="12" t="str">
        <x:v>New</x:v>
      </x:c>
      <x:c r="H163" s="34" t="n">
        <x:v>0.08</x:v>
      </x:c>
      <x:c r="I163" s="12" t="n">
        <x:v>1.07</x:v>
      </x:c>
      <x:c r="J163" s="12" t="n">
        <x:v>12</x:v>
      </x:c>
      <x:c r="K163" s="12" t="str">
        <x:v>Sales B</x:v>
      </x:c>
      <x:c r="L163" s="12" t="str">
        <x:v>Hot</x:v>
      </x:c>
    </x:row>
    <x:row r="164">
      <x:c r="A164" s="12" t="str">
        <x:v>LEAD-00163</x:v>
      </x:c>
      <x:c r="B164" s="18" t="n">
        <x:v>46204</x:v>
      </x:c>
      <x:c r="C164" s="12" t="str">
        <x:v>DLR-019</x:v>
      </x:c>
      <x:c r="D164" s="12" t="str">
        <x:v>OMODA &amp; JAECOO HTA Việt Trì</x:v>
      </x:c>
      <x:c r="E164" s="12" t="str">
        <x:v>OMODA &amp; JAECOO</x:v>
      </x:c>
      <x:c r="F164" s="12" t="str">
        <x:v>Digital</x:v>
      </x:c>
      <x:c r="G164" s="12" t="str">
        <x:v>Negotiation</x:v>
      </x:c>
      <x:c r="H164" s="34" t="n">
        <x:v>0.7</x:v>
      </x:c>
      <x:c r="I164" s="12" t="n">
        <x:v>0.32</x:v>
      </x:c>
      <x:c r="J164" s="12" t="n">
        <x:v>21</x:v>
      </x:c>
      <x:c r="K164" s="12" t="str">
        <x:v>Sales A</x:v>
      </x:c>
      <x:c r="L164" s="12" t="str">
        <x:v>Hot</x:v>
      </x:c>
    </x:row>
    <x:row r="165">
      <x:c r="A165" s="12" t="str">
        <x:v>LEAD-00164</x:v>
      </x:c>
      <x:c r="B165" s="18" t="n">
        <x:v>46218</x:v>
      </x:c>
      <x:c r="C165" s="12" t="str">
        <x:v>DLR-020</x:v>
      </x:c>
      <x:c r="D165" s="12" t="str">
        <x:v>Wuling HTA Long Biên</x:v>
      </x:c>
      <x:c r="E165" s="12" t="str">
        <x:v>Wuling</x:v>
      </x:c>
      <x:c r="F165" s="12" t="str">
        <x:v>Walk-in</x:v>
      </x:c>
      <x:c r="G165" s="12" t="str">
        <x:v>New</x:v>
      </x:c>
      <x:c r="H165" s="34" t="n">
        <x:v>0.08</x:v>
      </x:c>
      <x:c r="I165" s="12" t="n">
        <x:v>1.38</x:v>
      </x:c>
      <x:c r="J165" s="12" t="n">
        <x:v>7</x:v>
      </x:c>
      <x:c r="K165" s="12" t="str">
        <x:v>Sales C</x:v>
      </x:c>
      <x:c r="L165" s="12" t="str">
        <x:v>Hot</x:v>
      </x:c>
    </x:row>
    <x:row r="166">
      <x:c r="A166" s="12" t="str">
        <x:v>LEAD-00165</x:v>
      </x:c>
      <x:c r="B166" s="18" t="n">
        <x:v>46215</x:v>
      </x:c>
      <x:c r="C166" s="12" t="str">
        <x:v>DLR-006</x:v>
      </x:c>
      <x:c r="D166" s="12" t="str">
        <x:v>BYD HTA Hoàn Kiếm</x:v>
      </x:c>
      <x:c r="E166" s="12" t="str">
        <x:v>BYD</x:v>
      </x:c>
      <x:c r="F166" s="12" t="str">
        <x:v>Referral</x:v>
      </x:c>
      <x:c r="G166" s="12" t="str">
        <x:v>New</x:v>
      </x:c>
      <x:c r="H166" s="34" t="n">
        <x:v>0.08</x:v>
      </x:c>
      <x:c r="I166" s="12" t="n">
        <x:v>1.32</x:v>
      </x:c>
      <x:c r="J166" s="12" t="n">
        <x:v>10</x:v>
      </x:c>
      <x:c r="K166" s="12" t="str">
        <x:v>Sales C</x:v>
      </x:c>
      <x:c r="L166" s="12" t="str">
        <x:v>Normal</x:v>
      </x:c>
    </x:row>
    <x:row r="167">
      <x:c r="A167" s="12" t="str">
        <x:v>LEAD-00166</x:v>
      </x:c>
      <x:c r="B167" s="18" t="n">
        <x:v>46213</x:v>
      </x:c>
      <x:c r="C167" s="12" t="str">
        <x:v>DLR-008</x:v>
      </x:c>
      <x:c r="D167" s="12" t="str">
        <x:v>VinFast HTA Nguyễn Văn Linh</x:v>
      </x:c>
      <x:c r="E167" s="12" t="str">
        <x:v>VinFast</x:v>
      </x:c>
      <x:c r="F167" s="12" t="str">
        <x:v>Digital</x:v>
      </x:c>
      <x:c r="G167" s="12" t="str">
        <x:v>Order</x:v>
      </x:c>
      <x:c r="H167" s="34" t="n">
        <x:v>0.95</x:v>
      </x:c>
      <x:c r="I167" s="12" t="n">
        <x:v>0.35</x:v>
      </x:c>
      <x:c r="J167" s="12" t="n">
        <x:v>12</x:v>
      </x:c>
      <x:c r="K167" s="12" t="str">
        <x:v>Sales A</x:v>
      </x:c>
      <x:c r="L167" s="12" t="str">
        <x:v>Normal</x:v>
      </x:c>
    </x:row>
    <x:row r="168">
      <x:c r="A168" s="12" t="str">
        <x:v>LEAD-00167</x:v>
      </x:c>
      <x:c r="B168" s="18" t="n">
        <x:v>46205</x:v>
      </x:c>
      <x:c r="C168" s="12" t="str">
        <x:v>DLR-010</x:v>
      </x:c>
      <x:c r="D168" s="12" t="str">
        <x:v>VinFast HTA Đàm Quang Trung</x:v>
      </x:c>
      <x:c r="E168" s="12" t="str">
        <x:v>VinFast</x:v>
      </x:c>
      <x:c r="F168" s="12" t="str">
        <x:v>Referral</x:v>
      </x:c>
      <x:c r="G168" s="12" t="str">
        <x:v>Order</x:v>
      </x:c>
      <x:c r="H168" s="34" t="n">
        <x:v>0.95</x:v>
      </x:c>
      <x:c r="I168" s="12" t="n">
        <x:v>0.46</x:v>
      </x:c>
      <x:c r="J168" s="12" t="n">
        <x:v>20</x:v>
      </x:c>
      <x:c r="K168" s="12" t="str">
        <x:v>Sales C</x:v>
      </x:c>
      <x:c r="L168" s="12" t="str">
        <x:v>Priority</x:v>
      </x:c>
    </x:row>
    <x:row r="169">
      <x:c r="A169" s="12" t="str">
        <x:v>LEAD-00168</x:v>
      </x:c>
      <x:c r="B169" s="18" t="n">
        <x:v>46207</x:v>
      </x:c>
      <x:c r="C169" s="12" t="str">
        <x:v>DLR-015</x:v>
      </x:c>
      <x:c r="D169" s="12" t="str">
        <x:v>VinFast HTA Văn Phú</x:v>
      </x:c>
      <x:c r="E169" s="12" t="str">
        <x:v>VinFast</x:v>
      </x:c>
      <x:c r="F169" s="12" t="str">
        <x:v>Digital</x:v>
      </x:c>
      <x:c r="G169" s="12" t="str">
        <x:v>Contacted</x:v>
      </x:c>
      <x:c r="H169" s="34" t="n">
        <x:v>0.15</x:v>
      </x:c>
      <x:c r="I169" s="12" t="n">
        <x:v>0.36</x:v>
      </x:c>
      <x:c r="J169" s="12" t="n">
        <x:v>18</x:v>
      </x:c>
      <x:c r="K169" s="12" t="str">
        <x:v>Sales D</x:v>
      </x:c>
      <x:c r="L169" s="12" t="str">
        <x:v>Priority</x:v>
      </x:c>
    </x:row>
    <x:row r="170">
      <x:c r="A170" s="12" t="str">
        <x:v>LEAD-00169</x:v>
      </x:c>
      <x:c r="B170" s="18" t="n">
        <x:v>46213</x:v>
      </x:c>
      <x:c r="C170" s="12" t="str">
        <x:v>DLR-007</x:v>
      </x:c>
      <x:c r="D170" s="12" t="str">
        <x:v>BYD Hà Đông</x:v>
      </x:c>
      <x:c r="E170" s="12" t="str">
        <x:v>BYD</x:v>
      </x:c>
      <x:c r="F170" s="12" t="str">
        <x:v>Walk-in</x:v>
      </x:c>
      <x:c r="G170" s="12" t="str">
        <x:v>New</x:v>
      </x:c>
      <x:c r="H170" s="34" t="n">
        <x:v>0.08</x:v>
      </x:c>
      <x:c r="I170" s="12" t="n">
        <x:v>0.93</x:v>
      </x:c>
      <x:c r="J170" s="12" t="n">
        <x:v>12</x:v>
      </x:c>
      <x:c r="K170" s="12" t="str">
        <x:v>Sales C</x:v>
      </x:c>
      <x:c r="L170" s="12" t="str">
        <x:v>Normal</x:v>
      </x:c>
    </x:row>
    <x:row r="171">
      <x:c r="A171" s="12" t="str">
        <x:v>LEAD-00170</x:v>
      </x:c>
      <x:c r="B171" s="18" t="n">
        <x:v>46205</x:v>
      </x:c>
      <x:c r="C171" s="12" t="str">
        <x:v>DLR-008</x:v>
      </x:c>
      <x:c r="D171" s="12" t="str">
        <x:v>VinFast HTA Nguyễn Văn Linh</x:v>
      </x:c>
      <x:c r="E171" s="12" t="str">
        <x:v>VinFast</x:v>
      </x:c>
      <x:c r="F171" s="12" t="str">
        <x:v>Walk-in</x:v>
      </x:c>
      <x:c r="G171" s="12" t="str">
        <x:v>New</x:v>
      </x:c>
      <x:c r="H171" s="34" t="n">
        <x:v>0.08</x:v>
      </x:c>
      <x:c r="I171" s="12" t="n">
        <x:v>1.06</x:v>
      </x:c>
      <x:c r="J171" s="12" t="n">
        <x:v>20</x:v>
      </x:c>
      <x:c r="K171" s="12" t="str">
        <x:v>Sales A</x:v>
      </x:c>
      <x:c r="L171" s="12" t="str">
        <x:v>Priority</x:v>
      </x:c>
    </x:row>
    <x:row r="172">
      <x:c r="A172" s="12" t="str">
        <x:v>LEAD-00171</x:v>
      </x:c>
      <x:c r="B172" s="18" t="n">
        <x:v>46209</x:v>
      </x:c>
      <x:c r="C172" s="12" t="str">
        <x:v>DLR-008</x:v>
      </x:c>
      <x:c r="D172" s="12" t="str">
        <x:v>VinFast HTA Nguyễn Văn Linh</x:v>
      </x:c>
      <x:c r="E172" s="12" t="str">
        <x:v>VinFast</x:v>
      </x:c>
      <x:c r="F172" s="12" t="str">
        <x:v>Walk-in</x:v>
      </x:c>
      <x:c r="G172" s="12" t="str">
        <x:v>Lost</x:v>
      </x:c>
      <x:c r="H172" s="34" t="n">
        <x:v>0</x:v>
      </x:c>
      <x:c r="I172" s="12" t="n">
        <x:v>0.58</x:v>
      </x:c>
      <x:c r="J172" s="12" t="n">
        <x:v>16</x:v>
      </x:c>
      <x:c r="K172" s="12" t="str">
        <x:v>Sales A</x:v>
      </x:c>
      <x:c r="L172" s="12" t="str">
        <x:v>Hot</x:v>
      </x:c>
    </x:row>
    <x:row r="173">
      <x:c r="A173" s="12" t="str">
        <x:v>LEAD-00172</x:v>
      </x:c>
      <x:c r="B173" s="18" t="n">
        <x:v>46216</x:v>
      </x:c>
      <x:c r="C173" s="12" t="str">
        <x:v>DLR-020</x:v>
      </x:c>
      <x:c r="D173" s="12" t="str">
        <x:v>Wuling HTA Long Biên</x:v>
      </x:c>
      <x:c r="E173" s="12" t="str">
        <x:v>Wuling</x:v>
      </x:c>
      <x:c r="F173" s="12" t="str">
        <x:v>Walk-in</x:v>
      </x:c>
      <x:c r="G173" s="12" t="str">
        <x:v>Negotiation</x:v>
      </x:c>
      <x:c r="H173" s="34" t="n">
        <x:v>0.7</x:v>
      </x:c>
      <x:c r="I173" s="12" t="n">
        <x:v>0.92</x:v>
      </x:c>
      <x:c r="J173" s="12" t="n">
        <x:v>9</x:v>
      </x:c>
      <x:c r="K173" s="12" t="str">
        <x:v>Sales B</x:v>
      </x:c>
      <x:c r="L173" s="12" t="str">
        <x:v>Hot</x:v>
      </x:c>
    </x:row>
    <x:row r="174">
      <x:c r="A174" s="12" t="str">
        <x:v>LEAD-00173</x:v>
      </x:c>
      <x:c r="B174" s="18" t="n">
        <x:v>46210</x:v>
      </x:c>
      <x:c r="C174" s="12" t="str">
        <x:v>DLR-002</x:v>
      </x:c>
      <x:c r="D174" s="12" t="str">
        <x:v>Hà Thành Ford - Mỹ Đình</x:v>
      </x:c>
      <x:c r="E174" s="12" t="str">
        <x:v>Ford</x:v>
      </x:c>
      <x:c r="F174" s="12" t="str">
        <x:v>Walk-in</x:v>
      </x:c>
      <x:c r="G174" s="12" t="str">
        <x:v>Lost</x:v>
      </x:c>
      <x:c r="H174" s="34" t="n">
        <x:v>0</x:v>
      </x:c>
      <x:c r="I174" s="12" t="n">
        <x:v>0.44</x:v>
      </x:c>
      <x:c r="J174" s="12" t="n">
        <x:v>15</x:v>
      </x:c>
      <x:c r="K174" s="12" t="str">
        <x:v>Sales D</x:v>
      </x:c>
      <x:c r="L174" s="12" t="str">
        <x:v>Priority</x:v>
      </x:c>
    </x:row>
    <x:row r="175">
      <x:c r="A175" s="12" t="str">
        <x:v>LEAD-00174</x:v>
      </x:c>
      <x:c r="B175" s="18" t="n">
        <x:v>46206</x:v>
      </x:c>
      <x:c r="C175" s="12" t="str">
        <x:v>DLR-013</x:v>
      </x:c>
      <x:c r="D175" s="12" t="str">
        <x:v>VinFast HTA Ninh Bình</x:v>
      </x:c>
      <x:c r="E175" s="12" t="str">
        <x:v>VinFast</x:v>
      </x:c>
      <x:c r="F175" s="12" t="str">
        <x:v>Walk-in</x:v>
      </x:c>
      <x:c r="G175" s="12" t="str">
        <x:v>Qualified</x:v>
      </x:c>
      <x:c r="H175" s="34" t="n">
        <x:v>0.3</x:v>
      </x:c>
      <x:c r="I175" s="12" t="n">
        <x:v>0.46</x:v>
      </x:c>
      <x:c r="J175" s="12" t="n">
        <x:v>19</x:v>
      </x:c>
      <x:c r="K175" s="12" t="str">
        <x:v>Sales C</x:v>
      </x:c>
      <x:c r="L175" s="12" t="str">
        <x:v>Hot</x:v>
      </x:c>
    </x:row>
    <x:row r="176">
      <x:c r="A176" s="12" t="str">
        <x:v>LEAD-00175</x:v>
      </x:c>
      <x:c r="B176" s="18" t="n">
        <x:v>46220</x:v>
      </x:c>
      <x:c r="C176" s="12" t="str">
        <x:v>DLR-011</x:v>
      </x:c>
      <x:c r="D176" s="12" t="str">
        <x:v>VinFast HTA Phạm Văn Đồng</x:v>
      </x:c>
      <x:c r="E176" s="12" t="str">
        <x:v>VinFast</x:v>
      </x:c>
      <x:c r="F176" s="12" t="str">
        <x:v>Event</x:v>
      </x:c>
      <x:c r="G176" s="12" t="str">
        <x:v>Qualified</x:v>
      </x:c>
      <x:c r="H176" s="34" t="n">
        <x:v>0.3</x:v>
      </x:c>
      <x:c r="I176" s="12" t="n">
        <x:v>0.7</x:v>
      </x:c>
      <x:c r="J176" s="12" t="n">
        <x:v>5</x:v>
      </x:c>
      <x:c r="K176" s="12" t="str">
        <x:v>Sales D</x:v>
      </x:c>
      <x:c r="L176" s="12" t="str">
        <x:v>Normal</x:v>
      </x:c>
    </x:row>
    <x:row r="177">
      <x:c r="A177" s="12" t="str">
        <x:v>LEAD-00176</x:v>
      </x:c>
      <x:c r="B177" s="18" t="n">
        <x:v>46214</x:v>
      </x:c>
      <x:c r="C177" s="12" t="str">
        <x:v>DLR-010</x:v>
      </x:c>
      <x:c r="D177" s="12" t="str">
        <x:v>VinFast HTA Đàm Quang Trung</x:v>
      </x:c>
      <x:c r="E177" s="12" t="str">
        <x:v>VinFast</x:v>
      </x:c>
      <x:c r="F177" s="12" t="str">
        <x:v>Referral</x:v>
      </x:c>
      <x:c r="G177" s="12" t="str">
        <x:v>Test Drive</x:v>
      </x:c>
      <x:c r="H177" s="34" t="n">
        <x:v>0.5</x:v>
      </x:c>
      <x:c r="I177" s="12" t="n">
        <x:v>0.53</x:v>
      </x:c>
      <x:c r="J177" s="12" t="n">
        <x:v>11</x:v>
      </x:c>
      <x:c r="K177" s="12" t="str">
        <x:v>Sales B</x:v>
      </x:c>
      <x:c r="L177" s="12" t="str">
        <x:v>Normal</x:v>
      </x:c>
    </x:row>
    <x:row r="178">
      <x:c r="A178" s="12" t="str">
        <x:v>LEAD-00177</x:v>
      </x:c>
      <x:c r="B178" s="18" t="n">
        <x:v>46209</x:v>
      </x:c>
      <x:c r="C178" s="12" t="str">
        <x:v>DLR-006</x:v>
      </x:c>
      <x:c r="D178" s="12" t="str">
        <x:v>BYD HTA Hoàn Kiếm</x:v>
      </x:c>
      <x:c r="E178" s="12" t="str">
        <x:v>BYD</x:v>
      </x:c>
      <x:c r="F178" s="12" t="str">
        <x:v>Digital</x:v>
      </x:c>
      <x:c r="G178" s="12" t="str">
        <x:v>Qualified</x:v>
      </x:c>
      <x:c r="H178" s="34" t="n">
        <x:v>0.3</x:v>
      </x:c>
      <x:c r="I178" s="12" t="n">
        <x:v>0.44</x:v>
      </x:c>
      <x:c r="J178" s="12" t="n">
        <x:v>16</x:v>
      </x:c>
      <x:c r="K178" s="12" t="str">
        <x:v>Sales A</x:v>
      </x:c>
      <x:c r="L178" s="12" t="str">
        <x:v>Hot</x:v>
      </x:c>
    </x:row>
    <x:row r="179">
      <x:c r="A179" s="12" t="str">
        <x:v>LEAD-00178</x:v>
      </x:c>
      <x:c r="B179" s="18" t="n">
        <x:v>46207</x:v>
      </x:c>
      <x:c r="C179" s="12" t="str">
        <x:v>DLR-019</x:v>
      </x:c>
      <x:c r="D179" s="12" t="str">
        <x:v>OMODA &amp; JAECOO HTA Việt Trì</x:v>
      </x:c>
      <x:c r="E179" s="12" t="str">
        <x:v>OMODA &amp; JAECOO</x:v>
      </x:c>
      <x:c r="F179" s="12" t="str">
        <x:v>Referral</x:v>
      </x:c>
      <x:c r="G179" s="12" t="str">
        <x:v>Test Drive</x:v>
      </x:c>
      <x:c r="H179" s="34" t="n">
        <x:v>0.5</x:v>
      </x:c>
      <x:c r="I179" s="12" t="n">
        <x:v>0.96</x:v>
      </x:c>
      <x:c r="J179" s="12" t="n">
        <x:v>18</x:v>
      </x:c>
      <x:c r="K179" s="12" t="str">
        <x:v>Sales C</x:v>
      </x:c>
      <x:c r="L179" s="12" t="str">
        <x:v>Hot</x:v>
      </x:c>
    </x:row>
    <x:row r="180">
      <x:c r="A180" s="12" t="str">
        <x:v>LEAD-00179</x:v>
      </x:c>
      <x:c r="B180" s="18" t="n">
        <x:v>46222</x:v>
      </x:c>
      <x:c r="C180" s="12" t="str">
        <x:v>DLR-018</x:v>
      </x:c>
      <x:c r="D180" s="12" t="str">
        <x:v>OMODA &amp; JAECOO HTA Nam Từ Liêm</x:v>
      </x:c>
      <x:c r="E180" s="12" t="str">
        <x:v>OMODA &amp; JAECOO</x:v>
      </x:c>
      <x:c r="F180" s="12" t="str">
        <x:v>Event</x:v>
      </x:c>
      <x:c r="G180" s="12" t="str">
        <x:v>Contacted</x:v>
      </x:c>
      <x:c r="H180" s="34" t="n">
        <x:v>0.15</x:v>
      </x:c>
      <x:c r="I180" s="12" t="n">
        <x:v>0.8</x:v>
      </x:c>
      <x:c r="J180" s="12" t="n">
        <x:v>3</x:v>
      </x:c>
      <x:c r="K180" s="12" t="str">
        <x:v>Sales A</x:v>
      </x:c>
      <x:c r="L180" s="12" t="str">
        <x:v>Hot</x:v>
      </x:c>
    </x:row>
    <x:row r="181">
      <x:c r="A181" s="12" t="str">
        <x:v>LEAD-00180</x:v>
      </x:c>
      <x:c r="B181" s="18" t="n">
        <x:v>46221</x:v>
      </x:c>
      <x:c r="C181" s="12" t="str">
        <x:v>DLR-013</x:v>
      </x:c>
      <x:c r="D181" s="12" t="str">
        <x:v>VinFast HTA Ninh Bình</x:v>
      </x:c>
      <x:c r="E181" s="12" t="str">
        <x:v>VinFast</x:v>
      </x:c>
      <x:c r="F181" s="12" t="str">
        <x:v>Digital</x:v>
      </x:c>
      <x:c r="G181" s="12" t="str">
        <x:v>Order</x:v>
      </x:c>
      <x:c r="H181" s="34" t="n">
        <x:v>0.95</x:v>
      </x:c>
      <x:c r="I181" s="12" t="n">
        <x:v>1.45</x:v>
      </x:c>
      <x:c r="J181" s="12" t="n">
        <x:v>4</x:v>
      </x:c>
      <x:c r="K181" s="12" t="str">
        <x:v>Sales B</x:v>
      </x:c>
      <x:c r="L181" s="12" t="str">
        <x:v>Priority</x:v>
      </x:c>
    </x:row>
    <x:row r="182">
      <x:c r="A182" s="12" t="str">
        <x:v>LEAD-00181</x:v>
      </x:c>
      <x:c r="B182" s="18" t="n">
        <x:v>46205</x:v>
      </x:c>
      <x:c r="C182" s="12" t="str">
        <x:v>DLR-012</x:v>
      </x:c>
      <x:c r="D182" s="12" t="str">
        <x:v>VinFast HTA Võ Chí Công</x:v>
      </x:c>
      <x:c r="E182" s="12" t="str">
        <x:v>VinFast</x:v>
      </x:c>
      <x:c r="F182" s="12" t="str">
        <x:v>Referral</x:v>
      </x:c>
      <x:c r="G182" s="12" t="str">
        <x:v>New</x:v>
      </x:c>
      <x:c r="H182" s="34" t="n">
        <x:v>0.08</x:v>
      </x:c>
      <x:c r="I182" s="12" t="n">
        <x:v>0.49</x:v>
      </x:c>
      <x:c r="J182" s="12" t="n">
        <x:v>20</x:v>
      </x:c>
      <x:c r="K182" s="12" t="str">
        <x:v>Sales A</x:v>
      </x:c>
      <x:c r="L182" s="12" t="str">
        <x:v>Priority</x:v>
      </x:c>
    </x:row>
    <x:row r="183">
      <x:c r="A183" s="12" t="str">
        <x:v>LEAD-00182</x:v>
      </x:c>
      <x:c r="B183" s="18" t="n">
        <x:v>46210</x:v>
      </x:c>
      <x:c r="C183" s="12" t="str">
        <x:v>DLR-020</x:v>
      </x:c>
      <x:c r="D183" s="12" t="str">
        <x:v>Wuling HTA Long Biên</x:v>
      </x:c>
      <x:c r="E183" s="12" t="str">
        <x:v>Wuling</x:v>
      </x:c>
      <x:c r="F183" s="12" t="str">
        <x:v>Walk-in</x:v>
      </x:c>
      <x:c r="G183" s="12" t="str">
        <x:v>Contacted</x:v>
      </x:c>
      <x:c r="H183" s="34" t="n">
        <x:v>0.15</x:v>
      </x:c>
      <x:c r="I183" s="12" t="n">
        <x:v>1.09</x:v>
      </x:c>
      <x:c r="J183" s="12" t="n">
        <x:v>15</x:v>
      </x:c>
      <x:c r="K183" s="12" t="str">
        <x:v>Sales C</x:v>
      </x:c>
      <x:c r="L183" s="12" t="str">
        <x:v>Priority</x:v>
      </x:c>
    </x:row>
    <x:row r="184">
      <x:c r="A184" s="12" t="str">
        <x:v>LEAD-00183</x:v>
      </x:c>
      <x:c r="B184" s="18" t="n">
        <x:v>46213</x:v>
      </x:c>
      <x:c r="C184" s="12" t="str">
        <x:v>DLR-004</x:v>
      </x:c>
      <x:c r="D184" s="12" t="str">
        <x:v>Việt Trì Ford</x:v>
      </x:c>
      <x:c r="E184" s="12" t="str">
        <x:v>Ford</x:v>
      </x:c>
      <x:c r="F184" s="12" t="str">
        <x:v>Digital</x:v>
      </x:c>
      <x:c r="G184" s="12" t="str">
        <x:v>Lost</x:v>
      </x:c>
      <x:c r="H184" s="34" t="n">
        <x:v>0</x:v>
      </x:c>
      <x:c r="I184" s="12" t="n">
        <x:v>1.43</x:v>
      </x:c>
      <x:c r="J184" s="12" t="n">
        <x:v>12</x:v>
      </x:c>
      <x:c r="K184" s="12" t="str">
        <x:v>Sales B</x:v>
      </x:c>
      <x:c r="L184" s="12" t="str">
        <x:v>Normal</x:v>
      </x:c>
    </x:row>
    <x:row r="185">
      <x:c r="A185" s="12" t="str">
        <x:v>LEAD-00184</x:v>
      </x:c>
      <x:c r="B185" s="18" t="n">
        <x:v>46225</x:v>
      </x:c>
      <x:c r="C185" s="12" t="str">
        <x:v>DLR-012</x:v>
      </x:c>
      <x:c r="D185" s="12" t="str">
        <x:v>VinFast HTA Võ Chí Công</x:v>
      </x:c>
      <x:c r="E185" s="12" t="str">
        <x:v>VinFast</x:v>
      </x:c>
      <x:c r="F185" s="12" t="str">
        <x:v>Corporate/Fleet</x:v>
      </x:c>
      <x:c r="G185" s="12" t="str">
        <x:v>Qualified</x:v>
      </x:c>
      <x:c r="H185" s="34" t="n">
        <x:v>0.3</x:v>
      </x:c>
      <x:c r="I185" s="12" t="n">
        <x:v>0.84</x:v>
      </x:c>
      <x:c r="J185" s="12" t="n">
        <x:v>0</x:v>
      </x:c>
      <x:c r="K185" s="12" t="str">
        <x:v>Sales A</x:v>
      </x:c>
      <x:c r="L185" s="12" t="str">
        <x:v>Hot</x:v>
      </x:c>
    </x:row>
    <x:row r="186">
      <x:c r="A186" s="12" t="str">
        <x:v>LEAD-00185</x:v>
      </x:c>
      <x:c r="B186" s="18" t="n">
        <x:v>46215</x:v>
      </x:c>
      <x:c r="C186" s="12" t="str">
        <x:v>DLR-004</x:v>
      </x:c>
      <x:c r="D186" s="12" t="str">
        <x:v>Việt Trì Ford</x:v>
      </x:c>
      <x:c r="E186" s="12" t="str">
        <x:v>Ford</x:v>
      </x:c>
      <x:c r="F186" s="12" t="str">
        <x:v>Event</x:v>
      </x:c>
      <x:c r="G186" s="12" t="str">
        <x:v>Qualified</x:v>
      </x:c>
      <x:c r="H186" s="34" t="n">
        <x:v>0.3</x:v>
      </x:c>
      <x:c r="I186" s="12" t="n">
        <x:v>1.01</x:v>
      </x:c>
      <x:c r="J186" s="12" t="n">
        <x:v>10</x:v>
      </x:c>
      <x:c r="K186" s="12" t="str">
        <x:v>Sales B</x:v>
      </x:c>
      <x:c r="L186" s="12" t="str">
        <x:v>Hot</x:v>
      </x:c>
    </x:row>
    <x:row r="187">
      <x:c r="A187" s="12" t="str">
        <x:v>LEAD-00186</x:v>
      </x:c>
      <x:c r="B187" s="18" t="n">
        <x:v>46213</x:v>
      </x:c>
      <x:c r="C187" s="12" t="str">
        <x:v>DLR-005</x:v>
      </x:c>
      <x:c r="D187" s="12" t="str">
        <x:v>BYD HTA Tây Hồ</x:v>
      </x:c>
      <x:c r="E187" s="12" t="str">
        <x:v>BYD</x:v>
      </x:c>
      <x:c r="F187" s="12" t="str">
        <x:v>Referral</x:v>
      </x:c>
      <x:c r="G187" s="12" t="str">
        <x:v>Order</x:v>
      </x:c>
      <x:c r="H187" s="34" t="n">
        <x:v>0.95</x:v>
      </x:c>
      <x:c r="I187" s="12" t="n">
        <x:v>0.91</x:v>
      </x:c>
      <x:c r="J187" s="12" t="n">
        <x:v>12</x:v>
      </x:c>
      <x:c r="K187" s="12" t="str">
        <x:v>Sales D</x:v>
      </x:c>
      <x:c r="L187" s="12" t="str">
        <x:v>Normal</x:v>
      </x:c>
    </x:row>
    <x:row r="188">
      <x:c r="A188" s="12" t="str">
        <x:v>LEAD-00187</x:v>
      </x:c>
      <x:c r="B188" s="18" t="n">
        <x:v>46223</x:v>
      </x:c>
      <x:c r="C188" s="12" t="str">
        <x:v>DLR-001</x:v>
      </x:c>
      <x:c r="D188" s="12" t="str">
        <x:v>Hà Thành Ford</x:v>
      </x:c>
      <x:c r="E188" s="12" t="str">
        <x:v>Ford</x:v>
      </x:c>
      <x:c r="F188" s="12" t="str">
        <x:v>Event</x:v>
      </x:c>
      <x:c r="G188" s="12" t="str">
        <x:v>Lost</x:v>
      </x:c>
      <x:c r="H188" s="34" t="n">
        <x:v>0</x:v>
      </x:c>
      <x:c r="I188" s="12" t="n">
        <x:v>0.48</x:v>
      </x:c>
      <x:c r="J188" s="12" t="n">
        <x:v>2</x:v>
      </x:c>
      <x:c r="K188" s="12" t="str">
        <x:v>Sales C</x:v>
      </x:c>
      <x:c r="L188" s="12" t="str">
        <x:v>Priority</x:v>
      </x:c>
    </x:row>
    <x:row r="189">
      <x:c r="A189" s="12" t="str">
        <x:v>LEAD-00188</x:v>
      </x:c>
      <x:c r="B189" s="18" t="n">
        <x:v>46206</x:v>
      </x:c>
      <x:c r="C189" s="12" t="str">
        <x:v>DLR-020</x:v>
      </x:c>
      <x:c r="D189" s="12" t="str">
        <x:v>Wuling HTA Long Biên</x:v>
      </x:c>
      <x:c r="E189" s="12" t="str">
        <x:v>Wuling</x:v>
      </x:c>
      <x:c r="F189" s="12" t="str">
        <x:v>Digital</x:v>
      </x:c>
      <x:c r="G189" s="12" t="str">
        <x:v>Test Drive</x:v>
      </x:c>
      <x:c r="H189" s="34" t="n">
        <x:v>0.5</x:v>
      </x:c>
      <x:c r="I189" s="12" t="n">
        <x:v>0.74</x:v>
      </x:c>
      <x:c r="J189" s="12" t="n">
        <x:v>19</x:v>
      </x:c>
      <x:c r="K189" s="12" t="str">
        <x:v>Sales D</x:v>
      </x:c>
      <x:c r="L189" s="12" t="str">
        <x:v>Priority</x:v>
      </x:c>
    </x:row>
    <x:row r="190">
      <x:c r="A190" s="12" t="str">
        <x:v>LEAD-00189</x:v>
      </x:c>
      <x:c r="B190" s="18" t="n">
        <x:v>46219</x:v>
      </x:c>
      <x:c r="C190" s="12" t="str">
        <x:v>DLR-017</x:v>
      </x:c>
      <x:c r="D190" s="12" t="str">
        <x:v>VinFast Quốc Oai</x:v>
      </x:c>
      <x:c r="E190" s="12" t="str">
        <x:v>VinFast</x:v>
      </x:c>
      <x:c r="F190" s="12" t="str">
        <x:v>Walk-in</x:v>
      </x:c>
      <x:c r="G190" s="12" t="str">
        <x:v>Negotiation</x:v>
      </x:c>
      <x:c r="H190" s="34" t="n">
        <x:v>0.7</x:v>
      </x:c>
      <x:c r="I190" s="12" t="n">
        <x:v>1.28</x:v>
      </x:c>
      <x:c r="J190" s="12" t="n">
        <x:v>6</x:v>
      </x:c>
      <x:c r="K190" s="12" t="str">
        <x:v>Sales C</x:v>
      </x:c>
      <x:c r="L190" s="12" t="str">
        <x:v>Normal</x:v>
      </x:c>
    </x:row>
    <x:row r="191">
      <x:c r="A191" s="12" t="str">
        <x:v>LEAD-00190</x:v>
      </x:c>
      <x:c r="B191" s="18" t="n">
        <x:v>46208</x:v>
      </x:c>
      <x:c r="C191" s="12" t="str">
        <x:v>DLR-007</x:v>
      </x:c>
      <x:c r="D191" s="12" t="str">
        <x:v>BYD Hà Đông</x:v>
      </x:c>
      <x:c r="E191" s="12" t="str">
        <x:v>BYD</x:v>
      </x:c>
      <x:c r="F191" s="12" t="str">
        <x:v>Walk-in</x:v>
      </x:c>
      <x:c r="G191" s="12" t="str">
        <x:v>Test Drive</x:v>
      </x:c>
      <x:c r="H191" s="34" t="n">
        <x:v>0.5</x:v>
      </x:c>
      <x:c r="I191" s="12" t="n">
        <x:v>0.92</x:v>
      </x:c>
      <x:c r="J191" s="12" t="n">
        <x:v>17</x:v>
      </x:c>
      <x:c r="K191" s="12" t="str">
        <x:v>Sales D</x:v>
      </x:c>
      <x:c r="L191" s="12" t="str">
        <x:v>Hot</x:v>
      </x:c>
    </x:row>
    <x:row r="192">
      <x:c r="A192" s="12" t="str">
        <x:v>LEAD-00191</x:v>
      </x:c>
      <x:c r="B192" s="18" t="n">
        <x:v>46224</x:v>
      </x:c>
      <x:c r="C192" s="12" t="str">
        <x:v>DLR-016</x:v>
      </x:c>
      <x:c r="D192" s="12" t="str">
        <x:v>VinFast HTA Mỹ Đình</x:v>
      </x:c>
      <x:c r="E192" s="12" t="str">
        <x:v>VinFast</x:v>
      </x:c>
      <x:c r="F192" s="12" t="str">
        <x:v>Event</x:v>
      </x:c>
      <x:c r="G192" s="12" t="str">
        <x:v>Contacted</x:v>
      </x:c>
      <x:c r="H192" s="34" t="n">
        <x:v>0.15</x:v>
      </x:c>
      <x:c r="I192" s="12" t="n">
        <x:v>0.89</x:v>
      </x:c>
      <x:c r="J192" s="12" t="n">
        <x:v>1</x:v>
      </x:c>
      <x:c r="K192" s="12" t="str">
        <x:v>Sales A</x:v>
      </x:c>
      <x:c r="L192" s="12" t="str">
        <x:v>Priority</x:v>
      </x:c>
    </x:row>
    <x:row r="193">
      <x:c r="A193" s="12" t="str">
        <x:v>LEAD-00192</x:v>
      </x:c>
      <x:c r="B193" s="18" t="n">
        <x:v>46213</x:v>
      </x:c>
      <x:c r="C193" s="12" t="str">
        <x:v>DLR-013</x:v>
      </x:c>
      <x:c r="D193" s="12" t="str">
        <x:v>VinFast HTA Ninh Bình</x:v>
      </x:c>
      <x:c r="E193" s="12" t="str">
        <x:v>VinFast</x:v>
      </x:c>
      <x:c r="F193" s="12" t="str">
        <x:v>Corporate/Fleet</x:v>
      </x:c>
      <x:c r="G193" s="12" t="str">
        <x:v>Test Drive</x:v>
      </x:c>
      <x:c r="H193" s="34" t="n">
        <x:v>0.5</x:v>
      </x:c>
      <x:c r="I193" s="12" t="n">
        <x:v>1.22</x:v>
      </x:c>
      <x:c r="J193" s="12" t="n">
        <x:v>12</x:v>
      </x:c>
      <x:c r="K193" s="12" t="str">
        <x:v>Sales B</x:v>
      </x:c>
      <x:c r="L193" s="12" t="str">
        <x:v>Hot</x:v>
      </x:c>
    </x:row>
    <x:row r="194">
      <x:c r="A194" s="12" t="str">
        <x:v>LEAD-00193</x:v>
      </x:c>
      <x:c r="B194" s="18" t="n">
        <x:v>46213</x:v>
      </x:c>
      <x:c r="C194" s="12" t="str">
        <x:v>DLR-016</x:v>
      </x:c>
      <x:c r="D194" s="12" t="str">
        <x:v>VinFast HTA Mỹ Đình</x:v>
      </x:c>
      <x:c r="E194" s="12" t="str">
        <x:v>VinFast</x:v>
      </x:c>
      <x:c r="F194" s="12" t="str">
        <x:v>Corporate/Fleet</x:v>
      </x:c>
      <x:c r="G194" s="12" t="str">
        <x:v>Order</x:v>
      </x:c>
      <x:c r="H194" s="34" t="n">
        <x:v>0.95</x:v>
      </x:c>
      <x:c r="I194" s="12" t="n">
        <x:v>1.18</x:v>
      </x:c>
      <x:c r="J194" s="12" t="n">
        <x:v>12</x:v>
      </x:c>
      <x:c r="K194" s="12" t="str">
        <x:v>Sales D</x:v>
      </x:c>
      <x:c r="L194" s="12" t="str">
        <x:v>Hot</x:v>
      </x:c>
    </x:row>
    <x:row r="195">
      <x:c r="A195" s="12" t="str">
        <x:v>LEAD-00194</x:v>
      </x:c>
      <x:c r="B195" s="18" t="n">
        <x:v>46216</x:v>
      </x:c>
      <x:c r="C195" s="12" t="str">
        <x:v>DLR-003</x:v>
      </x:c>
      <x:c r="D195" s="12" t="str">
        <x:v>Mỹ Đình Ford</x:v>
      </x:c>
      <x:c r="E195" s="12" t="str">
        <x:v>Ford</x:v>
      </x:c>
      <x:c r="F195" s="12" t="str">
        <x:v>Referral</x:v>
      </x:c>
      <x:c r="G195" s="12" t="str">
        <x:v>Qualified</x:v>
      </x:c>
      <x:c r="H195" s="34" t="n">
        <x:v>0.3</x:v>
      </x:c>
      <x:c r="I195" s="12" t="n">
        <x:v>0.48</x:v>
      </x:c>
      <x:c r="J195" s="12" t="n">
        <x:v>9</x:v>
      </x:c>
      <x:c r="K195" s="12" t="str">
        <x:v>Sales A</x:v>
      </x:c>
      <x:c r="L195" s="12" t="str">
        <x:v>Hot</x:v>
      </x:c>
    </x:row>
    <x:row r="196">
      <x:c r="A196" s="12" t="str">
        <x:v>LEAD-00195</x:v>
      </x:c>
      <x:c r="B196" s="18" t="n">
        <x:v>46222</x:v>
      </x:c>
      <x:c r="C196" s="12" t="str">
        <x:v>DLR-002</x:v>
      </x:c>
      <x:c r="D196" s="12" t="str">
        <x:v>Hà Thành Ford - Mỹ Đình</x:v>
      </x:c>
      <x:c r="E196" s="12" t="str">
        <x:v>Ford</x:v>
      </x:c>
      <x:c r="F196" s="12" t="str">
        <x:v>Walk-in</x:v>
      </x:c>
      <x:c r="G196" s="12" t="str">
        <x:v>Lost</x:v>
      </x:c>
      <x:c r="H196" s="34" t="n">
        <x:v>0</x:v>
      </x:c>
      <x:c r="I196" s="12" t="n">
        <x:v>0.37</x:v>
      </x:c>
      <x:c r="J196" s="12" t="n">
        <x:v>3</x:v>
      </x:c>
      <x:c r="K196" s="12" t="str">
        <x:v>Sales D</x:v>
      </x:c>
      <x:c r="L196" s="12" t="str">
        <x:v>Priority</x:v>
      </x:c>
    </x:row>
    <x:row r="197">
      <x:c r="A197" s="12" t="str">
        <x:v>LEAD-00196</x:v>
      </x:c>
      <x:c r="B197" s="18" t="n">
        <x:v>46208</x:v>
      </x:c>
      <x:c r="C197" s="12" t="str">
        <x:v>DLR-012</x:v>
      </x:c>
      <x:c r="D197" s="12" t="str">
        <x:v>VinFast HTA Võ Chí Công</x:v>
      </x:c>
      <x:c r="E197" s="12" t="str">
        <x:v>VinFast</x:v>
      </x:c>
      <x:c r="F197" s="12" t="str">
        <x:v>Digital</x:v>
      </x:c>
      <x:c r="G197" s="12" t="str">
        <x:v>Contacted</x:v>
      </x:c>
      <x:c r="H197" s="34" t="n">
        <x:v>0.15</x:v>
      </x:c>
      <x:c r="I197" s="12" t="n">
        <x:v>0.91</x:v>
      </x:c>
      <x:c r="J197" s="12" t="n">
        <x:v>17</x:v>
      </x:c>
      <x:c r="K197" s="12" t="str">
        <x:v>Sales A</x:v>
      </x:c>
      <x:c r="L197" s="12" t="str">
        <x:v>Normal</x:v>
      </x:c>
    </x:row>
    <x:row r="198">
      <x:c r="A198" s="12" t="str">
        <x:v>LEAD-00197</x:v>
      </x:c>
      <x:c r="B198" s="18" t="n">
        <x:v>46213</x:v>
      </x:c>
      <x:c r="C198" s="12" t="str">
        <x:v>DLR-004</x:v>
      </x:c>
      <x:c r="D198" s="12" t="str">
        <x:v>Việt Trì Ford</x:v>
      </x:c>
      <x:c r="E198" s="12" t="str">
        <x:v>Ford</x:v>
      </x:c>
      <x:c r="F198" s="12" t="str">
        <x:v>Walk-in</x:v>
      </x:c>
      <x:c r="G198" s="12" t="str">
        <x:v>Test Drive</x:v>
      </x:c>
      <x:c r="H198" s="34" t="n">
        <x:v>0.5</x:v>
      </x:c>
      <x:c r="I198" s="12" t="n">
        <x:v>1.46</x:v>
      </x:c>
      <x:c r="J198" s="12" t="n">
        <x:v>12</x:v>
      </x:c>
      <x:c r="K198" s="12" t="str">
        <x:v>Sales D</x:v>
      </x:c>
      <x:c r="L198" s="12" t="str">
        <x:v>Priority</x:v>
      </x:c>
    </x:row>
    <x:row r="199">
      <x:c r="A199" s="12" t="str">
        <x:v>LEAD-00198</x:v>
      </x:c>
      <x:c r="B199" s="18" t="n">
        <x:v>46211</x:v>
      </x:c>
      <x:c r="C199" s="12" t="str">
        <x:v>DLR-014</x:v>
      </x:c>
      <x:c r="D199" s="12" t="str">
        <x:v>VinFast HTA Nam Từ Liêm</x:v>
      </x:c>
      <x:c r="E199" s="12" t="str">
        <x:v>VinFast</x:v>
      </x:c>
      <x:c r="F199" s="12" t="str">
        <x:v>Corporate/Fleet</x:v>
      </x:c>
      <x:c r="G199" s="12" t="str">
        <x:v>Test Drive</x:v>
      </x:c>
      <x:c r="H199" s="34" t="n">
        <x:v>0.5</x:v>
      </x:c>
      <x:c r="I199" s="12" t="n">
        <x:v>1.46</x:v>
      </x:c>
      <x:c r="J199" s="12" t="n">
        <x:v>14</x:v>
      </x:c>
      <x:c r="K199" s="12" t="str">
        <x:v>Sales C</x:v>
      </x:c>
      <x:c r="L199" s="12" t="str">
        <x:v>Hot</x:v>
      </x:c>
    </x:row>
    <x:row r="200">
      <x:c r="A200" s="12" t="str">
        <x:v>LEAD-00199</x:v>
      </x:c>
      <x:c r="B200" s="18" t="n">
        <x:v>46207</x:v>
      </x:c>
      <x:c r="C200" s="12" t="str">
        <x:v>DLR-009</x:v>
      </x:c>
      <x:c r="D200" s="12" t="str">
        <x:v>VinFast HTA Đông Anh</x:v>
      </x:c>
      <x:c r="E200" s="12" t="str">
        <x:v>VinFast</x:v>
      </x:c>
      <x:c r="F200" s="12" t="str">
        <x:v>Digital</x:v>
      </x:c>
      <x:c r="G200" s="12" t="str">
        <x:v>Test Drive</x:v>
      </x:c>
      <x:c r="H200" s="34" t="n">
        <x:v>0.5</x:v>
      </x:c>
      <x:c r="I200" s="12" t="n">
        <x:v>1.33</x:v>
      </x:c>
      <x:c r="J200" s="12" t="n">
        <x:v>18</x:v>
      </x:c>
      <x:c r="K200" s="12" t="str">
        <x:v>Sales B</x:v>
      </x:c>
      <x:c r="L200" s="12" t="str">
        <x:v>Hot</x:v>
      </x:c>
    </x:row>
    <x:row r="201">
      <x:c r="A201" s="12" t="str">
        <x:v>LEAD-00200</x:v>
      </x:c>
      <x:c r="B201" s="18" t="n">
        <x:v>46208</x:v>
      </x:c>
      <x:c r="C201" s="12" t="str">
        <x:v>DLR-005</x:v>
      </x:c>
      <x:c r="D201" s="12" t="str">
        <x:v>BYD HTA Tây Hồ</x:v>
      </x:c>
      <x:c r="E201" s="12" t="str">
        <x:v>BYD</x:v>
      </x:c>
      <x:c r="F201" s="12" t="str">
        <x:v>Event</x:v>
      </x:c>
      <x:c r="G201" s="12" t="str">
        <x:v>Negotiation</x:v>
      </x:c>
      <x:c r="H201" s="34" t="n">
        <x:v>0.7</x:v>
      </x:c>
      <x:c r="I201" s="12" t="n">
        <x:v>1.15</x:v>
      </x:c>
      <x:c r="J201" s="12" t="n">
        <x:v>17</x:v>
      </x:c>
      <x:c r="K201" s="12" t="str">
        <x:v>Sales B</x:v>
      </x:c>
      <x:c r="L201" s="12" t="str">
        <x:v>Priority</x:v>
      </x:c>
    </x:row>
    <x:row r="202">
      <x:c r="A202" s="12" t="str">
        <x:v>LEAD-00201</x:v>
      </x:c>
      <x:c r="B202" s="18" t="n">
        <x:v>46222</x:v>
      </x:c>
      <x:c r="C202" s="12" t="str">
        <x:v>DLR-009</x:v>
      </x:c>
      <x:c r="D202" s="12" t="str">
        <x:v>VinFast HTA Đông Anh</x:v>
      </x:c>
      <x:c r="E202" s="12" t="str">
        <x:v>VinFast</x:v>
      </x:c>
      <x:c r="F202" s="12" t="str">
        <x:v>Event</x:v>
      </x:c>
      <x:c r="G202" s="12" t="str">
        <x:v>Negotiation</x:v>
      </x:c>
      <x:c r="H202" s="34" t="n">
        <x:v>0.7</x:v>
      </x:c>
      <x:c r="I202" s="12" t="n">
        <x:v>1.15</x:v>
      </x:c>
      <x:c r="J202" s="12" t="n">
        <x:v>3</x:v>
      </x:c>
      <x:c r="K202" s="12" t="str">
        <x:v>Sales B</x:v>
      </x:c>
      <x:c r="L202" s="12" t="str">
        <x:v>Hot</x:v>
      </x:c>
    </x:row>
    <x:row r="203">
      <x:c r="A203" s="12" t="str">
        <x:v>LEAD-00202</x:v>
      </x:c>
      <x:c r="B203" s="18" t="n">
        <x:v>46222</x:v>
      </x:c>
      <x:c r="C203" s="12" t="str">
        <x:v>DLR-020</x:v>
      </x:c>
      <x:c r="D203" s="12" t="str">
        <x:v>Wuling HTA Long Biên</x:v>
      </x:c>
      <x:c r="E203" s="12" t="str">
        <x:v>Wuling</x:v>
      </x:c>
      <x:c r="F203" s="12" t="str">
        <x:v>Corporate/Fleet</x:v>
      </x:c>
      <x:c r="G203" s="12" t="str">
        <x:v>Test Drive</x:v>
      </x:c>
      <x:c r="H203" s="34" t="n">
        <x:v>0.5</x:v>
      </x:c>
      <x:c r="I203" s="12" t="n">
        <x:v>0.99</x:v>
      </x:c>
      <x:c r="J203" s="12" t="n">
        <x:v>3</x:v>
      </x:c>
      <x:c r="K203" s="12" t="str">
        <x:v>Sales C</x:v>
      </x:c>
      <x:c r="L203" s="12" t="str">
        <x:v>Normal</x:v>
      </x:c>
    </x:row>
    <x:row r="204">
      <x:c r="A204" s="12" t="str">
        <x:v>LEAD-00203</x:v>
      </x:c>
      <x:c r="B204" s="18" t="n">
        <x:v>46205</x:v>
      </x:c>
      <x:c r="C204" s="12" t="str">
        <x:v>DLR-011</x:v>
      </x:c>
      <x:c r="D204" s="12" t="str">
        <x:v>VinFast HTA Phạm Văn Đồng</x:v>
      </x:c>
      <x:c r="E204" s="12" t="str">
        <x:v>VinFast</x:v>
      </x:c>
      <x:c r="F204" s="12" t="str">
        <x:v>Walk-in</x:v>
      </x:c>
      <x:c r="G204" s="12" t="str">
        <x:v>New</x:v>
      </x:c>
      <x:c r="H204" s="34" t="n">
        <x:v>0.08</x:v>
      </x:c>
      <x:c r="I204" s="12" t="n">
        <x:v>0.76</x:v>
      </x:c>
      <x:c r="J204" s="12" t="n">
        <x:v>20</x:v>
      </x:c>
      <x:c r="K204" s="12" t="str">
        <x:v>Sales B</x:v>
      </x:c>
      <x:c r="L204" s="12" t="str">
        <x:v>Hot</x:v>
      </x:c>
    </x:row>
    <x:row r="205">
      <x:c r="A205" s="12" t="str">
        <x:v>LEAD-00204</x:v>
      </x:c>
      <x:c r="B205" s="18" t="n">
        <x:v>46220</x:v>
      </x:c>
      <x:c r="C205" s="12" t="str">
        <x:v>DLR-014</x:v>
      </x:c>
      <x:c r="D205" s="12" t="str">
        <x:v>VinFast HTA Nam Từ Liêm</x:v>
      </x:c>
      <x:c r="E205" s="12" t="str">
        <x:v>VinFast</x:v>
      </x:c>
      <x:c r="F205" s="12" t="str">
        <x:v>Event</x:v>
      </x:c>
      <x:c r="G205" s="12" t="str">
        <x:v>Lost</x:v>
      </x:c>
      <x:c r="H205" s="34" t="n">
        <x:v>0</x:v>
      </x:c>
      <x:c r="I205" s="12" t="n">
        <x:v>0.53</x:v>
      </x:c>
      <x:c r="J205" s="12" t="n">
        <x:v>5</x:v>
      </x:c>
      <x:c r="K205" s="12" t="str">
        <x:v>Sales C</x:v>
      </x:c>
      <x:c r="L205" s="12" t="str">
        <x:v>Priority</x:v>
      </x:c>
    </x:row>
    <x:row r="206">
      <x:c r="A206" s="12" t="str">
        <x:v>LEAD-00205</x:v>
      </x:c>
      <x:c r="B206" s="18" t="n">
        <x:v>46217</x:v>
      </x:c>
      <x:c r="C206" s="12" t="str">
        <x:v>DLR-020</x:v>
      </x:c>
      <x:c r="D206" s="12" t="str">
        <x:v>Wuling HTA Long Biên</x:v>
      </x:c>
      <x:c r="E206" s="12" t="str">
        <x:v>Wuling</x:v>
      </x:c>
      <x:c r="F206" s="12" t="str">
        <x:v>Walk-in</x:v>
      </x:c>
      <x:c r="G206" s="12" t="str">
        <x:v>New</x:v>
      </x:c>
      <x:c r="H206" s="34" t="n">
        <x:v>0.08</x:v>
      </x:c>
      <x:c r="I206" s="12" t="n">
        <x:v>0.64</x:v>
      </x:c>
      <x:c r="J206" s="12" t="n">
        <x:v>8</x:v>
      </x:c>
      <x:c r="K206" s="12" t="str">
        <x:v>Sales C</x:v>
      </x:c>
      <x:c r="L206" s="12" t="str">
        <x:v>Hot</x:v>
      </x:c>
    </x:row>
    <x:row r="207">
      <x:c r="A207" s="12" t="str">
        <x:v>LEAD-00206</x:v>
      </x:c>
      <x:c r="B207" s="18" t="n">
        <x:v>46219</x:v>
      </x:c>
      <x:c r="C207" s="12" t="str">
        <x:v>DLR-010</x:v>
      </x:c>
      <x:c r="D207" s="12" t="str">
        <x:v>VinFast HTA Đàm Quang Trung</x:v>
      </x:c>
      <x:c r="E207" s="12" t="str">
        <x:v>VinFast</x:v>
      </x:c>
      <x:c r="F207" s="12" t="str">
        <x:v>Event</x:v>
      </x:c>
      <x:c r="G207" s="12" t="str">
        <x:v>Qualified</x:v>
      </x:c>
      <x:c r="H207" s="34" t="n">
        <x:v>0.3</x:v>
      </x:c>
      <x:c r="I207" s="12" t="n">
        <x:v>0.81</x:v>
      </x:c>
      <x:c r="J207" s="12" t="n">
        <x:v>6</x:v>
      </x:c>
      <x:c r="K207" s="12" t="str">
        <x:v>Sales A</x:v>
      </x:c>
      <x:c r="L207" s="12" t="str">
        <x:v>Priority</x:v>
      </x:c>
    </x:row>
    <x:row r="208">
      <x:c r="A208" s="12" t="str">
        <x:v>LEAD-00207</x:v>
      </x:c>
      <x:c r="B208" s="18" t="n">
        <x:v>46225</x:v>
      </x:c>
      <x:c r="C208" s="12" t="str">
        <x:v>DLR-013</x:v>
      </x:c>
      <x:c r="D208" s="12" t="str">
        <x:v>VinFast HTA Ninh Bình</x:v>
      </x:c>
      <x:c r="E208" s="12" t="str">
        <x:v>VinFast</x:v>
      </x:c>
      <x:c r="F208" s="12" t="str">
        <x:v>Walk-in</x:v>
      </x:c>
      <x:c r="G208" s="12" t="str">
        <x:v>Lost</x:v>
      </x:c>
      <x:c r="H208" s="34" t="n">
        <x:v>0</x:v>
      </x:c>
      <x:c r="I208" s="12" t="n">
        <x:v>1.47</x:v>
      </x:c>
      <x:c r="J208" s="12" t="n">
        <x:v>0</x:v>
      </x:c>
      <x:c r="K208" s="12" t="str">
        <x:v>Sales A</x:v>
      </x:c>
      <x:c r="L208" s="12" t="str">
        <x:v>Priority</x:v>
      </x:c>
    </x:row>
    <x:row r="209">
      <x:c r="A209" s="12" t="str">
        <x:v>LEAD-00208</x:v>
      </x:c>
      <x:c r="B209" s="18" t="n">
        <x:v>46222</x:v>
      </x:c>
      <x:c r="C209" s="12" t="str">
        <x:v>DLR-018</x:v>
      </x:c>
      <x:c r="D209" s="12" t="str">
        <x:v>OMODA &amp; JAECOO HTA Nam Từ Liêm</x:v>
      </x:c>
      <x:c r="E209" s="12" t="str">
        <x:v>OMODA &amp; JAECOO</x:v>
      </x:c>
      <x:c r="F209" s="12" t="str">
        <x:v>Walk-in</x:v>
      </x:c>
      <x:c r="G209" s="12" t="str">
        <x:v>New</x:v>
      </x:c>
      <x:c r="H209" s="34" t="n">
        <x:v>0.08</x:v>
      </x:c>
      <x:c r="I209" s="12" t="n">
        <x:v>1.18</x:v>
      </x:c>
      <x:c r="J209" s="12" t="n">
        <x:v>3</x:v>
      </x:c>
      <x:c r="K209" s="12" t="str">
        <x:v>Sales B</x:v>
      </x:c>
      <x:c r="L209" s="12" t="str">
        <x:v>Hot</x:v>
      </x:c>
    </x:row>
    <x:row r="210">
      <x:c r="A210" s="12" t="str">
        <x:v>LEAD-00209</x:v>
      </x:c>
      <x:c r="B210" s="18" t="n">
        <x:v>46224</x:v>
      </x:c>
      <x:c r="C210" s="12" t="str">
        <x:v>DLR-004</x:v>
      </x:c>
      <x:c r="D210" s="12" t="str">
        <x:v>Việt Trì Ford</x:v>
      </x:c>
      <x:c r="E210" s="12" t="str">
        <x:v>Ford</x:v>
      </x:c>
      <x:c r="F210" s="12" t="str">
        <x:v>Corporate/Fleet</x:v>
      </x:c>
      <x:c r="G210" s="12" t="str">
        <x:v>Contacted</x:v>
      </x:c>
      <x:c r="H210" s="34" t="n">
        <x:v>0.15</x:v>
      </x:c>
      <x:c r="I210" s="12" t="n">
        <x:v>1.01</x:v>
      </x:c>
      <x:c r="J210" s="12" t="n">
        <x:v>1</x:v>
      </x:c>
      <x:c r="K210" s="12" t="str">
        <x:v>Sales C</x:v>
      </x:c>
      <x:c r="L210" s="12" t="str">
        <x:v>Priority</x:v>
      </x:c>
    </x:row>
    <x:row r="211">
      <x:c r="A211" s="12" t="str">
        <x:v>LEAD-00210</x:v>
      </x:c>
      <x:c r="B211" s="18" t="n">
        <x:v>46216</x:v>
      </x:c>
      <x:c r="C211" s="12" t="str">
        <x:v>DLR-004</x:v>
      </x:c>
      <x:c r="D211" s="12" t="str">
        <x:v>Việt Trì Ford</x:v>
      </x:c>
      <x:c r="E211" s="12" t="str">
        <x:v>Ford</x:v>
      </x:c>
      <x:c r="F211" s="12" t="str">
        <x:v>Walk-in</x:v>
      </x:c>
      <x:c r="G211" s="12" t="str">
        <x:v>Negotiation</x:v>
      </x:c>
      <x:c r="H211" s="34" t="n">
        <x:v>0.7</x:v>
      </x:c>
      <x:c r="I211" s="12" t="n">
        <x:v>0.79</x:v>
      </x:c>
      <x:c r="J211" s="12" t="n">
        <x:v>9</x:v>
      </x:c>
      <x:c r="K211" s="12" t="str">
        <x:v>Sales D</x:v>
      </x:c>
      <x:c r="L211" s="12" t="str">
        <x:v>Priority</x:v>
      </x:c>
    </x:row>
    <x:row r="212">
      <x:c r="A212" s="12" t="str">
        <x:v>LEAD-00211</x:v>
      </x:c>
      <x:c r="B212" s="18" t="n">
        <x:v>46212</x:v>
      </x:c>
      <x:c r="C212" s="12" t="str">
        <x:v>DLR-016</x:v>
      </x:c>
      <x:c r="D212" s="12" t="str">
        <x:v>VinFast HTA Mỹ Đình</x:v>
      </x:c>
      <x:c r="E212" s="12" t="str">
        <x:v>VinFast</x:v>
      </x:c>
      <x:c r="F212" s="12" t="str">
        <x:v>Event</x:v>
      </x:c>
      <x:c r="G212" s="12" t="str">
        <x:v>Order</x:v>
      </x:c>
      <x:c r="H212" s="34" t="n">
        <x:v>0.95</x:v>
      </x:c>
      <x:c r="I212" s="12" t="n">
        <x:v>1.3</x:v>
      </x:c>
      <x:c r="J212" s="12" t="n">
        <x:v>13</x:v>
      </x:c>
      <x:c r="K212" s="12" t="str">
        <x:v>Sales D</x:v>
      </x:c>
      <x:c r="L212" s="12" t="str">
        <x:v>Hot</x:v>
      </x:c>
    </x:row>
    <x:row r="213">
      <x:c r="A213" s="12" t="str">
        <x:v>LEAD-00212</x:v>
      </x:c>
      <x:c r="B213" s="18" t="n">
        <x:v>46205</x:v>
      </x:c>
      <x:c r="C213" s="12" t="str">
        <x:v>DLR-001</x:v>
      </x:c>
      <x:c r="D213" s="12" t="str">
        <x:v>Hà Thành Ford</x:v>
      </x:c>
      <x:c r="E213" s="12" t="str">
        <x:v>Ford</x:v>
      </x:c>
      <x:c r="F213" s="12" t="str">
        <x:v>Referral</x:v>
      </x:c>
      <x:c r="G213" s="12" t="str">
        <x:v>New</x:v>
      </x:c>
      <x:c r="H213" s="34" t="n">
        <x:v>0.08</x:v>
      </x:c>
      <x:c r="I213" s="12" t="n">
        <x:v>0.8</x:v>
      </x:c>
      <x:c r="J213" s="12" t="n">
        <x:v>20</x:v>
      </x:c>
      <x:c r="K213" s="12" t="str">
        <x:v>Sales C</x:v>
      </x:c>
      <x:c r="L213" s="12" t="str">
        <x:v>Priority</x:v>
      </x:c>
    </x:row>
    <x:row r="214">
      <x:c r="A214" s="12" t="str">
        <x:v>LEAD-00213</x:v>
      </x:c>
      <x:c r="B214" s="18" t="n">
        <x:v>46207</x:v>
      </x:c>
      <x:c r="C214" s="12" t="str">
        <x:v>DLR-004</x:v>
      </x:c>
      <x:c r="D214" s="12" t="str">
        <x:v>Việt Trì Ford</x:v>
      </x:c>
      <x:c r="E214" s="12" t="str">
        <x:v>Ford</x:v>
      </x:c>
      <x:c r="F214" s="12" t="str">
        <x:v>Walk-in</x:v>
      </x:c>
      <x:c r="G214" s="12" t="str">
        <x:v>Test Drive</x:v>
      </x:c>
      <x:c r="H214" s="34" t="n">
        <x:v>0.5</x:v>
      </x:c>
      <x:c r="I214" s="12" t="n">
        <x:v>0.74</x:v>
      </x:c>
      <x:c r="J214" s="12" t="n">
        <x:v>18</x:v>
      </x:c>
      <x:c r="K214" s="12" t="str">
        <x:v>Sales A</x:v>
      </x:c>
      <x:c r="L214" s="12" t="str">
        <x:v>Hot</x:v>
      </x:c>
    </x:row>
    <x:row r="215">
      <x:c r="A215" s="12" t="str">
        <x:v>LEAD-00214</x:v>
      </x:c>
      <x:c r="B215" s="18" t="n">
        <x:v>46208</x:v>
      </x:c>
      <x:c r="C215" s="12" t="str">
        <x:v>DLR-003</x:v>
      </x:c>
      <x:c r="D215" s="12" t="str">
        <x:v>Mỹ Đình Ford</x:v>
      </x:c>
      <x:c r="E215" s="12" t="str">
        <x:v>Ford</x:v>
      </x:c>
      <x:c r="F215" s="12" t="str">
        <x:v>Referral</x:v>
      </x:c>
      <x:c r="G215" s="12" t="str">
        <x:v>Contacted</x:v>
      </x:c>
      <x:c r="H215" s="34" t="n">
        <x:v>0.15</x:v>
      </x:c>
      <x:c r="I215" s="12" t="n">
        <x:v>0.65</x:v>
      </x:c>
      <x:c r="J215" s="12" t="n">
        <x:v>17</x:v>
      </x:c>
      <x:c r="K215" s="12" t="str">
        <x:v>Sales A</x:v>
      </x:c>
      <x:c r="L215" s="12" t="str">
        <x:v>Priority</x:v>
      </x:c>
    </x:row>
    <x:row r="216">
      <x:c r="A216" s="12" t="str">
        <x:v>LEAD-00215</x:v>
      </x:c>
      <x:c r="B216" s="18" t="n">
        <x:v>46210</x:v>
      </x:c>
      <x:c r="C216" s="12" t="str">
        <x:v>DLR-013</x:v>
      </x:c>
      <x:c r="D216" s="12" t="str">
        <x:v>VinFast HTA Ninh Bình</x:v>
      </x:c>
      <x:c r="E216" s="12" t="str">
        <x:v>VinFast</x:v>
      </x:c>
      <x:c r="F216" s="12" t="str">
        <x:v>Walk-in</x:v>
      </x:c>
      <x:c r="G216" s="12" t="str">
        <x:v>Order</x:v>
      </x:c>
      <x:c r="H216" s="34" t="n">
        <x:v>0.95</x:v>
      </x:c>
      <x:c r="I216" s="12" t="n">
        <x:v>1.44</x:v>
      </x:c>
      <x:c r="J216" s="12" t="n">
        <x:v>15</x:v>
      </x:c>
      <x:c r="K216" s="12" t="str">
        <x:v>Sales B</x:v>
      </x:c>
      <x:c r="L216" s="12" t="str">
        <x:v>Normal</x:v>
      </x:c>
    </x:row>
    <x:row r="217">
      <x:c r="A217" s="12" t="str">
        <x:v>LEAD-00216</x:v>
      </x:c>
      <x:c r="B217" s="18" t="n">
        <x:v>46213</x:v>
      </x:c>
      <x:c r="C217" s="12" t="str">
        <x:v>DLR-018</x:v>
      </x:c>
      <x:c r="D217" s="12" t="str">
        <x:v>OMODA &amp; JAECOO HTA Nam Từ Liêm</x:v>
      </x:c>
      <x:c r="E217" s="12" t="str">
        <x:v>OMODA &amp; JAECOO</x:v>
      </x:c>
      <x:c r="F217" s="12" t="str">
        <x:v>Walk-in</x:v>
      </x:c>
      <x:c r="G217" s="12" t="str">
        <x:v>Test Drive</x:v>
      </x:c>
      <x:c r="H217" s="34" t="n">
        <x:v>0.5</x:v>
      </x:c>
      <x:c r="I217" s="12" t="n">
        <x:v>0.62</x:v>
      </x:c>
      <x:c r="J217" s="12" t="n">
        <x:v>12</x:v>
      </x:c>
      <x:c r="K217" s="12" t="str">
        <x:v>Sales C</x:v>
      </x:c>
      <x:c r="L217" s="12" t="str">
        <x:v>Priority</x:v>
      </x:c>
    </x:row>
    <x:row r="218">
      <x:c r="A218" s="12" t="str">
        <x:v>LEAD-00217</x:v>
      </x:c>
      <x:c r="B218" s="18" t="n">
        <x:v>46223</x:v>
      </x:c>
      <x:c r="C218" s="12" t="str">
        <x:v>DLR-012</x:v>
      </x:c>
      <x:c r="D218" s="12" t="str">
        <x:v>VinFast HTA Võ Chí Công</x:v>
      </x:c>
      <x:c r="E218" s="12" t="str">
        <x:v>VinFast</x:v>
      </x:c>
      <x:c r="F218" s="12" t="str">
        <x:v>Corporate/Fleet</x:v>
      </x:c>
      <x:c r="G218" s="12" t="str">
        <x:v>Lost</x:v>
      </x:c>
      <x:c r="H218" s="34" t="n">
        <x:v>0</x:v>
      </x:c>
      <x:c r="I218" s="12" t="n">
        <x:v>0.99</x:v>
      </x:c>
      <x:c r="J218" s="12" t="n">
        <x:v>2</x:v>
      </x:c>
      <x:c r="K218" s="12" t="str">
        <x:v>Sales A</x:v>
      </x:c>
      <x:c r="L218" s="12" t="str">
        <x:v>Hot</x:v>
      </x:c>
    </x:row>
    <x:row r="219">
      <x:c r="A219" s="12" t="str">
        <x:v>LEAD-00218</x:v>
      </x:c>
      <x:c r="B219" s="18" t="n">
        <x:v>46225</x:v>
      </x:c>
      <x:c r="C219" s="12" t="str">
        <x:v>DLR-002</x:v>
      </x:c>
      <x:c r="D219" s="12" t="str">
        <x:v>Hà Thành Ford - Mỹ Đình</x:v>
      </x:c>
      <x:c r="E219" s="12" t="str">
        <x:v>Ford</x:v>
      </x:c>
      <x:c r="F219" s="12" t="str">
        <x:v>Walk-in</x:v>
      </x:c>
      <x:c r="G219" s="12" t="str">
        <x:v>New</x:v>
      </x:c>
      <x:c r="H219" s="34" t="n">
        <x:v>0.08</x:v>
      </x:c>
      <x:c r="I219" s="12" t="n">
        <x:v>1.06</x:v>
      </x:c>
      <x:c r="J219" s="12" t="n">
        <x:v>0</x:v>
      </x:c>
      <x:c r="K219" s="12" t="str">
        <x:v>Sales D</x:v>
      </x:c>
      <x:c r="L219" s="12" t="str">
        <x:v>Priority</x:v>
      </x:c>
    </x:row>
    <x:row r="220">
      <x:c r="A220" s="12" t="str">
        <x:v>LEAD-00219</x:v>
      </x:c>
      <x:c r="B220" s="18" t="n">
        <x:v>46221</x:v>
      </x:c>
      <x:c r="C220" s="12" t="str">
        <x:v>DLR-003</x:v>
      </x:c>
      <x:c r="D220" s="12" t="str">
        <x:v>Mỹ Đình Ford</x:v>
      </x:c>
      <x:c r="E220" s="12" t="str">
        <x:v>Ford</x:v>
      </x:c>
      <x:c r="F220" s="12" t="str">
        <x:v>Digital</x:v>
      </x:c>
      <x:c r="G220" s="12" t="str">
        <x:v>Test Drive</x:v>
      </x:c>
      <x:c r="H220" s="34" t="n">
        <x:v>0.5</x:v>
      </x:c>
      <x:c r="I220" s="12" t="n">
        <x:v>1.33</x:v>
      </x:c>
      <x:c r="J220" s="12" t="n">
        <x:v>4</x:v>
      </x:c>
      <x:c r="K220" s="12" t="str">
        <x:v>Sales D</x:v>
      </x:c>
      <x:c r="L220" s="12" t="str">
        <x:v>Hot</x:v>
      </x:c>
    </x:row>
    <x:row r="221">
      <x:c r="A221" s="12" t="str">
        <x:v>LEAD-00220</x:v>
      </x:c>
      <x:c r="B221" s="18" t="n">
        <x:v>46212</x:v>
      </x:c>
      <x:c r="C221" s="12" t="str">
        <x:v>DLR-020</x:v>
      </x:c>
      <x:c r="D221" s="12" t="str">
        <x:v>Wuling HTA Long Biên</x:v>
      </x:c>
      <x:c r="E221" s="12" t="str">
        <x:v>Wuling</x:v>
      </x:c>
      <x:c r="F221" s="12" t="str">
        <x:v>Walk-in</x:v>
      </x:c>
      <x:c r="G221" s="12" t="str">
        <x:v>Negotiation</x:v>
      </x:c>
      <x:c r="H221" s="34" t="n">
        <x:v>0.7</x:v>
      </x:c>
      <x:c r="I221" s="12" t="n">
        <x:v>0.5</x:v>
      </x:c>
      <x:c r="J221" s="12" t="n">
        <x:v>13</x:v>
      </x:c>
      <x:c r="K221" s="12" t="str">
        <x:v>Sales C</x:v>
      </x:c>
      <x:c r="L221" s="12" t="str">
        <x:v>Priority</x:v>
      </x:c>
    </x:row>
    <x:row r="222">
      <x:c r="A222" s="12" t="str">
        <x:v>LEAD-00221</x:v>
      </x:c>
      <x:c r="B222" s="18" t="n">
        <x:v>46210</x:v>
      </x:c>
      <x:c r="C222" s="12" t="str">
        <x:v>DLR-002</x:v>
      </x:c>
      <x:c r="D222" s="12" t="str">
        <x:v>Hà Thành Ford - Mỹ Đình</x:v>
      </x:c>
      <x:c r="E222" s="12" t="str">
        <x:v>Ford</x:v>
      </x:c>
      <x:c r="F222" s="12" t="str">
        <x:v>Event</x:v>
      </x:c>
      <x:c r="G222" s="12" t="str">
        <x:v>Test Drive</x:v>
      </x:c>
      <x:c r="H222" s="34" t="n">
        <x:v>0.5</x:v>
      </x:c>
      <x:c r="I222" s="12" t="n">
        <x:v>0.38</x:v>
      </x:c>
      <x:c r="J222" s="12" t="n">
        <x:v>15</x:v>
      </x:c>
      <x:c r="K222" s="12" t="str">
        <x:v>Sales C</x:v>
      </x:c>
      <x:c r="L222" s="12" t="str">
        <x:v>Priority</x:v>
      </x:c>
    </x:row>
    <x:row r="223">
      <x:c r="A223" s="12" t="str">
        <x:v>LEAD-00222</x:v>
      </x:c>
      <x:c r="B223" s="18" t="n">
        <x:v>46205</x:v>
      </x:c>
      <x:c r="C223" s="12" t="str">
        <x:v>DLR-015</x:v>
      </x:c>
      <x:c r="D223" s="12" t="str">
        <x:v>VinFast HTA Văn Phú</x:v>
      </x:c>
      <x:c r="E223" s="12" t="str">
        <x:v>VinFast</x:v>
      </x:c>
      <x:c r="F223" s="12" t="str">
        <x:v>Referral</x:v>
      </x:c>
      <x:c r="G223" s="12" t="str">
        <x:v>Qualified</x:v>
      </x:c>
      <x:c r="H223" s="34" t="n">
        <x:v>0.3</x:v>
      </x:c>
      <x:c r="I223" s="12" t="n">
        <x:v>0.52</x:v>
      </x:c>
      <x:c r="J223" s="12" t="n">
        <x:v>20</x:v>
      </x:c>
      <x:c r="K223" s="12" t="str">
        <x:v>Sales B</x:v>
      </x:c>
      <x:c r="L223" s="12" t="str">
        <x:v>Hot</x:v>
      </x:c>
    </x:row>
    <x:row r="224">
      <x:c r="A224" s="12" t="str">
        <x:v>LEAD-00223</x:v>
      </x:c>
      <x:c r="B224" s="18" t="n">
        <x:v>46221</x:v>
      </x:c>
      <x:c r="C224" s="12" t="str">
        <x:v>DLR-013</x:v>
      </x:c>
      <x:c r="D224" s="12" t="str">
        <x:v>VinFast HTA Ninh Bình</x:v>
      </x:c>
      <x:c r="E224" s="12" t="str">
        <x:v>VinFast</x:v>
      </x:c>
      <x:c r="F224" s="12" t="str">
        <x:v>Event</x:v>
      </x:c>
      <x:c r="G224" s="12" t="str">
        <x:v>Contacted</x:v>
      </x:c>
      <x:c r="H224" s="34" t="n">
        <x:v>0.15</x:v>
      </x:c>
      <x:c r="I224" s="12" t="n">
        <x:v>0.88</x:v>
      </x:c>
      <x:c r="J224" s="12" t="n">
        <x:v>4</x:v>
      </x:c>
      <x:c r="K224" s="12" t="str">
        <x:v>Sales C</x:v>
      </x:c>
      <x:c r="L224" s="12" t="str">
        <x:v>Normal</x:v>
      </x:c>
    </x:row>
    <x:row r="225">
      <x:c r="A225" s="12" t="str">
        <x:v>LEAD-00224</x:v>
      </x:c>
      <x:c r="B225" s="18" t="n">
        <x:v>46224</x:v>
      </x:c>
      <x:c r="C225" s="12" t="str">
        <x:v>DLR-015</x:v>
      </x:c>
      <x:c r="D225" s="12" t="str">
        <x:v>VinFast HTA Văn Phú</x:v>
      </x:c>
      <x:c r="E225" s="12" t="str">
        <x:v>VinFast</x:v>
      </x:c>
      <x:c r="F225" s="12" t="str">
        <x:v>Corporate/Fleet</x:v>
      </x:c>
      <x:c r="G225" s="12" t="str">
        <x:v>New</x:v>
      </x:c>
      <x:c r="H225" s="34" t="n">
        <x:v>0.08</x:v>
      </x:c>
      <x:c r="I225" s="12" t="n">
        <x:v>1.01</x:v>
      </x:c>
      <x:c r="J225" s="12" t="n">
        <x:v>1</x:v>
      </x:c>
      <x:c r="K225" s="12" t="str">
        <x:v>Sales C</x:v>
      </x:c>
      <x:c r="L225" s="12" t="str">
        <x:v>Priority</x:v>
      </x:c>
    </x:row>
    <x:row r="226">
      <x:c r="A226" s="12" t="str">
        <x:v>LEAD-00225</x:v>
      </x:c>
      <x:c r="B226" s="18" t="n">
        <x:v>46224</x:v>
      </x:c>
      <x:c r="C226" s="12" t="str">
        <x:v>DLR-004</x:v>
      </x:c>
      <x:c r="D226" s="12" t="str">
        <x:v>Việt Trì Ford</x:v>
      </x:c>
      <x:c r="E226" s="12" t="str">
        <x:v>Ford</x:v>
      </x:c>
      <x:c r="F226" s="12" t="str">
        <x:v>Walk-in</x:v>
      </x:c>
      <x:c r="G226" s="12" t="str">
        <x:v>Contacted</x:v>
      </x:c>
      <x:c r="H226" s="34" t="n">
        <x:v>0.15</x:v>
      </x:c>
      <x:c r="I226" s="12" t="n">
        <x:v>1.24</x:v>
      </x:c>
      <x:c r="J226" s="12" t="n">
        <x:v>1</x:v>
      </x:c>
      <x:c r="K226" s="12" t="str">
        <x:v>Sales C</x:v>
      </x:c>
      <x:c r="L226" s="12" t="str">
        <x:v>Hot</x:v>
      </x:c>
    </x:row>
    <x:row r="227">
      <x:c r="A227" s="12" t="str">
        <x:v>LEAD-00226</x:v>
      </x:c>
      <x:c r="B227" s="18" t="n">
        <x:v>46213</x:v>
      </x:c>
      <x:c r="C227" s="12" t="str">
        <x:v>DLR-010</x:v>
      </x:c>
      <x:c r="D227" s="12" t="str">
        <x:v>VinFast HTA Đàm Quang Trung</x:v>
      </x:c>
      <x:c r="E227" s="12" t="str">
        <x:v>VinFast</x:v>
      </x:c>
      <x:c r="F227" s="12" t="str">
        <x:v>Walk-in</x:v>
      </x:c>
      <x:c r="G227" s="12" t="str">
        <x:v>Qualified</x:v>
      </x:c>
      <x:c r="H227" s="34" t="n">
        <x:v>0.3</x:v>
      </x:c>
      <x:c r="I227" s="12" t="n">
        <x:v>1.48</x:v>
      </x:c>
      <x:c r="J227" s="12" t="n">
        <x:v>12</x:v>
      </x:c>
      <x:c r="K227" s="12" t="str">
        <x:v>Sales D</x:v>
      </x:c>
      <x:c r="L227" s="12" t="str">
        <x:v>Normal</x:v>
      </x:c>
    </x:row>
    <x:row r="228">
      <x:c r="A228" s="12" t="str">
        <x:v>LEAD-00227</x:v>
      </x:c>
      <x:c r="B228" s="18" t="n">
        <x:v>46208</x:v>
      </x:c>
      <x:c r="C228" s="12" t="str">
        <x:v>DLR-008</x:v>
      </x:c>
      <x:c r="D228" s="12" t="str">
        <x:v>VinFast HTA Nguyễn Văn Linh</x:v>
      </x:c>
      <x:c r="E228" s="12" t="str">
        <x:v>VinFast</x:v>
      </x:c>
      <x:c r="F228" s="12" t="str">
        <x:v>Referral</x:v>
      </x:c>
      <x:c r="G228" s="12" t="str">
        <x:v>Negotiation</x:v>
      </x:c>
      <x:c r="H228" s="34" t="n">
        <x:v>0.7</x:v>
      </x:c>
      <x:c r="I228" s="12" t="n">
        <x:v>0.47</x:v>
      </x:c>
      <x:c r="J228" s="12" t="n">
        <x:v>17</x:v>
      </x:c>
      <x:c r="K228" s="12" t="str">
        <x:v>Sales C</x:v>
      </x:c>
      <x:c r="L228" s="12" t="str">
        <x:v>Hot</x:v>
      </x:c>
    </x:row>
    <x:row r="229">
      <x:c r="A229" s="12" t="str">
        <x:v>LEAD-00228</x:v>
      </x:c>
      <x:c r="B229" s="18" t="n">
        <x:v>46217</x:v>
      </x:c>
      <x:c r="C229" s="12" t="str">
        <x:v>DLR-009</x:v>
      </x:c>
      <x:c r="D229" s="12" t="str">
        <x:v>VinFast HTA Đông Anh</x:v>
      </x:c>
      <x:c r="E229" s="12" t="str">
        <x:v>VinFast</x:v>
      </x:c>
      <x:c r="F229" s="12" t="str">
        <x:v>Event</x:v>
      </x:c>
      <x:c r="G229" s="12" t="str">
        <x:v>Test Drive</x:v>
      </x:c>
      <x:c r="H229" s="34" t="n">
        <x:v>0.5</x:v>
      </x:c>
      <x:c r="I229" s="12" t="n">
        <x:v>1.3</x:v>
      </x:c>
      <x:c r="J229" s="12" t="n">
        <x:v>8</x:v>
      </x:c>
      <x:c r="K229" s="12" t="str">
        <x:v>Sales D</x:v>
      </x:c>
      <x:c r="L229" s="12" t="str">
        <x:v>Normal</x:v>
      </x:c>
    </x:row>
    <x:row r="230">
      <x:c r="A230" s="12" t="str">
        <x:v>LEAD-00229</x:v>
      </x:c>
      <x:c r="B230" s="18" t="n">
        <x:v>46221</x:v>
      </x:c>
      <x:c r="C230" s="12" t="str">
        <x:v>DLR-006</x:v>
      </x:c>
      <x:c r="D230" s="12" t="str">
        <x:v>BYD HTA Hoàn Kiếm</x:v>
      </x:c>
      <x:c r="E230" s="12" t="str">
        <x:v>BYD</x:v>
      </x:c>
      <x:c r="F230" s="12" t="str">
        <x:v>Event</x:v>
      </x:c>
      <x:c r="G230" s="12" t="str">
        <x:v>Qualified</x:v>
      </x:c>
      <x:c r="H230" s="34" t="n">
        <x:v>0.3</x:v>
      </x:c>
      <x:c r="I230" s="12" t="n">
        <x:v>0.85</x:v>
      </x:c>
      <x:c r="J230" s="12" t="n">
        <x:v>4</x:v>
      </x:c>
      <x:c r="K230" s="12" t="str">
        <x:v>Sales A</x:v>
      </x:c>
      <x:c r="L230" s="12" t="str">
        <x:v>Priority</x:v>
      </x:c>
    </x:row>
    <x:row r="231">
      <x:c r="A231" s="12" t="str">
        <x:v>LEAD-00230</x:v>
      </x:c>
      <x:c r="B231" s="18" t="n">
        <x:v>46220</x:v>
      </x:c>
      <x:c r="C231" s="12" t="str">
        <x:v>DLR-005</x:v>
      </x:c>
      <x:c r="D231" s="12" t="str">
        <x:v>BYD HTA Tây Hồ</x:v>
      </x:c>
      <x:c r="E231" s="12" t="str">
        <x:v>BYD</x:v>
      </x:c>
      <x:c r="F231" s="12" t="str">
        <x:v>Corporate/Fleet</x:v>
      </x:c>
      <x:c r="G231" s="12" t="str">
        <x:v>Negotiation</x:v>
      </x:c>
      <x:c r="H231" s="34" t="n">
        <x:v>0.7</x:v>
      </x:c>
      <x:c r="I231" s="12" t="n">
        <x:v>0.52</x:v>
      </x:c>
      <x:c r="J231" s="12" t="n">
        <x:v>5</x:v>
      </x:c>
      <x:c r="K231" s="12" t="str">
        <x:v>Sales A</x:v>
      </x:c>
      <x:c r="L231" s="12" t="str">
        <x:v>Priority</x:v>
      </x:c>
    </x:row>
    <x:row r="232">
      <x:c r="A232" s="12" t="str">
        <x:v>LEAD-00231</x:v>
      </x:c>
      <x:c r="B232" s="18" t="n">
        <x:v>46222</x:v>
      </x:c>
      <x:c r="C232" s="12" t="str">
        <x:v>DLR-009</x:v>
      </x:c>
      <x:c r="D232" s="12" t="str">
        <x:v>VinFast HTA Đông Anh</x:v>
      </x:c>
      <x:c r="E232" s="12" t="str">
        <x:v>VinFast</x:v>
      </x:c>
      <x:c r="F232" s="12" t="str">
        <x:v>Corporate/Fleet</x:v>
      </x:c>
      <x:c r="G232" s="12" t="str">
        <x:v>Test Drive</x:v>
      </x:c>
      <x:c r="H232" s="34" t="n">
        <x:v>0.5</x:v>
      </x:c>
      <x:c r="I232" s="12" t="n">
        <x:v>0.28</x:v>
      </x:c>
      <x:c r="J232" s="12" t="n">
        <x:v>3</x:v>
      </x:c>
      <x:c r="K232" s="12" t="str">
        <x:v>Sales D</x:v>
      </x:c>
      <x:c r="L232" s="12" t="str">
        <x:v>Priority</x:v>
      </x:c>
    </x:row>
    <x:row r="233">
      <x:c r="A233" s="12" t="str">
        <x:v>LEAD-00232</x:v>
      </x:c>
      <x:c r="B233" s="18" t="n">
        <x:v>46209</x:v>
      </x:c>
      <x:c r="C233" s="12" t="str">
        <x:v>DLR-018</x:v>
      </x:c>
      <x:c r="D233" s="12" t="str">
        <x:v>OMODA &amp; JAECOO HTA Nam Từ Liêm</x:v>
      </x:c>
      <x:c r="E233" s="12" t="str">
        <x:v>OMODA &amp; JAECOO</x:v>
      </x:c>
      <x:c r="F233" s="12" t="str">
        <x:v>Event</x:v>
      </x:c>
      <x:c r="G233" s="12" t="str">
        <x:v>Negotiation</x:v>
      </x:c>
      <x:c r="H233" s="34" t="n">
        <x:v>0.7</x:v>
      </x:c>
      <x:c r="I233" s="12" t="n">
        <x:v>0.65</x:v>
      </x:c>
      <x:c r="J233" s="12" t="n">
        <x:v>16</x:v>
      </x:c>
      <x:c r="K233" s="12" t="str">
        <x:v>Sales D</x:v>
      </x:c>
      <x:c r="L233" s="12" t="str">
        <x:v>Priority</x:v>
      </x:c>
    </x:row>
    <x:row r="234">
      <x:c r="A234" s="12" t="str">
        <x:v>LEAD-00233</x:v>
      </x:c>
      <x:c r="B234" s="18" t="n">
        <x:v>46223</x:v>
      </x:c>
      <x:c r="C234" s="12" t="str">
        <x:v>DLR-006</x:v>
      </x:c>
      <x:c r="D234" s="12" t="str">
        <x:v>BYD HTA Hoàn Kiếm</x:v>
      </x:c>
      <x:c r="E234" s="12" t="str">
        <x:v>BYD</x:v>
      </x:c>
      <x:c r="F234" s="12" t="str">
        <x:v>Event</x:v>
      </x:c>
      <x:c r="G234" s="12" t="str">
        <x:v>New</x:v>
      </x:c>
      <x:c r="H234" s="34" t="n">
        <x:v>0.08</x:v>
      </x:c>
      <x:c r="I234" s="12" t="n">
        <x:v>0.98</x:v>
      </x:c>
      <x:c r="J234" s="12" t="n">
        <x:v>2</x:v>
      </x:c>
      <x:c r="K234" s="12" t="str">
        <x:v>Sales B</x:v>
      </x:c>
      <x:c r="L234" s="12" t="str">
        <x:v>Normal</x:v>
      </x:c>
    </x:row>
    <x:row r="235">
      <x:c r="A235" s="12" t="str">
        <x:v>LEAD-00234</x:v>
      </x:c>
      <x:c r="B235" s="18" t="n">
        <x:v>46224</x:v>
      </x:c>
      <x:c r="C235" s="12" t="str">
        <x:v>DLR-004</x:v>
      </x:c>
      <x:c r="D235" s="12" t="str">
        <x:v>Việt Trì Ford</x:v>
      </x:c>
      <x:c r="E235" s="12" t="str">
        <x:v>Ford</x:v>
      </x:c>
      <x:c r="F235" s="12" t="str">
        <x:v>Corporate/Fleet</x:v>
      </x:c>
      <x:c r="G235" s="12" t="str">
        <x:v>Contacted</x:v>
      </x:c>
      <x:c r="H235" s="34" t="n">
        <x:v>0.15</x:v>
      </x:c>
      <x:c r="I235" s="12" t="n">
        <x:v>0.69</x:v>
      </x:c>
      <x:c r="J235" s="12" t="n">
        <x:v>1</x:v>
      </x:c>
      <x:c r="K235" s="12" t="str">
        <x:v>Sales C</x:v>
      </x:c>
      <x:c r="L235" s="12" t="str">
        <x:v>Hot</x:v>
      </x:c>
    </x:row>
    <x:row r="236">
      <x:c r="A236" s="12" t="str">
        <x:v>LEAD-00235</x:v>
      </x:c>
      <x:c r="B236" s="18" t="n">
        <x:v>46219</x:v>
      </x:c>
      <x:c r="C236" s="12" t="str">
        <x:v>DLR-011</x:v>
      </x:c>
      <x:c r="D236" s="12" t="str">
        <x:v>VinFast HTA Phạm Văn Đồng</x:v>
      </x:c>
      <x:c r="E236" s="12" t="str">
        <x:v>VinFast</x:v>
      </x:c>
      <x:c r="F236" s="12" t="str">
        <x:v>Walk-in</x:v>
      </x:c>
      <x:c r="G236" s="12" t="str">
        <x:v>Negotiation</x:v>
      </x:c>
      <x:c r="H236" s="34" t="n">
        <x:v>0.7</x:v>
      </x:c>
      <x:c r="I236" s="12" t="n">
        <x:v>1.43</x:v>
      </x:c>
      <x:c r="J236" s="12" t="n">
        <x:v>6</x:v>
      </x:c>
      <x:c r="K236" s="12" t="str">
        <x:v>Sales D</x:v>
      </x:c>
      <x:c r="L236" s="12" t="str">
        <x:v>Priority</x:v>
      </x:c>
    </x:row>
    <x:row r="237">
      <x:c r="A237" s="12" t="str">
        <x:v>LEAD-00236</x:v>
      </x:c>
      <x:c r="B237" s="18" t="n">
        <x:v>46208</x:v>
      </x:c>
      <x:c r="C237" s="12" t="str">
        <x:v>DLR-006</x:v>
      </x:c>
      <x:c r="D237" s="12" t="str">
        <x:v>BYD HTA Hoàn Kiếm</x:v>
      </x:c>
      <x:c r="E237" s="12" t="str">
        <x:v>BYD</x:v>
      </x:c>
      <x:c r="F237" s="12" t="str">
        <x:v>Corporate/Fleet</x:v>
      </x:c>
      <x:c r="G237" s="12" t="str">
        <x:v>New</x:v>
      </x:c>
      <x:c r="H237" s="34" t="n">
        <x:v>0.08</x:v>
      </x:c>
      <x:c r="I237" s="12" t="n">
        <x:v>0.27</x:v>
      </x:c>
      <x:c r="J237" s="12" t="n">
        <x:v>17</x:v>
      </x:c>
      <x:c r="K237" s="12" t="str">
        <x:v>Sales A</x:v>
      </x:c>
      <x:c r="L237" s="12" t="str">
        <x:v>Normal</x:v>
      </x:c>
    </x:row>
    <x:row r="238">
      <x:c r="A238" s="12" t="str">
        <x:v>LEAD-00237</x:v>
      </x:c>
      <x:c r="B238" s="18" t="n">
        <x:v>46212</x:v>
      </x:c>
      <x:c r="C238" s="12" t="str">
        <x:v>DLR-013</x:v>
      </x:c>
      <x:c r="D238" s="12" t="str">
        <x:v>VinFast HTA Ninh Bình</x:v>
      </x:c>
      <x:c r="E238" s="12" t="str">
        <x:v>VinFast</x:v>
      </x:c>
      <x:c r="F238" s="12" t="str">
        <x:v>Referral</x:v>
      </x:c>
      <x:c r="G238" s="12" t="str">
        <x:v>Negotiation</x:v>
      </x:c>
      <x:c r="H238" s="34" t="n">
        <x:v>0.7</x:v>
      </x:c>
      <x:c r="I238" s="12" t="n">
        <x:v>1.04</x:v>
      </x:c>
      <x:c r="J238" s="12" t="n">
        <x:v>13</x:v>
      </x:c>
      <x:c r="K238" s="12" t="str">
        <x:v>Sales C</x:v>
      </x:c>
      <x:c r="L238" s="12" t="str">
        <x:v>Normal</x:v>
      </x:c>
    </x:row>
    <x:row r="239">
      <x:c r="A239" s="12" t="str">
        <x:v>LEAD-00238</x:v>
      </x:c>
      <x:c r="B239" s="18" t="n">
        <x:v>46222</x:v>
      </x:c>
      <x:c r="C239" s="12" t="str">
        <x:v>DLR-003</x:v>
      </x:c>
      <x:c r="D239" s="12" t="str">
        <x:v>Mỹ Đình Ford</x:v>
      </x:c>
      <x:c r="E239" s="12" t="str">
        <x:v>Ford</x:v>
      </x:c>
      <x:c r="F239" s="12" t="str">
        <x:v>Referral</x:v>
      </x:c>
      <x:c r="G239" s="12" t="str">
        <x:v>Qualified</x:v>
      </x:c>
      <x:c r="H239" s="34" t="n">
        <x:v>0.3</x:v>
      </x:c>
      <x:c r="I239" s="12" t="n">
        <x:v>0.73</x:v>
      </x:c>
      <x:c r="J239" s="12" t="n">
        <x:v>3</x:v>
      </x:c>
      <x:c r="K239" s="12" t="str">
        <x:v>Sales C</x:v>
      </x:c>
      <x:c r="L239" s="12" t="str">
        <x:v>Normal</x:v>
      </x:c>
    </x:row>
    <x:row r="240">
      <x:c r="A240" s="12" t="str">
        <x:v>LEAD-00239</x:v>
      </x:c>
      <x:c r="B240" s="18" t="n">
        <x:v>46223</x:v>
      </x:c>
      <x:c r="C240" s="12" t="str">
        <x:v>DLR-006</x:v>
      </x:c>
      <x:c r="D240" s="12" t="str">
        <x:v>BYD HTA Hoàn Kiếm</x:v>
      </x:c>
      <x:c r="E240" s="12" t="str">
        <x:v>BYD</x:v>
      </x:c>
      <x:c r="F240" s="12" t="str">
        <x:v>Event</x:v>
      </x:c>
      <x:c r="G240" s="12" t="str">
        <x:v>Test Drive</x:v>
      </x:c>
      <x:c r="H240" s="34" t="n">
        <x:v>0.5</x:v>
      </x:c>
      <x:c r="I240" s="12" t="n">
        <x:v>0.27</x:v>
      </x:c>
      <x:c r="J240" s="12" t="n">
        <x:v>2</x:v>
      </x:c>
      <x:c r="K240" s="12" t="str">
        <x:v>Sales C</x:v>
      </x:c>
      <x:c r="L240" s="12" t="str">
        <x:v>Priority</x:v>
      </x:c>
    </x:row>
    <x:row r="241">
      <x:c r="A241" s="12" t="str">
        <x:v>LEAD-00240</x:v>
      </x:c>
      <x:c r="B241" s="18" t="n">
        <x:v>46220</x:v>
      </x:c>
      <x:c r="C241" s="12" t="str">
        <x:v>DLR-008</x:v>
      </x:c>
      <x:c r="D241" s="12" t="str">
        <x:v>VinFast HTA Nguyễn Văn Linh</x:v>
      </x:c>
      <x:c r="E241" s="12" t="str">
        <x:v>VinFast</x:v>
      </x:c>
      <x:c r="F241" s="12" t="str">
        <x:v>Digital</x:v>
      </x:c>
      <x:c r="G241" s="12" t="str">
        <x:v>Qualified</x:v>
      </x:c>
      <x:c r="H241" s="34" t="n">
        <x:v>0.3</x:v>
      </x:c>
      <x:c r="I241" s="12" t="n">
        <x:v>0.79</x:v>
      </x:c>
      <x:c r="J241" s="12" t="n">
        <x:v>5</x:v>
      </x:c>
      <x:c r="K241" s="12" t="str">
        <x:v>Sales D</x:v>
      </x:c>
      <x:c r="L241" s="12" t="str">
        <x:v>Normal</x:v>
      </x:c>
    </x:row>
    <x:row r="242">
      <x:c r="A242" s="12" t="str">
        <x:v>LEAD-00241</x:v>
      </x:c>
      <x:c r="B242" s="18" t="n">
        <x:v>46223</x:v>
      </x:c>
      <x:c r="C242" s="12" t="str">
        <x:v>DLR-019</x:v>
      </x:c>
      <x:c r="D242" s="12" t="str">
        <x:v>OMODA &amp; JAECOO HTA Việt Trì</x:v>
      </x:c>
      <x:c r="E242" s="12" t="str">
        <x:v>OMODA &amp; JAECOO</x:v>
      </x:c>
      <x:c r="F242" s="12" t="str">
        <x:v>Digital</x:v>
      </x:c>
      <x:c r="G242" s="12" t="str">
        <x:v>Test Drive</x:v>
      </x:c>
      <x:c r="H242" s="34" t="n">
        <x:v>0.5</x:v>
      </x:c>
      <x:c r="I242" s="12" t="n">
        <x:v>1.29</x:v>
      </x:c>
      <x:c r="J242" s="12" t="n">
        <x:v>2</x:v>
      </x:c>
      <x:c r="K242" s="12" t="str">
        <x:v>Sales B</x:v>
      </x:c>
      <x:c r="L242" s="12" t="str">
        <x:v>Priority</x:v>
      </x:c>
    </x:row>
    <x:row r="243">
      <x:c r="A243" s="12" t="str">
        <x:v>LEAD-00242</x:v>
      </x:c>
      <x:c r="B243" s="18" t="n">
        <x:v>46219</x:v>
      </x:c>
      <x:c r="C243" s="12" t="str">
        <x:v>DLR-018</x:v>
      </x:c>
      <x:c r="D243" s="12" t="str">
        <x:v>OMODA &amp; JAECOO HTA Nam Từ Liêm</x:v>
      </x:c>
      <x:c r="E243" s="12" t="str">
        <x:v>OMODA &amp; JAECOO</x:v>
      </x:c>
      <x:c r="F243" s="12" t="str">
        <x:v>Walk-in</x:v>
      </x:c>
      <x:c r="G243" s="12" t="str">
        <x:v>Order</x:v>
      </x:c>
      <x:c r="H243" s="34" t="n">
        <x:v>0.95</x:v>
      </x:c>
      <x:c r="I243" s="12" t="n">
        <x:v>0.51</x:v>
      </x:c>
      <x:c r="J243" s="12" t="n">
        <x:v>6</x:v>
      </x:c>
      <x:c r="K243" s="12" t="str">
        <x:v>Sales A</x:v>
      </x:c>
      <x:c r="L243" s="12" t="str">
        <x:v>Hot</x:v>
      </x:c>
    </x:row>
    <x:row r="244">
      <x:c r="A244" s="12" t="str">
        <x:v>LEAD-00243</x:v>
      </x:c>
      <x:c r="B244" s="18" t="n">
        <x:v>46205</x:v>
      </x:c>
      <x:c r="C244" s="12" t="str">
        <x:v>DLR-018</x:v>
      </x:c>
      <x:c r="D244" s="12" t="str">
        <x:v>OMODA &amp; JAECOO HTA Nam Từ Liêm</x:v>
      </x:c>
      <x:c r="E244" s="12" t="str">
        <x:v>OMODA &amp; JAECOO</x:v>
      </x:c>
      <x:c r="F244" s="12" t="str">
        <x:v>Referral</x:v>
      </x:c>
      <x:c r="G244" s="12" t="str">
        <x:v>Qualified</x:v>
      </x:c>
      <x:c r="H244" s="34" t="n">
        <x:v>0.3</x:v>
      </x:c>
      <x:c r="I244" s="12" t="n">
        <x:v>0.72</x:v>
      </x:c>
      <x:c r="J244" s="12" t="n">
        <x:v>20</x:v>
      </x:c>
      <x:c r="K244" s="12" t="str">
        <x:v>Sales C</x:v>
      </x:c>
      <x:c r="L244" s="12" t="str">
        <x:v>Normal</x:v>
      </x:c>
    </x:row>
    <x:row r="245">
      <x:c r="A245" s="12" t="str">
        <x:v>LEAD-00244</x:v>
      </x:c>
      <x:c r="B245" s="18" t="n">
        <x:v>46207</x:v>
      </x:c>
      <x:c r="C245" s="12" t="str">
        <x:v>DLR-003</x:v>
      </x:c>
      <x:c r="D245" s="12" t="str">
        <x:v>Mỹ Đình Ford</x:v>
      </x:c>
      <x:c r="E245" s="12" t="str">
        <x:v>Ford</x:v>
      </x:c>
      <x:c r="F245" s="12" t="str">
        <x:v>Digital</x:v>
      </x:c>
      <x:c r="G245" s="12" t="str">
        <x:v>Test Drive</x:v>
      </x:c>
      <x:c r="H245" s="34" t="n">
        <x:v>0.5</x:v>
      </x:c>
      <x:c r="I245" s="12" t="n">
        <x:v>0.88</x:v>
      </x:c>
      <x:c r="J245" s="12" t="n">
        <x:v>18</x:v>
      </x:c>
      <x:c r="K245" s="12" t="str">
        <x:v>Sales D</x:v>
      </x:c>
      <x:c r="L245" s="12" t="str">
        <x:v>Hot</x:v>
      </x:c>
    </x:row>
    <x:row r="246">
      <x:c r="A246" s="12" t="str">
        <x:v>LEAD-00245</x:v>
      </x:c>
      <x:c r="B246" s="18" t="n">
        <x:v>46217</x:v>
      </x:c>
      <x:c r="C246" s="12" t="str">
        <x:v>DLR-018</x:v>
      </x:c>
      <x:c r="D246" s="12" t="str">
        <x:v>OMODA &amp; JAECOO HTA Nam Từ Liêm</x:v>
      </x:c>
      <x:c r="E246" s="12" t="str">
        <x:v>OMODA &amp; JAECOO</x:v>
      </x:c>
      <x:c r="F246" s="12" t="str">
        <x:v>Corporate/Fleet</x:v>
      </x:c>
      <x:c r="G246" s="12" t="str">
        <x:v>Order</x:v>
      </x:c>
      <x:c r="H246" s="34" t="n">
        <x:v>0.95</x:v>
      </x:c>
      <x:c r="I246" s="12" t="n">
        <x:v>1.45</x:v>
      </x:c>
      <x:c r="J246" s="12" t="n">
        <x:v>8</x:v>
      </x:c>
      <x:c r="K246" s="12" t="str">
        <x:v>Sales D</x:v>
      </x:c>
      <x:c r="L246" s="12" t="str">
        <x:v>Hot</x:v>
      </x:c>
    </x:row>
    <x:row r="247">
      <x:c r="A247" s="12" t="str">
        <x:v>LEAD-00246</x:v>
      </x:c>
      <x:c r="B247" s="18" t="n">
        <x:v>46212</x:v>
      </x:c>
      <x:c r="C247" s="12" t="str">
        <x:v>DLR-009</x:v>
      </x:c>
      <x:c r="D247" s="12" t="str">
        <x:v>VinFast HTA Đông Anh</x:v>
      </x:c>
      <x:c r="E247" s="12" t="str">
        <x:v>VinFast</x:v>
      </x:c>
      <x:c r="F247" s="12" t="str">
        <x:v>Walk-in</x:v>
      </x:c>
      <x:c r="G247" s="12" t="str">
        <x:v>Order</x:v>
      </x:c>
      <x:c r="H247" s="34" t="n">
        <x:v>0.95</x:v>
      </x:c>
      <x:c r="I247" s="12" t="n">
        <x:v>1.35</x:v>
      </x:c>
      <x:c r="J247" s="12" t="n">
        <x:v>13</x:v>
      </x:c>
      <x:c r="K247" s="12" t="str">
        <x:v>Sales A</x:v>
      </x:c>
      <x:c r="L247" s="12" t="str">
        <x:v>Priority</x:v>
      </x:c>
    </x:row>
    <x:row r="248">
      <x:c r="A248" s="12" t="str">
        <x:v>LEAD-00247</x:v>
      </x:c>
      <x:c r="B248" s="18" t="n">
        <x:v>46211</x:v>
      </x:c>
      <x:c r="C248" s="12" t="str">
        <x:v>DLR-015</x:v>
      </x:c>
      <x:c r="D248" s="12" t="str">
        <x:v>VinFast HTA Văn Phú</x:v>
      </x:c>
      <x:c r="E248" s="12" t="str">
        <x:v>VinFast</x:v>
      </x:c>
      <x:c r="F248" s="12" t="str">
        <x:v>Walk-in</x:v>
      </x:c>
      <x:c r="G248" s="12" t="str">
        <x:v>Order</x:v>
      </x:c>
      <x:c r="H248" s="34" t="n">
        <x:v>0.95</x:v>
      </x:c>
      <x:c r="I248" s="12" t="n">
        <x:v>1.2</x:v>
      </x:c>
      <x:c r="J248" s="12" t="n">
        <x:v>14</x:v>
      </x:c>
      <x:c r="K248" s="12" t="str">
        <x:v>Sales D</x:v>
      </x:c>
      <x:c r="L248" s="12" t="str">
        <x:v>Priority</x:v>
      </x:c>
    </x:row>
    <x:row r="249">
      <x:c r="A249" s="12" t="str">
        <x:v>LEAD-00248</x:v>
      </x:c>
      <x:c r="B249" s="18" t="n">
        <x:v>46209</x:v>
      </x:c>
      <x:c r="C249" s="12" t="str">
        <x:v>DLR-003</x:v>
      </x:c>
      <x:c r="D249" s="12" t="str">
        <x:v>Mỹ Đình Ford</x:v>
      </x:c>
      <x:c r="E249" s="12" t="str">
        <x:v>Ford</x:v>
      </x:c>
      <x:c r="F249" s="12" t="str">
        <x:v>Walk-in</x:v>
      </x:c>
      <x:c r="G249" s="12" t="str">
        <x:v>Order</x:v>
      </x:c>
      <x:c r="H249" s="34" t="n">
        <x:v>0.95</x:v>
      </x:c>
      <x:c r="I249" s="12" t="n">
        <x:v>1.26</x:v>
      </x:c>
      <x:c r="J249" s="12" t="n">
        <x:v>16</x:v>
      </x:c>
      <x:c r="K249" s="12" t="str">
        <x:v>Sales B</x:v>
      </x:c>
      <x:c r="L249" s="12" t="str">
        <x:v>Priority</x:v>
      </x:c>
    </x:row>
    <x:row r="250">
      <x:c r="A250" s="12" t="str">
        <x:v>LEAD-00249</x:v>
      </x:c>
      <x:c r="B250" s="18" t="n">
        <x:v>46206</x:v>
      </x:c>
      <x:c r="C250" s="12" t="str">
        <x:v>DLR-001</x:v>
      </x:c>
      <x:c r="D250" s="12" t="str">
        <x:v>Hà Thành Ford</x:v>
      </x:c>
      <x:c r="E250" s="12" t="str">
        <x:v>Ford</x:v>
      </x:c>
      <x:c r="F250" s="12" t="str">
        <x:v>Walk-in</x:v>
      </x:c>
      <x:c r="G250" s="12" t="str">
        <x:v>Qualified</x:v>
      </x:c>
      <x:c r="H250" s="34" t="n">
        <x:v>0.3</x:v>
      </x:c>
      <x:c r="I250" s="12" t="n">
        <x:v>1.13</x:v>
      </x:c>
      <x:c r="J250" s="12" t="n">
        <x:v>19</x:v>
      </x:c>
      <x:c r="K250" s="12" t="str">
        <x:v>Sales A</x:v>
      </x:c>
      <x:c r="L250" s="12" t="str">
        <x:v>Normal</x:v>
      </x:c>
    </x:row>
    <x:row r="251">
      <x:c r="A251" s="12" t="str">
        <x:v>LEAD-00250</x:v>
      </x:c>
      <x:c r="B251" s="18" t="n">
        <x:v>46223</x:v>
      </x:c>
      <x:c r="C251" s="12" t="str">
        <x:v>DLR-014</x:v>
      </x:c>
      <x:c r="D251" s="12" t="str">
        <x:v>VinFast HTA Nam Từ Liêm</x:v>
      </x:c>
      <x:c r="E251" s="12" t="str">
        <x:v>VinFast</x:v>
      </x:c>
      <x:c r="F251" s="12" t="str">
        <x:v>Event</x:v>
      </x:c>
      <x:c r="G251" s="12" t="str">
        <x:v>Order</x:v>
      </x:c>
      <x:c r="H251" s="34" t="n">
        <x:v>0.95</x:v>
      </x:c>
      <x:c r="I251" s="12" t="n">
        <x:v>0.4</x:v>
      </x:c>
      <x:c r="J251" s="12" t="n">
        <x:v>2</x:v>
      </x:c>
      <x:c r="K251" s="12" t="str">
        <x:v>Sales A</x:v>
      </x:c>
      <x:c r="L251" s="12" t="str">
        <x:v>Hot</x:v>
      </x:c>
    </x:row>
    <x:row r="252">
      <x:c r="A252" s="12" t="str">
        <x:v>LEAD-00251</x:v>
      </x:c>
      <x:c r="B252" s="18" t="n">
        <x:v>46204</x:v>
      </x:c>
      <x:c r="C252" s="12" t="str">
        <x:v>DLR-011</x:v>
      </x:c>
      <x:c r="D252" s="12" t="str">
        <x:v>VinFast HTA Phạm Văn Đồng</x:v>
      </x:c>
      <x:c r="E252" s="12" t="str">
        <x:v>VinFast</x:v>
      </x:c>
      <x:c r="F252" s="12" t="str">
        <x:v>Walk-in</x:v>
      </x:c>
      <x:c r="G252" s="12" t="str">
        <x:v>Qualified</x:v>
      </x:c>
      <x:c r="H252" s="34" t="n">
        <x:v>0.3</x:v>
      </x:c>
      <x:c r="I252" s="12" t="n">
        <x:v>0.5</x:v>
      </x:c>
      <x:c r="J252" s="12" t="n">
        <x:v>21</x:v>
      </x:c>
      <x:c r="K252" s="12" t="str">
        <x:v>Sales D</x:v>
      </x:c>
      <x:c r="L252" s="12" t="str">
        <x:v>Normal</x:v>
      </x:c>
    </x:row>
    <x:row r="253">
      <x:c r="A253" s="12" t="str">
        <x:v>LEAD-00252</x:v>
      </x:c>
      <x:c r="B253" s="18" t="n">
        <x:v>46204</x:v>
      </x:c>
      <x:c r="C253" s="12" t="str">
        <x:v>DLR-015</x:v>
      </x:c>
      <x:c r="D253" s="12" t="str">
        <x:v>VinFast HTA Văn Phú</x:v>
      </x:c>
      <x:c r="E253" s="12" t="str">
        <x:v>VinFast</x:v>
      </x:c>
      <x:c r="F253" s="12" t="str">
        <x:v>Referral</x:v>
      </x:c>
      <x:c r="G253" s="12" t="str">
        <x:v>New</x:v>
      </x:c>
      <x:c r="H253" s="34" t="n">
        <x:v>0.08</x:v>
      </x:c>
      <x:c r="I253" s="12" t="n">
        <x:v>0.59</x:v>
      </x:c>
      <x:c r="J253" s="12" t="n">
        <x:v>21</x:v>
      </x:c>
      <x:c r="K253" s="12" t="str">
        <x:v>Sales B</x:v>
      </x:c>
      <x:c r="L253" s="12" t="str">
        <x:v>Hot</x:v>
      </x:c>
    </x:row>
    <x:row r="254">
      <x:c r="A254" s="12" t="str">
        <x:v>LEAD-00253</x:v>
      </x:c>
      <x:c r="B254" s="18" t="n">
        <x:v>46208</x:v>
      </x:c>
      <x:c r="C254" s="12" t="str">
        <x:v>DLR-014</x:v>
      </x:c>
      <x:c r="D254" s="12" t="str">
        <x:v>VinFast HTA Nam Từ Liêm</x:v>
      </x:c>
      <x:c r="E254" s="12" t="str">
        <x:v>VinFast</x:v>
      </x:c>
      <x:c r="F254" s="12" t="str">
        <x:v>Corporate/Fleet</x:v>
      </x:c>
      <x:c r="G254" s="12" t="str">
        <x:v>Test Drive</x:v>
      </x:c>
      <x:c r="H254" s="34" t="n">
        <x:v>0.5</x:v>
      </x:c>
      <x:c r="I254" s="12" t="n">
        <x:v>0.85</x:v>
      </x:c>
      <x:c r="J254" s="12" t="n">
        <x:v>17</x:v>
      </x:c>
      <x:c r="K254" s="12" t="str">
        <x:v>Sales B</x:v>
      </x:c>
      <x:c r="L254" s="12" t="str">
        <x:v>Normal</x:v>
      </x:c>
    </x:row>
    <x:row r="255">
      <x:c r="A255" s="12" t="str">
        <x:v>LEAD-00254</x:v>
      </x:c>
      <x:c r="B255" s="18" t="n">
        <x:v>46213</x:v>
      </x:c>
      <x:c r="C255" s="12" t="str">
        <x:v>DLR-001</x:v>
      </x:c>
      <x:c r="D255" s="12" t="str">
        <x:v>Hà Thành Ford</x:v>
      </x:c>
      <x:c r="E255" s="12" t="str">
        <x:v>Ford</x:v>
      </x:c>
      <x:c r="F255" s="12" t="str">
        <x:v>Referral</x:v>
      </x:c>
      <x:c r="G255" s="12" t="str">
        <x:v>Test Drive</x:v>
      </x:c>
      <x:c r="H255" s="34" t="n">
        <x:v>0.5</x:v>
      </x:c>
      <x:c r="I255" s="12" t="n">
        <x:v>1.03</x:v>
      </x:c>
      <x:c r="J255" s="12" t="n">
        <x:v>12</x:v>
      </x:c>
      <x:c r="K255" s="12" t="str">
        <x:v>Sales C</x:v>
      </x:c>
      <x:c r="L255" s="12" t="str">
        <x:v>Priority</x:v>
      </x:c>
    </x:row>
    <x:row r="256">
      <x:c r="A256" s="12" t="str">
        <x:v>LEAD-00255</x:v>
      </x:c>
      <x:c r="B256" s="18" t="n">
        <x:v>46213</x:v>
      </x:c>
      <x:c r="C256" s="12" t="str">
        <x:v>DLR-004</x:v>
      </x:c>
      <x:c r="D256" s="12" t="str">
        <x:v>Việt Trì Ford</x:v>
      </x:c>
      <x:c r="E256" s="12" t="str">
        <x:v>Ford</x:v>
      </x:c>
      <x:c r="F256" s="12" t="str">
        <x:v>Event</x:v>
      </x:c>
      <x:c r="G256" s="12" t="str">
        <x:v>Contacted</x:v>
      </x:c>
      <x:c r="H256" s="34" t="n">
        <x:v>0.15</x:v>
      </x:c>
      <x:c r="I256" s="12" t="n">
        <x:v>0.58</x:v>
      </x:c>
      <x:c r="J256" s="12" t="n">
        <x:v>12</x:v>
      </x:c>
      <x:c r="K256" s="12" t="str">
        <x:v>Sales D</x:v>
      </x:c>
      <x:c r="L256" s="12" t="str">
        <x:v>Normal</x:v>
      </x:c>
    </x:row>
    <x:row r="257">
      <x:c r="A257" s="12" t="str">
        <x:v>LEAD-00256</x:v>
      </x:c>
      <x:c r="B257" s="18" t="n">
        <x:v>46222</x:v>
      </x:c>
      <x:c r="C257" s="12" t="str">
        <x:v>DLR-003</x:v>
      </x:c>
      <x:c r="D257" s="12" t="str">
        <x:v>Mỹ Đình Ford</x:v>
      </x:c>
      <x:c r="E257" s="12" t="str">
        <x:v>Ford</x:v>
      </x:c>
      <x:c r="F257" s="12" t="str">
        <x:v>Event</x:v>
      </x:c>
      <x:c r="G257" s="12" t="str">
        <x:v>Order</x:v>
      </x:c>
      <x:c r="H257" s="34" t="n">
        <x:v>0.95</x:v>
      </x:c>
      <x:c r="I257" s="12" t="n">
        <x:v>0.98</x:v>
      </x:c>
      <x:c r="J257" s="12" t="n">
        <x:v>3</x:v>
      </x:c>
      <x:c r="K257" s="12" t="str">
        <x:v>Sales B</x:v>
      </x:c>
      <x:c r="L257" s="12" t="str">
        <x:v>Hot</x:v>
      </x:c>
    </x:row>
    <x:row r="258">
      <x:c r="A258" s="12" t="str">
        <x:v>LEAD-00257</x:v>
      </x:c>
      <x:c r="B258" s="18" t="n">
        <x:v>46225</x:v>
      </x:c>
      <x:c r="C258" s="12" t="str">
        <x:v>DLR-014</x:v>
      </x:c>
      <x:c r="D258" s="12" t="str">
        <x:v>VinFast HTA Nam Từ Liêm</x:v>
      </x:c>
      <x:c r="E258" s="12" t="str">
        <x:v>VinFast</x:v>
      </x:c>
      <x:c r="F258" s="12" t="str">
        <x:v>Walk-in</x:v>
      </x:c>
      <x:c r="G258" s="12" t="str">
        <x:v>Qualified</x:v>
      </x:c>
      <x:c r="H258" s="34" t="n">
        <x:v>0.3</x:v>
      </x:c>
      <x:c r="I258" s="12" t="n">
        <x:v>0.71</x:v>
      </x:c>
      <x:c r="J258" s="12" t="n">
        <x:v>0</x:v>
      </x:c>
      <x:c r="K258" s="12" t="str">
        <x:v>Sales D</x:v>
      </x:c>
      <x:c r="L258" s="12" t="str">
        <x:v>Hot</x:v>
      </x:c>
    </x:row>
    <x:row r="259">
      <x:c r="A259" s="12" t="str">
        <x:v>LEAD-00258</x:v>
      </x:c>
      <x:c r="B259" s="18" t="n">
        <x:v>46224</x:v>
      </x:c>
      <x:c r="C259" s="12" t="str">
        <x:v>DLR-010</x:v>
      </x:c>
      <x:c r="D259" s="12" t="str">
        <x:v>VinFast HTA Đàm Quang Trung</x:v>
      </x:c>
      <x:c r="E259" s="12" t="str">
        <x:v>VinFast</x:v>
      </x:c>
      <x:c r="F259" s="12" t="str">
        <x:v>Event</x:v>
      </x:c>
      <x:c r="G259" s="12" t="str">
        <x:v>Test Drive</x:v>
      </x:c>
      <x:c r="H259" s="34" t="n">
        <x:v>0.5</x:v>
      </x:c>
      <x:c r="I259" s="12" t="n">
        <x:v>1.42</x:v>
      </x:c>
      <x:c r="J259" s="12" t="n">
        <x:v>1</x:v>
      </x:c>
      <x:c r="K259" s="12" t="str">
        <x:v>Sales D</x:v>
      </x:c>
      <x:c r="L259" s="12" t="str">
        <x:v>Hot</x:v>
      </x:c>
    </x:row>
    <x:row r="260">
      <x:c r="A260" s="12" t="str">
        <x:v>LEAD-00259</x:v>
      </x:c>
      <x:c r="B260" s="18" t="n">
        <x:v>46224</x:v>
      </x:c>
      <x:c r="C260" s="12" t="str">
        <x:v>DLR-004</x:v>
      </x:c>
      <x:c r="D260" s="12" t="str">
        <x:v>Việt Trì Ford</x:v>
      </x:c>
      <x:c r="E260" s="12" t="str">
        <x:v>Ford</x:v>
      </x:c>
      <x:c r="F260" s="12" t="str">
        <x:v>Event</x:v>
      </x:c>
      <x:c r="G260" s="12" t="str">
        <x:v>Test Drive</x:v>
      </x:c>
      <x:c r="H260" s="34" t="n">
        <x:v>0.5</x:v>
      </x:c>
      <x:c r="I260" s="12" t="n">
        <x:v>0.51</x:v>
      </x:c>
      <x:c r="J260" s="12" t="n">
        <x:v>1</x:v>
      </x:c>
      <x:c r="K260" s="12" t="str">
        <x:v>Sales D</x:v>
      </x:c>
      <x:c r="L260" s="12" t="str">
        <x:v>Hot</x:v>
      </x:c>
    </x:row>
    <x:row r="261">
      <x:c r="A261" s="12" t="str">
        <x:v>LEAD-00260</x:v>
      </x:c>
      <x:c r="B261" s="18" t="n">
        <x:v>46213</x:v>
      </x:c>
      <x:c r="C261" s="12" t="str">
        <x:v>DLR-002</x:v>
      </x:c>
      <x:c r="D261" s="12" t="str">
        <x:v>Hà Thành Ford - Mỹ Đình</x:v>
      </x:c>
      <x:c r="E261" s="12" t="str">
        <x:v>Ford</x:v>
      </x:c>
      <x:c r="F261" s="12" t="str">
        <x:v>Digital</x:v>
      </x:c>
      <x:c r="G261" s="12" t="str">
        <x:v>New</x:v>
      </x:c>
      <x:c r="H261" s="34" t="n">
        <x:v>0.08</x:v>
      </x:c>
      <x:c r="I261" s="12" t="n">
        <x:v>1.37</x:v>
      </x:c>
      <x:c r="J261" s="12" t="n">
        <x:v>12</x:v>
      </x:c>
      <x:c r="K261" s="12" t="str">
        <x:v>Sales B</x:v>
      </x:c>
      <x:c r="L261" s="12" t="str">
        <x:v>Normal</x:v>
      </x:c>
    </x:row>
    <x:row r="262">
      <x:c r="A262" s="12" t="str">
        <x:v>LEAD-00261</x:v>
      </x:c>
      <x:c r="B262" s="18" t="n">
        <x:v>46205</x:v>
      </x:c>
      <x:c r="C262" s="12" t="str">
        <x:v>DLR-013</x:v>
      </x:c>
      <x:c r="D262" s="12" t="str">
        <x:v>VinFast HTA Ninh Bình</x:v>
      </x:c>
      <x:c r="E262" s="12" t="str">
        <x:v>VinFast</x:v>
      </x:c>
      <x:c r="F262" s="12" t="str">
        <x:v>Digital</x:v>
      </x:c>
      <x:c r="G262" s="12" t="str">
        <x:v>New</x:v>
      </x:c>
      <x:c r="H262" s="34" t="n">
        <x:v>0.08</x:v>
      </x:c>
      <x:c r="I262" s="12" t="n">
        <x:v>1.31</x:v>
      </x:c>
      <x:c r="J262" s="12" t="n">
        <x:v>20</x:v>
      </x:c>
      <x:c r="K262" s="12" t="str">
        <x:v>Sales A</x:v>
      </x:c>
      <x:c r="L262" s="12" t="str">
        <x:v>Priority</x:v>
      </x:c>
    </x:row>
    <x:row r="263">
      <x:c r="A263" s="12" t="str">
        <x:v>LEAD-00262</x:v>
      </x:c>
      <x:c r="B263" s="18" t="n">
        <x:v>46205</x:v>
      </x:c>
      <x:c r="C263" s="12" t="str">
        <x:v>DLR-020</x:v>
      </x:c>
      <x:c r="D263" s="12" t="str">
        <x:v>Wuling HTA Long Biên</x:v>
      </x:c>
      <x:c r="E263" s="12" t="str">
        <x:v>Wuling</x:v>
      </x:c>
      <x:c r="F263" s="12" t="str">
        <x:v>Event</x:v>
      </x:c>
      <x:c r="G263" s="12" t="str">
        <x:v>Order</x:v>
      </x:c>
      <x:c r="H263" s="34" t="n">
        <x:v>0.95</x:v>
      </x:c>
      <x:c r="I263" s="12" t="n">
        <x:v>0.67</x:v>
      </x:c>
      <x:c r="J263" s="12" t="n">
        <x:v>20</x:v>
      </x:c>
      <x:c r="K263" s="12" t="str">
        <x:v>Sales C</x:v>
      </x:c>
      <x:c r="L263" s="12" t="str">
        <x:v>Priority</x:v>
      </x:c>
    </x:row>
    <x:row r="264">
      <x:c r="A264" s="12" t="str">
        <x:v>LEAD-00263</x:v>
      </x:c>
      <x:c r="B264" s="18" t="n">
        <x:v>46218</x:v>
      </x:c>
      <x:c r="C264" s="12" t="str">
        <x:v>DLR-005</x:v>
      </x:c>
      <x:c r="D264" s="12" t="str">
        <x:v>BYD HTA Tây Hồ</x:v>
      </x:c>
      <x:c r="E264" s="12" t="str">
        <x:v>BYD</x:v>
      </x:c>
      <x:c r="F264" s="12" t="str">
        <x:v>Corporate/Fleet</x:v>
      </x:c>
      <x:c r="G264" s="12" t="str">
        <x:v>Contacted</x:v>
      </x:c>
      <x:c r="H264" s="34" t="n">
        <x:v>0.15</x:v>
      </x:c>
      <x:c r="I264" s="12" t="n">
        <x:v>0.62</x:v>
      </x:c>
      <x:c r="J264" s="12" t="n">
        <x:v>7</x:v>
      </x:c>
      <x:c r="K264" s="12" t="str">
        <x:v>Sales D</x:v>
      </x:c>
      <x:c r="L264" s="12" t="str">
        <x:v>Normal</x:v>
      </x:c>
    </x:row>
    <x:row r="265">
      <x:c r="A265" s="12" t="str">
        <x:v>LEAD-00264</x:v>
      </x:c>
      <x:c r="B265" s="18" t="n">
        <x:v>46223</x:v>
      </x:c>
      <x:c r="C265" s="12" t="str">
        <x:v>DLR-012</x:v>
      </x:c>
      <x:c r="D265" s="12" t="str">
        <x:v>VinFast HTA Võ Chí Công</x:v>
      </x:c>
      <x:c r="E265" s="12" t="str">
        <x:v>VinFast</x:v>
      </x:c>
      <x:c r="F265" s="12" t="str">
        <x:v>Referral</x:v>
      </x:c>
      <x:c r="G265" s="12" t="str">
        <x:v>Contacted</x:v>
      </x:c>
      <x:c r="H265" s="34" t="n">
        <x:v>0.15</x:v>
      </x:c>
      <x:c r="I265" s="12" t="n">
        <x:v>0.76</x:v>
      </x:c>
      <x:c r="J265" s="12" t="n">
        <x:v>2</x:v>
      </x:c>
      <x:c r="K265" s="12" t="str">
        <x:v>Sales B</x:v>
      </x:c>
      <x:c r="L265" s="12" t="str">
        <x:v>Normal</x:v>
      </x:c>
    </x:row>
    <x:row r="266">
      <x:c r="A266" s="12" t="str">
        <x:v>LEAD-00265</x:v>
      </x:c>
      <x:c r="B266" s="18" t="n">
        <x:v>46216</x:v>
      </x:c>
      <x:c r="C266" s="12" t="str">
        <x:v>DLR-003</x:v>
      </x:c>
      <x:c r="D266" s="12" t="str">
        <x:v>Mỹ Đình Ford</x:v>
      </x:c>
      <x:c r="E266" s="12" t="str">
        <x:v>Ford</x:v>
      </x:c>
      <x:c r="F266" s="12" t="str">
        <x:v>Digital</x:v>
      </x:c>
      <x:c r="G266" s="12" t="str">
        <x:v>Order</x:v>
      </x:c>
      <x:c r="H266" s="34" t="n">
        <x:v>0.95</x:v>
      </x:c>
      <x:c r="I266" s="12" t="n">
        <x:v>0.9</x:v>
      </x:c>
      <x:c r="J266" s="12" t="n">
        <x:v>9</x:v>
      </x:c>
      <x:c r="K266" s="12" t="str">
        <x:v>Sales B</x:v>
      </x:c>
      <x:c r="L266" s="12" t="str">
        <x:v>Priority</x:v>
      </x:c>
    </x:row>
    <x:row r="267">
      <x:c r="A267" s="12" t="str">
        <x:v>LEAD-00266</x:v>
      </x:c>
      <x:c r="B267" s="18" t="n">
        <x:v>46221</x:v>
      </x:c>
      <x:c r="C267" s="12" t="str">
        <x:v>DLR-008</x:v>
      </x:c>
      <x:c r="D267" s="12" t="str">
        <x:v>VinFast HTA Nguyễn Văn Linh</x:v>
      </x:c>
      <x:c r="E267" s="12" t="str">
        <x:v>VinFast</x:v>
      </x:c>
      <x:c r="F267" s="12" t="str">
        <x:v>Walk-in</x:v>
      </x:c>
      <x:c r="G267" s="12" t="str">
        <x:v>Lost</x:v>
      </x:c>
      <x:c r="H267" s="34" t="n">
        <x:v>0</x:v>
      </x:c>
      <x:c r="I267" s="12" t="n">
        <x:v>0.67</x:v>
      </x:c>
      <x:c r="J267" s="12" t="n">
        <x:v>4</x:v>
      </x:c>
      <x:c r="K267" s="12" t="str">
        <x:v>Sales D</x:v>
      </x:c>
      <x:c r="L267" s="12" t="str">
        <x:v>Hot</x:v>
      </x:c>
    </x:row>
    <x:row r="268">
      <x:c r="A268" s="12" t="str">
        <x:v>LEAD-00267</x:v>
      </x:c>
      <x:c r="B268" s="18" t="n">
        <x:v>46208</x:v>
      </x:c>
      <x:c r="C268" s="12" t="str">
        <x:v>DLR-009</x:v>
      </x:c>
      <x:c r="D268" s="12" t="str">
        <x:v>VinFast HTA Đông Anh</x:v>
      </x:c>
      <x:c r="E268" s="12" t="str">
        <x:v>VinFast</x:v>
      </x:c>
      <x:c r="F268" s="12" t="str">
        <x:v>Walk-in</x:v>
      </x:c>
      <x:c r="G268" s="12" t="str">
        <x:v>New</x:v>
      </x:c>
      <x:c r="H268" s="34" t="n">
        <x:v>0.08</x:v>
      </x:c>
      <x:c r="I268" s="12" t="n">
        <x:v>1.43</x:v>
      </x:c>
      <x:c r="J268" s="12" t="n">
        <x:v>17</x:v>
      </x:c>
      <x:c r="K268" s="12" t="str">
        <x:v>Sales B</x:v>
      </x:c>
      <x:c r="L268" s="12" t="str">
        <x:v>Hot</x:v>
      </x:c>
    </x:row>
    <x:row r="269">
      <x:c r="A269" s="12" t="str">
        <x:v>LEAD-00268</x:v>
      </x:c>
      <x:c r="B269" s="18" t="n">
        <x:v>46205</x:v>
      </x:c>
      <x:c r="C269" s="12" t="str">
        <x:v>DLR-005</x:v>
      </x:c>
      <x:c r="D269" s="12" t="str">
        <x:v>BYD HTA Tây Hồ</x:v>
      </x:c>
      <x:c r="E269" s="12" t="str">
        <x:v>BYD</x:v>
      </x:c>
      <x:c r="F269" s="12" t="str">
        <x:v>Event</x:v>
      </x:c>
      <x:c r="G269" s="12" t="str">
        <x:v>New</x:v>
      </x:c>
      <x:c r="H269" s="34" t="n">
        <x:v>0.08</x:v>
      </x:c>
      <x:c r="I269" s="12" t="n">
        <x:v>1.06</x:v>
      </x:c>
      <x:c r="J269" s="12" t="n">
        <x:v>20</x:v>
      </x:c>
      <x:c r="K269" s="12" t="str">
        <x:v>Sales D</x:v>
      </x:c>
      <x:c r="L269" s="12" t="str">
        <x:v>Hot</x:v>
      </x:c>
    </x:row>
    <x:row r="270">
      <x:c r="A270" s="12" t="str">
        <x:v>LEAD-00269</x:v>
      </x:c>
      <x:c r="B270" s="18" t="n">
        <x:v>46224</x:v>
      </x:c>
      <x:c r="C270" s="12" t="str">
        <x:v>DLR-001</x:v>
      </x:c>
      <x:c r="D270" s="12" t="str">
        <x:v>Hà Thành Ford</x:v>
      </x:c>
      <x:c r="E270" s="12" t="str">
        <x:v>Ford</x:v>
      </x:c>
      <x:c r="F270" s="12" t="str">
        <x:v>Digital</x:v>
      </x:c>
      <x:c r="G270" s="12" t="str">
        <x:v>Test Drive</x:v>
      </x:c>
      <x:c r="H270" s="34" t="n">
        <x:v>0.5</x:v>
      </x:c>
      <x:c r="I270" s="12" t="n">
        <x:v>0.79</x:v>
      </x:c>
      <x:c r="J270" s="12" t="n">
        <x:v>1</x:v>
      </x:c>
      <x:c r="K270" s="12" t="str">
        <x:v>Sales A</x:v>
      </x:c>
      <x:c r="L270" s="12" t="str">
        <x:v>Priority</x:v>
      </x:c>
    </x:row>
    <x:row r="271">
      <x:c r="A271" s="12" t="str">
        <x:v>LEAD-00270</x:v>
      </x:c>
      <x:c r="B271" s="18" t="n">
        <x:v>46206</x:v>
      </x:c>
      <x:c r="C271" s="12" t="str">
        <x:v>DLR-008</x:v>
      </x:c>
      <x:c r="D271" s="12" t="str">
        <x:v>VinFast HTA Nguyễn Văn Linh</x:v>
      </x:c>
      <x:c r="E271" s="12" t="str">
        <x:v>VinFast</x:v>
      </x:c>
      <x:c r="F271" s="12" t="str">
        <x:v>Walk-in</x:v>
      </x:c>
      <x:c r="G271" s="12" t="str">
        <x:v>Contacted</x:v>
      </x:c>
      <x:c r="H271" s="34" t="n">
        <x:v>0.15</x:v>
      </x:c>
      <x:c r="I271" s="12" t="n">
        <x:v>1.03</x:v>
      </x:c>
      <x:c r="J271" s="12" t="n">
        <x:v>19</x:v>
      </x:c>
      <x:c r="K271" s="12" t="str">
        <x:v>Sales A</x:v>
      </x:c>
      <x:c r="L271" s="12" t="str">
        <x:v>Priority</x:v>
      </x:c>
    </x:row>
    <x:row r="272">
      <x:c r="A272" s="12" t="str">
        <x:v>LEAD-00271</x:v>
      </x:c>
      <x:c r="B272" s="18" t="n">
        <x:v>46212</x:v>
      </x:c>
      <x:c r="C272" s="12" t="str">
        <x:v>DLR-012</x:v>
      </x:c>
      <x:c r="D272" s="12" t="str">
        <x:v>VinFast HTA Võ Chí Công</x:v>
      </x:c>
      <x:c r="E272" s="12" t="str">
        <x:v>VinFast</x:v>
      </x:c>
      <x:c r="F272" s="12" t="str">
        <x:v>Digital</x:v>
      </x:c>
      <x:c r="G272" s="12" t="str">
        <x:v>New</x:v>
      </x:c>
      <x:c r="H272" s="34" t="n">
        <x:v>0.08</x:v>
      </x:c>
      <x:c r="I272" s="12" t="n">
        <x:v>1.27</x:v>
      </x:c>
      <x:c r="J272" s="12" t="n">
        <x:v>13</x:v>
      </x:c>
      <x:c r="K272" s="12" t="str">
        <x:v>Sales C</x:v>
      </x:c>
      <x:c r="L272" s="12" t="str">
        <x:v>Hot</x:v>
      </x:c>
    </x:row>
    <x:row r="273">
      <x:c r="A273" s="12" t="str">
        <x:v>LEAD-00272</x:v>
      </x:c>
      <x:c r="B273" s="18" t="n">
        <x:v>46219</x:v>
      </x:c>
      <x:c r="C273" s="12" t="str">
        <x:v>DLR-011</x:v>
      </x:c>
      <x:c r="D273" s="12" t="str">
        <x:v>VinFast HTA Phạm Văn Đồng</x:v>
      </x:c>
      <x:c r="E273" s="12" t="str">
        <x:v>VinFast</x:v>
      </x:c>
      <x:c r="F273" s="12" t="str">
        <x:v>Event</x:v>
      </x:c>
      <x:c r="G273" s="12" t="str">
        <x:v>Contacted</x:v>
      </x:c>
      <x:c r="H273" s="34" t="n">
        <x:v>0.15</x:v>
      </x:c>
      <x:c r="I273" s="12" t="n">
        <x:v>0.55</x:v>
      </x:c>
      <x:c r="J273" s="12" t="n">
        <x:v>6</x:v>
      </x:c>
      <x:c r="K273" s="12" t="str">
        <x:v>Sales B</x:v>
      </x:c>
      <x:c r="L273" s="12" t="str">
        <x:v>Priority</x:v>
      </x:c>
    </x:row>
    <x:row r="274">
      <x:c r="A274" s="12" t="str">
        <x:v>LEAD-00273</x:v>
      </x:c>
      <x:c r="B274" s="18" t="n">
        <x:v>46207</x:v>
      </x:c>
      <x:c r="C274" s="12" t="str">
        <x:v>DLR-009</x:v>
      </x:c>
      <x:c r="D274" s="12" t="str">
        <x:v>VinFast HTA Đông Anh</x:v>
      </x:c>
      <x:c r="E274" s="12" t="str">
        <x:v>VinFast</x:v>
      </x:c>
      <x:c r="F274" s="12" t="str">
        <x:v>Event</x:v>
      </x:c>
      <x:c r="G274" s="12" t="str">
        <x:v>Test Drive</x:v>
      </x:c>
      <x:c r="H274" s="34" t="n">
        <x:v>0.5</x:v>
      </x:c>
      <x:c r="I274" s="12" t="n">
        <x:v>1.37</x:v>
      </x:c>
      <x:c r="J274" s="12" t="n">
        <x:v>18</x:v>
      </x:c>
      <x:c r="K274" s="12" t="str">
        <x:v>Sales A</x:v>
      </x:c>
      <x:c r="L274" s="12" t="str">
        <x:v>Normal</x:v>
      </x:c>
    </x:row>
    <x:row r="275">
      <x:c r="A275" s="12" t="str">
        <x:v>LEAD-00274</x:v>
      </x:c>
      <x:c r="B275" s="18" t="n">
        <x:v>46224</x:v>
      </x:c>
      <x:c r="C275" s="12" t="str">
        <x:v>DLR-006</x:v>
      </x:c>
      <x:c r="D275" s="12" t="str">
        <x:v>BYD HTA Hoàn Kiếm</x:v>
      </x:c>
      <x:c r="E275" s="12" t="str">
        <x:v>BYD</x:v>
      </x:c>
      <x:c r="F275" s="12" t="str">
        <x:v>Referral</x:v>
      </x:c>
      <x:c r="G275" s="12" t="str">
        <x:v>Test Drive</x:v>
      </x:c>
      <x:c r="H275" s="34" t="n">
        <x:v>0.5</x:v>
      </x:c>
      <x:c r="I275" s="12" t="n">
        <x:v>0.76</x:v>
      </x:c>
      <x:c r="J275" s="12" t="n">
        <x:v>1</x:v>
      </x:c>
      <x:c r="K275" s="12" t="str">
        <x:v>Sales D</x:v>
      </x:c>
      <x:c r="L275" s="12" t="str">
        <x:v>Hot</x:v>
      </x:c>
    </x:row>
    <x:row r="276">
      <x:c r="A276" s="12" t="str">
        <x:v>LEAD-00275</x:v>
      </x:c>
      <x:c r="B276" s="18" t="n">
        <x:v>46218</x:v>
      </x:c>
      <x:c r="C276" s="12" t="str">
        <x:v>DLR-002</x:v>
      </x:c>
      <x:c r="D276" s="12" t="str">
        <x:v>Hà Thành Ford - Mỹ Đình</x:v>
      </x:c>
      <x:c r="E276" s="12" t="str">
        <x:v>Ford</x:v>
      </x:c>
      <x:c r="F276" s="12" t="str">
        <x:v>Event</x:v>
      </x:c>
      <x:c r="G276" s="12" t="str">
        <x:v>Test Drive</x:v>
      </x:c>
      <x:c r="H276" s="34" t="n">
        <x:v>0.5</x:v>
      </x:c>
      <x:c r="I276" s="12" t="n">
        <x:v>1.42</x:v>
      </x:c>
      <x:c r="J276" s="12" t="n">
        <x:v>7</x:v>
      </x:c>
      <x:c r="K276" s="12" t="str">
        <x:v>Sales D</x:v>
      </x:c>
      <x:c r="L276" s="12" t="str">
        <x:v>Hot</x:v>
      </x:c>
    </x:row>
    <x:row r="277">
      <x:c r="A277" s="12" t="str">
        <x:v>LEAD-00276</x:v>
      </x:c>
      <x:c r="B277" s="18" t="n">
        <x:v>46204</x:v>
      </x:c>
      <x:c r="C277" s="12" t="str">
        <x:v>DLR-006</x:v>
      </x:c>
      <x:c r="D277" s="12" t="str">
        <x:v>BYD HTA Hoàn Kiếm</x:v>
      </x:c>
      <x:c r="E277" s="12" t="str">
        <x:v>BYD</x:v>
      </x:c>
      <x:c r="F277" s="12" t="str">
        <x:v>Corporate/Fleet</x:v>
      </x:c>
      <x:c r="G277" s="12" t="str">
        <x:v>Order</x:v>
      </x:c>
      <x:c r="H277" s="34" t="n">
        <x:v>0.95</x:v>
      </x:c>
      <x:c r="I277" s="12" t="n">
        <x:v>0.62</x:v>
      </x:c>
      <x:c r="J277" s="12" t="n">
        <x:v>21</x:v>
      </x:c>
      <x:c r="K277" s="12" t="str">
        <x:v>Sales D</x:v>
      </x:c>
      <x:c r="L277" s="12" t="str">
        <x:v>Hot</x:v>
      </x:c>
    </x:row>
    <x:row r="278">
      <x:c r="A278" s="12" t="str">
        <x:v>LEAD-00277</x:v>
      </x:c>
      <x:c r="B278" s="18" t="n">
        <x:v>46213</x:v>
      </x:c>
      <x:c r="C278" s="12" t="str">
        <x:v>DLR-003</x:v>
      </x:c>
      <x:c r="D278" s="12" t="str">
        <x:v>Mỹ Đình Ford</x:v>
      </x:c>
      <x:c r="E278" s="12" t="str">
        <x:v>Ford</x:v>
      </x:c>
      <x:c r="F278" s="12" t="str">
        <x:v>Corporate/Fleet</x:v>
      </x:c>
      <x:c r="G278" s="12" t="str">
        <x:v>New</x:v>
      </x:c>
      <x:c r="H278" s="34" t="n">
        <x:v>0.08</x:v>
      </x:c>
      <x:c r="I278" s="12" t="n">
        <x:v>1.41</x:v>
      </x:c>
      <x:c r="J278" s="12" t="n">
        <x:v>12</x:v>
      </x:c>
      <x:c r="K278" s="12" t="str">
        <x:v>Sales C</x:v>
      </x:c>
      <x:c r="L278" s="12" t="str">
        <x:v>Normal</x:v>
      </x:c>
    </x:row>
    <x:row r="279">
      <x:c r="A279" s="12" t="str">
        <x:v>LEAD-00278</x:v>
      </x:c>
      <x:c r="B279" s="18" t="n">
        <x:v>46218</x:v>
      </x:c>
      <x:c r="C279" s="12" t="str">
        <x:v>DLR-018</x:v>
      </x:c>
      <x:c r="D279" s="12" t="str">
        <x:v>OMODA &amp; JAECOO HTA Nam Từ Liêm</x:v>
      </x:c>
      <x:c r="E279" s="12" t="str">
        <x:v>OMODA &amp; JAECOO</x:v>
      </x:c>
      <x:c r="F279" s="12" t="str">
        <x:v>Corporate/Fleet</x:v>
      </x:c>
      <x:c r="G279" s="12" t="str">
        <x:v>Order</x:v>
      </x:c>
      <x:c r="H279" s="34" t="n">
        <x:v>0.95</x:v>
      </x:c>
      <x:c r="I279" s="12" t="n">
        <x:v>0.32</x:v>
      </x:c>
      <x:c r="J279" s="12" t="n">
        <x:v>7</x:v>
      </x:c>
      <x:c r="K279" s="12" t="str">
        <x:v>Sales A</x:v>
      </x:c>
      <x:c r="L279" s="12" t="str">
        <x:v>Hot</x:v>
      </x:c>
    </x:row>
    <x:row r="280">
      <x:c r="A280" s="12" t="str">
        <x:v>LEAD-00279</x:v>
      </x:c>
      <x:c r="B280" s="18" t="n">
        <x:v>46204</x:v>
      </x:c>
      <x:c r="C280" s="12" t="str">
        <x:v>DLR-001</x:v>
      </x:c>
      <x:c r="D280" s="12" t="str">
        <x:v>Hà Thành Ford</x:v>
      </x:c>
      <x:c r="E280" s="12" t="str">
        <x:v>Ford</x:v>
      </x:c>
      <x:c r="F280" s="12" t="str">
        <x:v>Event</x:v>
      </x:c>
      <x:c r="G280" s="12" t="str">
        <x:v>Qualified</x:v>
      </x:c>
      <x:c r="H280" s="34" t="n">
        <x:v>0.3</x:v>
      </x:c>
      <x:c r="I280" s="12" t="n">
        <x:v>0.64</x:v>
      </x:c>
      <x:c r="J280" s="12" t="n">
        <x:v>21</x:v>
      </x:c>
      <x:c r="K280" s="12" t="str">
        <x:v>Sales C</x:v>
      </x:c>
      <x:c r="L280" s="12" t="str">
        <x:v>Normal</x:v>
      </x:c>
    </x:row>
    <x:row r="281">
      <x:c r="A281" s="12" t="str">
        <x:v>LEAD-00280</x:v>
      </x:c>
      <x:c r="B281" s="18" t="n">
        <x:v>46219</x:v>
      </x:c>
      <x:c r="C281" s="12" t="str">
        <x:v>DLR-005</x:v>
      </x:c>
      <x:c r="D281" s="12" t="str">
        <x:v>BYD HTA Tây Hồ</x:v>
      </x:c>
      <x:c r="E281" s="12" t="str">
        <x:v>BYD</x:v>
      </x:c>
      <x:c r="F281" s="12" t="str">
        <x:v>Referral</x:v>
      </x:c>
      <x:c r="G281" s="12" t="str">
        <x:v>Contacted</x:v>
      </x:c>
      <x:c r="H281" s="34" t="n">
        <x:v>0.15</x:v>
      </x:c>
      <x:c r="I281" s="12" t="n">
        <x:v>0.96</x:v>
      </x:c>
      <x:c r="J281" s="12" t="n">
        <x:v>6</x:v>
      </x:c>
      <x:c r="K281" s="12" t="str">
        <x:v>Sales B</x:v>
      </x:c>
      <x:c r="L281" s="12" t="str">
        <x:v>Hot</x:v>
      </x:c>
    </x:row>
    <x:row r="282">
      <x:c r="A282" s="12" t="str">
        <x:v>LEAD-00281</x:v>
      </x:c>
      <x:c r="B282" s="18" t="n">
        <x:v>46214</x:v>
      </x:c>
      <x:c r="C282" s="12" t="str">
        <x:v>DLR-005</x:v>
      </x:c>
      <x:c r="D282" s="12" t="str">
        <x:v>BYD HTA Tây Hồ</x:v>
      </x:c>
      <x:c r="E282" s="12" t="str">
        <x:v>BYD</x:v>
      </x:c>
      <x:c r="F282" s="12" t="str">
        <x:v>Walk-in</x:v>
      </x:c>
      <x:c r="G282" s="12" t="str">
        <x:v>Test Drive</x:v>
      </x:c>
      <x:c r="H282" s="34" t="n">
        <x:v>0.5</x:v>
      </x:c>
      <x:c r="I282" s="12" t="n">
        <x:v>1.24</x:v>
      </x:c>
      <x:c r="J282" s="12" t="n">
        <x:v>11</x:v>
      </x:c>
      <x:c r="K282" s="12" t="str">
        <x:v>Sales C</x:v>
      </x:c>
      <x:c r="L282" s="12" t="str">
        <x:v>Hot</x:v>
      </x:c>
    </x:row>
    <x:row r="283">
      <x:c r="A283" s="12" t="str">
        <x:v>LEAD-00282</x:v>
      </x:c>
      <x:c r="B283" s="18" t="n">
        <x:v>46209</x:v>
      </x:c>
      <x:c r="C283" s="12" t="str">
        <x:v>DLR-007</x:v>
      </x:c>
      <x:c r="D283" s="12" t="str">
        <x:v>BYD Hà Đông</x:v>
      </x:c>
      <x:c r="E283" s="12" t="str">
        <x:v>BYD</x:v>
      </x:c>
      <x:c r="F283" s="12" t="str">
        <x:v>Walk-in</x:v>
      </x:c>
      <x:c r="G283" s="12" t="str">
        <x:v>Test Drive</x:v>
      </x:c>
      <x:c r="H283" s="34" t="n">
        <x:v>0.5</x:v>
      </x:c>
      <x:c r="I283" s="12" t="n">
        <x:v>1.27</x:v>
      </x:c>
      <x:c r="J283" s="12" t="n">
        <x:v>16</x:v>
      </x:c>
      <x:c r="K283" s="12" t="str">
        <x:v>Sales D</x:v>
      </x:c>
      <x:c r="L283" s="12" t="str">
        <x:v>Normal</x:v>
      </x:c>
    </x:row>
    <x:row r="284">
      <x:c r="A284" s="12" t="str">
        <x:v>LEAD-00283</x:v>
      </x:c>
      <x:c r="B284" s="18" t="n">
        <x:v>46216</x:v>
      </x:c>
      <x:c r="C284" s="12" t="str">
        <x:v>DLR-002</x:v>
      </x:c>
      <x:c r="D284" s="12" t="str">
        <x:v>Hà Thành Ford - Mỹ Đình</x:v>
      </x:c>
      <x:c r="E284" s="12" t="str">
        <x:v>Ford</x:v>
      </x:c>
      <x:c r="F284" s="12" t="str">
        <x:v>Digital</x:v>
      </x:c>
      <x:c r="G284" s="12" t="str">
        <x:v>Contacted</x:v>
      </x:c>
      <x:c r="H284" s="34" t="n">
        <x:v>0.15</x:v>
      </x:c>
      <x:c r="I284" s="12" t="n">
        <x:v>1.36</x:v>
      </x:c>
      <x:c r="J284" s="12" t="n">
        <x:v>9</x:v>
      </x:c>
      <x:c r="K284" s="12" t="str">
        <x:v>Sales C</x:v>
      </x:c>
      <x:c r="L284" s="12" t="str">
        <x:v>Priority</x:v>
      </x:c>
    </x:row>
    <x:row r="285">
      <x:c r="A285" s="12" t="str">
        <x:v>LEAD-00284</x:v>
      </x:c>
      <x:c r="B285" s="18" t="n">
        <x:v>46206</x:v>
      </x:c>
      <x:c r="C285" s="12" t="str">
        <x:v>DLR-010</x:v>
      </x:c>
      <x:c r="D285" s="12" t="str">
        <x:v>VinFast HTA Đàm Quang Trung</x:v>
      </x:c>
      <x:c r="E285" s="12" t="str">
        <x:v>VinFast</x:v>
      </x:c>
      <x:c r="F285" s="12" t="str">
        <x:v>Event</x:v>
      </x:c>
      <x:c r="G285" s="12" t="str">
        <x:v>New</x:v>
      </x:c>
      <x:c r="H285" s="34" t="n">
        <x:v>0.08</x:v>
      </x:c>
      <x:c r="I285" s="12" t="n">
        <x:v>0.43</x:v>
      </x:c>
      <x:c r="J285" s="12" t="n">
        <x:v>19</x:v>
      </x:c>
      <x:c r="K285" s="12" t="str">
        <x:v>Sales C</x:v>
      </x:c>
      <x:c r="L285" s="12" t="str">
        <x:v>Priority</x:v>
      </x:c>
    </x:row>
    <x:row r="286">
      <x:c r="A286" s="12" t="str">
        <x:v>LEAD-00285</x:v>
      </x:c>
      <x:c r="B286" s="18" t="n">
        <x:v>46214</x:v>
      </x:c>
      <x:c r="C286" s="12" t="str">
        <x:v>DLR-017</x:v>
      </x:c>
      <x:c r="D286" s="12" t="str">
        <x:v>VinFast Quốc Oai</x:v>
      </x:c>
      <x:c r="E286" s="12" t="str">
        <x:v>VinFast</x:v>
      </x:c>
      <x:c r="F286" s="12" t="str">
        <x:v>Referral</x:v>
      </x:c>
      <x:c r="G286" s="12" t="str">
        <x:v>Negotiation</x:v>
      </x:c>
      <x:c r="H286" s="34" t="n">
        <x:v>0.7</x:v>
      </x:c>
      <x:c r="I286" s="12" t="n">
        <x:v>0.72</x:v>
      </x:c>
      <x:c r="J286" s="12" t="n">
        <x:v>11</x:v>
      </x:c>
      <x:c r="K286" s="12" t="str">
        <x:v>Sales B</x:v>
      </x:c>
      <x:c r="L286" s="12" t="str">
        <x:v>Priority</x:v>
      </x:c>
    </x:row>
    <x:row r="287">
      <x:c r="A287" s="12" t="str">
        <x:v>LEAD-00286</x:v>
      </x:c>
      <x:c r="B287" s="18" t="n">
        <x:v>46217</x:v>
      </x:c>
      <x:c r="C287" s="12" t="str">
        <x:v>DLR-005</x:v>
      </x:c>
      <x:c r="D287" s="12" t="str">
        <x:v>BYD HTA Tây Hồ</x:v>
      </x:c>
      <x:c r="E287" s="12" t="str">
        <x:v>BYD</x:v>
      </x:c>
      <x:c r="F287" s="12" t="str">
        <x:v>Corporate/Fleet</x:v>
      </x:c>
      <x:c r="G287" s="12" t="str">
        <x:v>Contacted</x:v>
      </x:c>
      <x:c r="H287" s="34" t="n">
        <x:v>0.15</x:v>
      </x:c>
      <x:c r="I287" s="12" t="n">
        <x:v>1.24</x:v>
      </x:c>
      <x:c r="J287" s="12" t="n">
        <x:v>8</x:v>
      </x:c>
      <x:c r="K287" s="12" t="str">
        <x:v>Sales B</x:v>
      </x:c>
      <x:c r="L287" s="12" t="str">
        <x:v>Priority</x:v>
      </x:c>
    </x:row>
    <x:row r="288">
      <x:c r="A288" s="12" t="str">
        <x:v>LEAD-00287</x:v>
      </x:c>
      <x:c r="B288" s="18" t="n">
        <x:v>46214</x:v>
      </x:c>
      <x:c r="C288" s="12" t="str">
        <x:v>DLR-018</x:v>
      </x:c>
      <x:c r="D288" s="12" t="str">
        <x:v>OMODA &amp; JAECOO HTA Nam Từ Liêm</x:v>
      </x:c>
      <x:c r="E288" s="12" t="str">
        <x:v>OMODA &amp; JAECOO</x:v>
      </x:c>
      <x:c r="F288" s="12" t="str">
        <x:v>Corporate/Fleet</x:v>
      </x:c>
      <x:c r="G288" s="12" t="str">
        <x:v>Contacted</x:v>
      </x:c>
      <x:c r="H288" s="34" t="n">
        <x:v>0.15</x:v>
      </x:c>
      <x:c r="I288" s="12" t="n">
        <x:v>0.38</x:v>
      </x:c>
      <x:c r="J288" s="12" t="n">
        <x:v>11</x:v>
      </x:c>
      <x:c r="K288" s="12" t="str">
        <x:v>Sales C</x:v>
      </x:c>
      <x:c r="L288" s="12" t="str">
        <x:v>Priority</x:v>
      </x:c>
    </x:row>
    <x:row r="289">
      <x:c r="A289" s="12" t="str">
        <x:v>LEAD-00288</x:v>
      </x:c>
      <x:c r="B289" s="18" t="n">
        <x:v>46219</x:v>
      </x:c>
      <x:c r="C289" s="12" t="str">
        <x:v>DLR-008</x:v>
      </x:c>
      <x:c r="D289" s="12" t="str">
        <x:v>VinFast HTA Nguyễn Văn Linh</x:v>
      </x:c>
      <x:c r="E289" s="12" t="str">
        <x:v>VinFast</x:v>
      </x:c>
      <x:c r="F289" s="12" t="str">
        <x:v>Walk-in</x:v>
      </x:c>
      <x:c r="G289" s="12" t="str">
        <x:v>Order</x:v>
      </x:c>
      <x:c r="H289" s="34" t="n">
        <x:v>0.95</x:v>
      </x:c>
      <x:c r="I289" s="12" t="n">
        <x:v>1.43</x:v>
      </x:c>
      <x:c r="J289" s="12" t="n">
        <x:v>6</x:v>
      </x:c>
      <x:c r="K289" s="12" t="str">
        <x:v>Sales B</x:v>
      </x:c>
      <x:c r="L289" s="12" t="str">
        <x:v>Priority</x:v>
      </x:c>
    </x:row>
    <x:row r="290">
      <x:c r="A290" s="12" t="str">
        <x:v>LEAD-00289</x:v>
      </x:c>
      <x:c r="B290" s="18" t="n">
        <x:v>46223</x:v>
      </x:c>
      <x:c r="C290" s="12" t="str">
        <x:v>DLR-002</x:v>
      </x:c>
      <x:c r="D290" s="12" t="str">
        <x:v>Hà Thành Ford - Mỹ Đình</x:v>
      </x:c>
      <x:c r="E290" s="12" t="str">
        <x:v>Ford</x:v>
      </x:c>
      <x:c r="F290" s="12" t="str">
        <x:v>Corporate/Fleet</x:v>
      </x:c>
      <x:c r="G290" s="12" t="str">
        <x:v>New</x:v>
      </x:c>
      <x:c r="H290" s="34" t="n">
        <x:v>0.08</x:v>
      </x:c>
      <x:c r="I290" s="12" t="n">
        <x:v>0.25</x:v>
      </x:c>
      <x:c r="J290" s="12" t="n">
        <x:v>2</x:v>
      </x:c>
      <x:c r="K290" s="12" t="str">
        <x:v>Sales C</x:v>
      </x:c>
      <x:c r="L290" s="12" t="str">
        <x:v>Hot</x:v>
      </x:c>
    </x:row>
    <x:row r="291">
      <x:c r="A291" s="12" t="str">
        <x:v>LEAD-00290</x:v>
      </x:c>
      <x:c r="B291" s="18" t="n">
        <x:v>46209</x:v>
      </x:c>
      <x:c r="C291" s="12" t="str">
        <x:v>DLR-018</x:v>
      </x:c>
      <x:c r="D291" s="12" t="str">
        <x:v>OMODA &amp; JAECOO HTA Nam Từ Liêm</x:v>
      </x:c>
      <x:c r="E291" s="12" t="str">
        <x:v>OMODA &amp; JAECOO</x:v>
      </x:c>
      <x:c r="F291" s="12" t="str">
        <x:v>Referral</x:v>
      </x:c>
      <x:c r="G291" s="12" t="str">
        <x:v>Contacted</x:v>
      </x:c>
      <x:c r="H291" s="34" t="n">
        <x:v>0.15</x:v>
      </x:c>
      <x:c r="I291" s="12" t="n">
        <x:v>0.78</x:v>
      </x:c>
      <x:c r="J291" s="12" t="n">
        <x:v>16</x:v>
      </x:c>
      <x:c r="K291" s="12" t="str">
        <x:v>Sales A</x:v>
      </x:c>
      <x:c r="L291" s="12" t="str">
        <x:v>Hot</x:v>
      </x:c>
    </x:row>
    <x:row r="292">
      <x:c r="A292" s="12" t="str">
        <x:v>LEAD-00291</x:v>
      </x:c>
      <x:c r="B292" s="18" t="n">
        <x:v>46219</x:v>
      </x:c>
      <x:c r="C292" s="12" t="str">
        <x:v>DLR-011</x:v>
      </x:c>
      <x:c r="D292" s="12" t="str">
        <x:v>VinFast HTA Phạm Văn Đồng</x:v>
      </x:c>
      <x:c r="E292" s="12" t="str">
        <x:v>VinFast</x:v>
      </x:c>
      <x:c r="F292" s="12" t="str">
        <x:v>Corporate/Fleet</x:v>
      </x:c>
      <x:c r="G292" s="12" t="str">
        <x:v>Lost</x:v>
      </x:c>
      <x:c r="H292" s="34" t="n">
        <x:v>0</x:v>
      </x:c>
      <x:c r="I292" s="12" t="n">
        <x:v>0.68</x:v>
      </x:c>
      <x:c r="J292" s="12" t="n">
        <x:v>6</x:v>
      </x:c>
      <x:c r="K292" s="12" t="str">
        <x:v>Sales C</x:v>
      </x:c>
      <x:c r="L292" s="12" t="str">
        <x:v>Priority</x:v>
      </x:c>
    </x:row>
    <x:row r="293">
      <x:c r="A293" s="12" t="str">
        <x:v>LEAD-00292</x:v>
      </x:c>
      <x:c r="B293" s="18" t="n">
        <x:v>46207</x:v>
      </x:c>
      <x:c r="C293" s="12" t="str">
        <x:v>DLR-012</x:v>
      </x:c>
      <x:c r="D293" s="12" t="str">
        <x:v>VinFast HTA Võ Chí Công</x:v>
      </x:c>
      <x:c r="E293" s="12" t="str">
        <x:v>VinFast</x:v>
      </x:c>
      <x:c r="F293" s="12" t="str">
        <x:v>Referral</x:v>
      </x:c>
      <x:c r="G293" s="12" t="str">
        <x:v>Negotiation</x:v>
      </x:c>
      <x:c r="H293" s="34" t="n">
        <x:v>0.7</x:v>
      </x:c>
      <x:c r="I293" s="12" t="n">
        <x:v>0.55</x:v>
      </x:c>
      <x:c r="J293" s="12" t="n">
        <x:v>18</x:v>
      </x:c>
      <x:c r="K293" s="12" t="str">
        <x:v>Sales D</x:v>
      </x:c>
      <x:c r="L293" s="12" t="str">
        <x:v>Priority</x:v>
      </x:c>
    </x:row>
    <x:row r="294">
      <x:c r="A294" s="12" t="str">
        <x:v>LEAD-00293</x:v>
      </x:c>
      <x:c r="B294" s="18" t="n">
        <x:v>46213</x:v>
      </x:c>
      <x:c r="C294" s="12" t="str">
        <x:v>DLR-018</x:v>
      </x:c>
      <x:c r="D294" s="12" t="str">
        <x:v>OMODA &amp; JAECOO HTA Nam Từ Liêm</x:v>
      </x:c>
      <x:c r="E294" s="12" t="str">
        <x:v>OMODA &amp; JAECOO</x:v>
      </x:c>
      <x:c r="F294" s="12" t="str">
        <x:v>Corporate/Fleet</x:v>
      </x:c>
      <x:c r="G294" s="12" t="str">
        <x:v>Order</x:v>
      </x:c>
      <x:c r="H294" s="34" t="n">
        <x:v>0.95</x:v>
      </x:c>
      <x:c r="I294" s="12" t="n">
        <x:v>1.02</x:v>
      </x:c>
      <x:c r="J294" s="12" t="n">
        <x:v>12</x:v>
      </x:c>
      <x:c r="K294" s="12" t="str">
        <x:v>Sales D</x:v>
      </x:c>
      <x:c r="L294" s="12" t="str">
        <x:v>Hot</x:v>
      </x:c>
    </x:row>
    <x:row r="295">
      <x:c r="A295" s="12" t="str">
        <x:v>LEAD-00294</x:v>
      </x:c>
      <x:c r="B295" s="18" t="n">
        <x:v>46225</x:v>
      </x:c>
      <x:c r="C295" s="12" t="str">
        <x:v>DLR-018</x:v>
      </x:c>
      <x:c r="D295" s="12" t="str">
        <x:v>OMODA &amp; JAECOO HTA Nam Từ Liêm</x:v>
      </x:c>
      <x:c r="E295" s="12" t="str">
        <x:v>OMODA &amp; JAECOO</x:v>
      </x:c>
      <x:c r="F295" s="12" t="str">
        <x:v>Referral</x:v>
      </x:c>
      <x:c r="G295" s="12" t="str">
        <x:v>Order</x:v>
      </x:c>
      <x:c r="H295" s="34" t="n">
        <x:v>0.95</x:v>
      </x:c>
      <x:c r="I295" s="12" t="n">
        <x:v>1.32</x:v>
      </x:c>
      <x:c r="J295" s="12" t="n">
        <x:v>0</x:v>
      </x:c>
      <x:c r="K295" s="12" t="str">
        <x:v>Sales D</x:v>
      </x:c>
      <x:c r="L295" s="12" t="str">
        <x:v>Normal</x:v>
      </x:c>
    </x:row>
    <x:row r="296">
      <x:c r="A296" s="12" t="str">
        <x:v>LEAD-00295</x:v>
      </x:c>
      <x:c r="B296" s="18" t="n">
        <x:v>46204</x:v>
      </x:c>
      <x:c r="C296" s="12" t="str">
        <x:v>DLR-003</x:v>
      </x:c>
      <x:c r="D296" s="12" t="str">
        <x:v>Mỹ Đình Ford</x:v>
      </x:c>
      <x:c r="E296" s="12" t="str">
        <x:v>Ford</x:v>
      </x:c>
      <x:c r="F296" s="12" t="str">
        <x:v>Corporate/Fleet</x:v>
      </x:c>
      <x:c r="G296" s="12" t="str">
        <x:v>Contacted</x:v>
      </x:c>
      <x:c r="H296" s="34" t="n">
        <x:v>0.15</x:v>
      </x:c>
      <x:c r="I296" s="12" t="n">
        <x:v>0.69</x:v>
      </x:c>
      <x:c r="J296" s="12" t="n">
        <x:v>21</x:v>
      </x:c>
      <x:c r="K296" s="12" t="str">
        <x:v>Sales C</x:v>
      </x:c>
      <x:c r="L296" s="12" t="str">
        <x:v>Normal</x:v>
      </x:c>
    </x:row>
    <x:row r="297">
      <x:c r="A297" s="12" t="str">
        <x:v>LEAD-00296</x:v>
      </x:c>
      <x:c r="B297" s="18" t="n">
        <x:v>46216</x:v>
      </x:c>
      <x:c r="C297" s="12" t="str">
        <x:v>DLR-003</x:v>
      </x:c>
      <x:c r="D297" s="12" t="str">
        <x:v>Mỹ Đình Ford</x:v>
      </x:c>
      <x:c r="E297" s="12" t="str">
        <x:v>Ford</x:v>
      </x:c>
      <x:c r="F297" s="12" t="str">
        <x:v>Corporate/Fleet</x:v>
      </x:c>
      <x:c r="G297" s="12" t="str">
        <x:v>Lost</x:v>
      </x:c>
      <x:c r="H297" s="34" t="n">
        <x:v>0</x:v>
      </x:c>
      <x:c r="I297" s="12" t="n">
        <x:v>0.32</x:v>
      </x:c>
      <x:c r="J297" s="12" t="n">
        <x:v>9</x:v>
      </x:c>
      <x:c r="K297" s="12" t="str">
        <x:v>Sales C</x:v>
      </x:c>
      <x:c r="L297" s="12" t="str">
        <x:v>Priority</x:v>
      </x:c>
    </x:row>
    <x:row r="298">
      <x:c r="A298" s="12" t="str">
        <x:v>LEAD-00297</x:v>
      </x:c>
      <x:c r="B298" s="18" t="n">
        <x:v>46216</x:v>
      </x:c>
      <x:c r="C298" s="12" t="str">
        <x:v>DLR-010</x:v>
      </x:c>
      <x:c r="D298" s="12" t="str">
        <x:v>VinFast HTA Đàm Quang Trung</x:v>
      </x:c>
      <x:c r="E298" s="12" t="str">
        <x:v>VinFast</x:v>
      </x:c>
      <x:c r="F298" s="12" t="str">
        <x:v>Corporate/Fleet</x:v>
      </x:c>
      <x:c r="G298" s="12" t="str">
        <x:v>New</x:v>
      </x:c>
      <x:c r="H298" s="34" t="n">
        <x:v>0.08</x:v>
      </x:c>
      <x:c r="I298" s="12" t="n">
        <x:v>1.16</x:v>
      </x:c>
      <x:c r="J298" s="12" t="n">
        <x:v>9</x:v>
      </x:c>
      <x:c r="K298" s="12" t="str">
        <x:v>Sales D</x:v>
      </x:c>
      <x:c r="L298" s="12" t="str">
        <x:v>Normal</x:v>
      </x:c>
    </x:row>
    <x:row r="299">
      <x:c r="A299" s="12" t="str">
        <x:v>LEAD-00298</x:v>
      </x:c>
      <x:c r="B299" s="18" t="n">
        <x:v>46205</x:v>
      </x:c>
      <x:c r="C299" s="12" t="str">
        <x:v>DLR-001</x:v>
      </x:c>
      <x:c r="D299" s="12" t="str">
        <x:v>Hà Thành Ford</x:v>
      </x:c>
      <x:c r="E299" s="12" t="str">
        <x:v>Ford</x:v>
      </x:c>
      <x:c r="F299" s="12" t="str">
        <x:v>Referral</x:v>
      </x:c>
      <x:c r="G299" s="12" t="str">
        <x:v>Qualified</x:v>
      </x:c>
      <x:c r="H299" s="34" t="n">
        <x:v>0.3</x:v>
      </x:c>
      <x:c r="I299" s="12" t="n">
        <x:v>0.36</x:v>
      </x:c>
      <x:c r="J299" s="12" t="n">
        <x:v>20</x:v>
      </x:c>
      <x:c r="K299" s="12" t="str">
        <x:v>Sales B</x:v>
      </x:c>
      <x:c r="L299" s="12" t="str">
        <x:v>Hot</x:v>
      </x:c>
    </x:row>
    <x:row r="300">
      <x:c r="A300" s="12" t="str">
        <x:v>LEAD-00299</x:v>
      </x:c>
      <x:c r="B300" s="18" t="n">
        <x:v>46214</x:v>
      </x:c>
      <x:c r="C300" s="12" t="str">
        <x:v>DLR-004</x:v>
      </x:c>
      <x:c r="D300" s="12" t="str">
        <x:v>Việt Trì Ford</x:v>
      </x:c>
      <x:c r="E300" s="12" t="str">
        <x:v>Ford</x:v>
      </x:c>
      <x:c r="F300" s="12" t="str">
        <x:v>Walk-in</x:v>
      </x:c>
      <x:c r="G300" s="12" t="str">
        <x:v>Qualified</x:v>
      </x:c>
      <x:c r="H300" s="34" t="n">
        <x:v>0.3</x:v>
      </x:c>
      <x:c r="I300" s="12" t="n">
        <x:v>1.24</x:v>
      </x:c>
      <x:c r="J300" s="12" t="n">
        <x:v>11</x:v>
      </x:c>
      <x:c r="K300" s="12" t="str">
        <x:v>Sales C</x:v>
      </x:c>
      <x:c r="L300" s="12" t="str">
        <x:v>Normal</x:v>
      </x:c>
    </x:row>
    <x:row r="301">
      <x:c r="A301" s="12" t="str">
        <x:v>LEAD-00300</x:v>
      </x:c>
      <x:c r="B301" s="18" t="n">
        <x:v>46205</x:v>
      </x:c>
      <x:c r="C301" s="12" t="str">
        <x:v>DLR-007</x:v>
      </x:c>
      <x:c r="D301" s="12" t="str">
        <x:v>BYD Hà Đông</x:v>
      </x:c>
      <x:c r="E301" s="12" t="str">
        <x:v>BYD</x:v>
      </x:c>
      <x:c r="F301" s="12" t="str">
        <x:v>Referral</x:v>
      </x:c>
      <x:c r="G301" s="12" t="str">
        <x:v>Test Drive</x:v>
      </x:c>
      <x:c r="H301" s="34" t="n">
        <x:v>0.5</x:v>
      </x:c>
      <x:c r="I301" s="12" t="n">
        <x:v>1.4</x:v>
      </x:c>
      <x:c r="J301" s="12" t="n">
        <x:v>20</x:v>
      </x:c>
      <x:c r="K301" s="12" t="str">
        <x:v>Sales D</x:v>
      </x:c>
      <x:c r="L301" s="12" t="str">
        <x:v>Hot</x:v>
      </x:c>
    </x:row>
    <x:row r="302">
      <x:c r="A302" s="12" t="str">
        <x:v>LEAD-00301</x:v>
      </x:c>
      <x:c r="B302" s="18" t="n">
        <x:v>46215</x:v>
      </x:c>
      <x:c r="C302" s="12" t="str">
        <x:v>DLR-006</x:v>
      </x:c>
      <x:c r="D302" s="12" t="str">
        <x:v>BYD HTA Hoàn Kiếm</x:v>
      </x:c>
      <x:c r="E302" s="12" t="str">
        <x:v>BYD</x:v>
      </x:c>
      <x:c r="F302" s="12" t="str">
        <x:v>Referral</x:v>
      </x:c>
      <x:c r="G302" s="12" t="str">
        <x:v>Lost</x:v>
      </x:c>
      <x:c r="H302" s="34" t="n">
        <x:v>0</x:v>
      </x:c>
      <x:c r="I302" s="12" t="n">
        <x:v>0.79</x:v>
      </x:c>
      <x:c r="J302" s="12" t="n">
        <x:v>10</x:v>
      </x:c>
      <x:c r="K302" s="12" t="str">
        <x:v>Sales C</x:v>
      </x:c>
      <x:c r="L302" s="12" t="str">
        <x:v>Normal</x:v>
      </x:c>
    </x:row>
    <x:row r="303">
      <x:c r="A303" s="12" t="str">
        <x:v>LEAD-00302</x:v>
      </x:c>
      <x:c r="B303" s="18" t="n">
        <x:v>46209</x:v>
      </x:c>
      <x:c r="C303" s="12" t="str">
        <x:v>DLR-006</x:v>
      </x:c>
      <x:c r="D303" s="12" t="str">
        <x:v>BYD HTA Hoàn Kiếm</x:v>
      </x:c>
      <x:c r="E303" s="12" t="str">
        <x:v>BYD</x:v>
      </x:c>
      <x:c r="F303" s="12" t="str">
        <x:v>Walk-in</x:v>
      </x:c>
      <x:c r="G303" s="12" t="str">
        <x:v>Order</x:v>
      </x:c>
      <x:c r="H303" s="34" t="n">
        <x:v>0.95</x:v>
      </x:c>
      <x:c r="I303" s="12" t="n">
        <x:v>1.05</x:v>
      </x:c>
      <x:c r="J303" s="12" t="n">
        <x:v>16</x:v>
      </x:c>
      <x:c r="K303" s="12" t="str">
        <x:v>Sales C</x:v>
      </x:c>
      <x:c r="L303" s="12" t="str">
        <x:v>Hot</x:v>
      </x:c>
    </x:row>
    <x:row r="304">
      <x:c r="A304" s="12" t="str">
        <x:v>LEAD-00303</x:v>
      </x:c>
      <x:c r="B304" s="18" t="n">
        <x:v>46224</x:v>
      </x:c>
      <x:c r="C304" s="12" t="str">
        <x:v>DLR-003</x:v>
      </x:c>
      <x:c r="D304" s="12" t="str">
        <x:v>Mỹ Đình Ford</x:v>
      </x:c>
      <x:c r="E304" s="12" t="str">
        <x:v>Ford</x:v>
      </x:c>
      <x:c r="F304" s="12" t="str">
        <x:v>Digital</x:v>
      </x:c>
      <x:c r="G304" s="12" t="str">
        <x:v>Contacted</x:v>
      </x:c>
      <x:c r="H304" s="34" t="n">
        <x:v>0.15</x:v>
      </x:c>
      <x:c r="I304" s="12" t="n">
        <x:v>0.51</x:v>
      </x:c>
      <x:c r="J304" s="12" t="n">
        <x:v>1</x:v>
      </x:c>
      <x:c r="K304" s="12" t="str">
        <x:v>Sales C</x:v>
      </x:c>
      <x:c r="L304" s="12" t="str">
        <x:v>Hot</x:v>
      </x:c>
    </x:row>
    <x:row r="305">
      <x:c r="A305" s="12" t="str">
        <x:v>LEAD-00304</x:v>
      </x:c>
      <x:c r="B305" s="18" t="n">
        <x:v>46212</x:v>
      </x:c>
      <x:c r="C305" s="12" t="str">
        <x:v>DLR-006</x:v>
      </x:c>
      <x:c r="D305" s="12" t="str">
        <x:v>BYD HTA Hoàn Kiếm</x:v>
      </x:c>
      <x:c r="E305" s="12" t="str">
        <x:v>BYD</x:v>
      </x:c>
      <x:c r="F305" s="12" t="str">
        <x:v>Corporate/Fleet</x:v>
      </x:c>
      <x:c r="G305" s="12" t="str">
        <x:v>Negotiation</x:v>
      </x:c>
      <x:c r="H305" s="34" t="n">
        <x:v>0.7</x:v>
      </x:c>
      <x:c r="I305" s="12" t="n">
        <x:v>0.33</x:v>
      </x:c>
      <x:c r="J305" s="12" t="n">
        <x:v>13</x:v>
      </x:c>
      <x:c r="K305" s="12" t="str">
        <x:v>Sales C</x:v>
      </x:c>
      <x:c r="L305" s="12" t="str">
        <x:v>Priority</x:v>
      </x:c>
    </x:row>
    <x:row r="306">
      <x:c r="A306" s="12" t="str">
        <x:v>LEAD-00305</x:v>
      </x:c>
      <x:c r="B306" s="18" t="n">
        <x:v>46218</x:v>
      </x:c>
      <x:c r="C306" s="12" t="str">
        <x:v>DLR-013</x:v>
      </x:c>
      <x:c r="D306" s="12" t="str">
        <x:v>VinFast HTA Ninh Bình</x:v>
      </x:c>
      <x:c r="E306" s="12" t="str">
        <x:v>VinFast</x:v>
      </x:c>
      <x:c r="F306" s="12" t="str">
        <x:v>Event</x:v>
      </x:c>
      <x:c r="G306" s="12" t="str">
        <x:v>Negotiation</x:v>
      </x:c>
      <x:c r="H306" s="34" t="n">
        <x:v>0.7</x:v>
      </x:c>
      <x:c r="I306" s="12" t="n">
        <x:v>1.17</x:v>
      </x:c>
      <x:c r="J306" s="12" t="n">
        <x:v>7</x:v>
      </x:c>
      <x:c r="K306" s="12" t="str">
        <x:v>Sales B</x:v>
      </x:c>
      <x:c r="L306" s="12" t="str">
        <x:v>Normal</x:v>
      </x:c>
    </x:row>
    <x:row r="307">
      <x:c r="A307" s="12" t="str">
        <x:v>LEAD-00306</x:v>
      </x:c>
      <x:c r="B307" s="18" t="n">
        <x:v>46213</x:v>
      </x:c>
      <x:c r="C307" s="12" t="str">
        <x:v>DLR-007</x:v>
      </x:c>
      <x:c r="D307" s="12" t="str">
        <x:v>BYD Hà Đông</x:v>
      </x:c>
      <x:c r="E307" s="12" t="str">
        <x:v>BYD</x:v>
      </x:c>
      <x:c r="F307" s="12" t="str">
        <x:v>Walk-in</x:v>
      </x:c>
      <x:c r="G307" s="12" t="str">
        <x:v>New</x:v>
      </x:c>
      <x:c r="H307" s="34" t="n">
        <x:v>0.08</x:v>
      </x:c>
      <x:c r="I307" s="12" t="n">
        <x:v>0.33</x:v>
      </x:c>
      <x:c r="J307" s="12" t="n">
        <x:v>12</x:v>
      </x:c>
      <x:c r="K307" s="12" t="str">
        <x:v>Sales C</x:v>
      </x:c>
      <x:c r="L307" s="12" t="str">
        <x:v>Priority</x:v>
      </x:c>
    </x:row>
    <x:row r="308">
      <x:c r="A308" s="12" t="str">
        <x:v>LEAD-00307</x:v>
      </x:c>
      <x:c r="B308" s="18" t="n">
        <x:v>46223</x:v>
      </x:c>
      <x:c r="C308" s="12" t="str">
        <x:v>DLR-001</x:v>
      </x:c>
      <x:c r="D308" s="12" t="str">
        <x:v>Hà Thành Ford</x:v>
      </x:c>
      <x:c r="E308" s="12" t="str">
        <x:v>Ford</x:v>
      </x:c>
      <x:c r="F308" s="12" t="str">
        <x:v>Corporate/Fleet</x:v>
      </x:c>
      <x:c r="G308" s="12" t="str">
        <x:v>Qualified</x:v>
      </x:c>
      <x:c r="H308" s="34" t="n">
        <x:v>0.3</x:v>
      </x:c>
      <x:c r="I308" s="12" t="n">
        <x:v>0.82</x:v>
      </x:c>
      <x:c r="J308" s="12" t="n">
        <x:v>2</x:v>
      </x:c>
      <x:c r="K308" s="12" t="str">
        <x:v>Sales C</x:v>
      </x:c>
      <x:c r="L308" s="12" t="str">
        <x:v>Priority</x:v>
      </x:c>
    </x:row>
    <x:row r="309">
      <x:c r="A309" s="12" t="str">
        <x:v>LEAD-00308</x:v>
      </x:c>
      <x:c r="B309" s="18" t="n">
        <x:v>46218</x:v>
      </x:c>
      <x:c r="C309" s="12" t="str">
        <x:v>DLR-016</x:v>
      </x:c>
      <x:c r="D309" s="12" t="str">
        <x:v>VinFast HTA Mỹ Đình</x:v>
      </x:c>
      <x:c r="E309" s="12" t="str">
        <x:v>VinFast</x:v>
      </x:c>
      <x:c r="F309" s="12" t="str">
        <x:v>Corporate/Fleet</x:v>
      </x:c>
      <x:c r="G309" s="12" t="str">
        <x:v>New</x:v>
      </x:c>
      <x:c r="H309" s="34" t="n">
        <x:v>0.08</x:v>
      </x:c>
      <x:c r="I309" s="12" t="n">
        <x:v>1.15</x:v>
      </x:c>
      <x:c r="J309" s="12" t="n">
        <x:v>7</x:v>
      </x:c>
      <x:c r="K309" s="12" t="str">
        <x:v>Sales B</x:v>
      </x:c>
      <x:c r="L309" s="12" t="str">
        <x:v>Hot</x:v>
      </x:c>
    </x:row>
    <x:row r="310">
      <x:c r="A310" s="12" t="str">
        <x:v>LEAD-00309</x:v>
      </x:c>
      <x:c r="B310" s="18" t="n">
        <x:v>46211</x:v>
      </x:c>
      <x:c r="C310" s="12" t="str">
        <x:v>DLR-011</x:v>
      </x:c>
      <x:c r="D310" s="12" t="str">
        <x:v>VinFast HTA Phạm Văn Đồng</x:v>
      </x:c>
      <x:c r="E310" s="12" t="str">
        <x:v>VinFast</x:v>
      </x:c>
      <x:c r="F310" s="12" t="str">
        <x:v>Corporate/Fleet</x:v>
      </x:c>
      <x:c r="G310" s="12" t="str">
        <x:v>Contacted</x:v>
      </x:c>
      <x:c r="H310" s="34" t="n">
        <x:v>0.15</x:v>
      </x:c>
      <x:c r="I310" s="12" t="n">
        <x:v>1.03</x:v>
      </x:c>
      <x:c r="J310" s="12" t="n">
        <x:v>14</x:v>
      </x:c>
      <x:c r="K310" s="12" t="str">
        <x:v>Sales A</x:v>
      </x:c>
      <x:c r="L310" s="12" t="str">
        <x:v>Normal</x:v>
      </x:c>
    </x:row>
    <x:row r="311">
      <x:c r="A311" s="12" t="str">
        <x:v>LEAD-00310</x:v>
      </x:c>
      <x:c r="B311" s="18" t="n">
        <x:v>46214</x:v>
      </x:c>
      <x:c r="C311" s="12" t="str">
        <x:v>DLR-018</x:v>
      </x:c>
      <x:c r="D311" s="12" t="str">
        <x:v>OMODA &amp; JAECOO HTA Nam Từ Liêm</x:v>
      </x:c>
      <x:c r="E311" s="12" t="str">
        <x:v>OMODA &amp; JAECOO</x:v>
      </x:c>
      <x:c r="F311" s="12" t="str">
        <x:v>Digital</x:v>
      </x:c>
      <x:c r="G311" s="12" t="str">
        <x:v>Negotiation</x:v>
      </x:c>
      <x:c r="H311" s="34" t="n">
        <x:v>0.7</x:v>
      </x:c>
      <x:c r="I311" s="12" t="n">
        <x:v>1.08</x:v>
      </x:c>
      <x:c r="J311" s="12" t="n">
        <x:v>11</x:v>
      </x:c>
      <x:c r="K311" s="12" t="str">
        <x:v>Sales C</x:v>
      </x:c>
      <x:c r="L311" s="12" t="str">
        <x:v>Normal</x:v>
      </x:c>
    </x:row>
    <x:row r="312">
      <x:c r="A312" s="12" t="str">
        <x:v>LEAD-00311</x:v>
      </x:c>
      <x:c r="B312" s="18" t="n">
        <x:v>46205</x:v>
      </x:c>
      <x:c r="C312" s="12" t="str">
        <x:v>DLR-011</x:v>
      </x:c>
      <x:c r="D312" s="12" t="str">
        <x:v>VinFast HTA Phạm Văn Đồng</x:v>
      </x:c>
      <x:c r="E312" s="12" t="str">
        <x:v>VinFast</x:v>
      </x:c>
      <x:c r="F312" s="12" t="str">
        <x:v>Walk-in</x:v>
      </x:c>
      <x:c r="G312" s="12" t="str">
        <x:v>Contacted</x:v>
      </x:c>
      <x:c r="H312" s="34" t="n">
        <x:v>0.15</x:v>
      </x:c>
      <x:c r="I312" s="12" t="n">
        <x:v>1.12</x:v>
      </x:c>
      <x:c r="J312" s="12" t="n">
        <x:v>20</x:v>
      </x:c>
      <x:c r="K312" s="12" t="str">
        <x:v>Sales C</x:v>
      </x:c>
      <x:c r="L312" s="12" t="str">
        <x:v>Hot</x:v>
      </x:c>
    </x:row>
    <x:row r="313">
      <x:c r="A313" s="12" t="str">
        <x:v>LEAD-00312</x:v>
      </x:c>
      <x:c r="B313" s="18" t="n">
        <x:v>46220</x:v>
      </x:c>
      <x:c r="C313" s="12" t="str">
        <x:v>DLR-008</x:v>
      </x:c>
      <x:c r="D313" s="12" t="str">
        <x:v>VinFast HTA Nguyễn Văn Linh</x:v>
      </x:c>
      <x:c r="E313" s="12" t="str">
        <x:v>VinFast</x:v>
      </x:c>
      <x:c r="F313" s="12" t="str">
        <x:v>Referral</x:v>
      </x:c>
      <x:c r="G313" s="12" t="str">
        <x:v>Contacted</x:v>
      </x:c>
      <x:c r="H313" s="34" t="n">
        <x:v>0.15</x:v>
      </x:c>
      <x:c r="I313" s="12" t="n">
        <x:v>0.28</x:v>
      </x:c>
      <x:c r="J313" s="12" t="n">
        <x:v>5</x:v>
      </x:c>
      <x:c r="K313" s="12" t="str">
        <x:v>Sales D</x:v>
      </x:c>
      <x:c r="L313" s="12" t="str">
        <x:v>Normal</x:v>
      </x:c>
    </x:row>
    <x:row r="314">
      <x:c r="A314" s="12" t="str">
        <x:v>LEAD-00313</x:v>
      </x:c>
      <x:c r="B314" s="18" t="n">
        <x:v>46214</x:v>
      </x:c>
      <x:c r="C314" s="12" t="str">
        <x:v>DLR-001</x:v>
      </x:c>
      <x:c r="D314" s="12" t="str">
        <x:v>Hà Thành Ford</x:v>
      </x:c>
      <x:c r="E314" s="12" t="str">
        <x:v>Ford</x:v>
      </x:c>
      <x:c r="F314" s="12" t="str">
        <x:v>Event</x:v>
      </x:c>
      <x:c r="G314" s="12" t="str">
        <x:v>Negotiation</x:v>
      </x:c>
      <x:c r="H314" s="34" t="n">
        <x:v>0.7</x:v>
      </x:c>
      <x:c r="I314" s="12" t="n">
        <x:v>0.5</x:v>
      </x:c>
      <x:c r="J314" s="12" t="n">
        <x:v>11</x:v>
      </x:c>
      <x:c r="K314" s="12" t="str">
        <x:v>Sales C</x:v>
      </x:c>
      <x:c r="L314" s="12" t="str">
        <x:v>Normal</x:v>
      </x:c>
    </x:row>
    <x:row r="315">
      <x:c r="A315" s="12" t="str">
        <x:v>LEAD-00314</x:v>
      </x:c>
      <x:c r="B315" s="18" t="n">
        <x:v>46205</x:v>
      </x:c>
      <x:c r="C315" s="12" t="str">
        <x:v>DLR-008</x:v>
      </x:c>
      <x:c r="D315" s="12" t="str">
        <x:v>VinFast HTA Nguyễn Văn Linh</x:v>
      </x:c>
      <x:c r="E315" s="12" t="str">
        <x:v>VinFast</x:v>
      </x:c>
      <x:c r="F315" s="12" t="str">
        <x:v>Event</x:v>
      </x:c>
      <x:c r="G315" s="12" t="str">
        <x:v>New</x:v>
      </x:c>
      <x:c r="H315" s="34" t="n">
        <x:v>0.08</x:v>
      </x:c>
      <x:c r="I315" s="12" t="n">
        <x:v>1.02</x:v>
      </x:c>
      <x:c r="J315" s="12" t="n">
        <x:v>20</x:v>
      </x:c>
      <x:c r="K315" s="12" t="str">
        <x:v>Sales A</x:v>
      </x:c>
      <x:c r="L315" s="12" t="str">
        <x:v>Normal</x:v>
      </x:c>
    </x:row>
    <x:row r="316">
      <x:c r="A316" s="12" t="str">
        <x:v>LEAD-00315</x:v>
      </x:c>
      <x:c r="B316" s="18" t="n">
        <x:v>46223</x:v>
      </x:c>
      <x:c r="C316" s="12" t="str">
        <x:v>DLR-004</x:v>
      </x:c>
      <x:c r="D316" s="12" t="str">
        <x:v>Việt Trì Ford</x:v>
      </x:c>
      <x:c r="E316" s="12" t="str">
        <x:v>Ford</x:v>
      </x:c>
      <x:c r="F316" s="12" t="str">
        <x:v>Event</x:v>
      </x:c>
      <x:c r="G316" s="12" t="str">
        <x:v>Lost</x:v>
      </x:c>
      <x:c r="H316" s="34" t="n">
        <x:v>0</x:v>
      </x:c>
      <x:c r="I316" s="12" t="n">
        <x:v>0.46</x:v>
      </x:c>
      <x:c r="J316" s="12" t="n">
        <x:v>2</x:v>
      </x:c>
      <x:c r="K316" s="12" t="str">
        <x:v>Sales D</x:v>
      </x:c>
      <x:c r="L316" s="12" t="str">
        <x:v>Priority</x:v>
      </x:c>
    </x:row>
    <x:row r="317">
      <x:c r="A317" s="12" t="str">
        <x:v>LEAD-00316</x:v>
      </x:c>
      <x:c r="B317" s="18" t="n">
        <x:v>46213</x:v>
      </x:c>
      <x:c r="C317" s="12" t="str">
        <x:v>DLR-017</x:v>
      </x:c>
      <x:c r="D317" s="12" t="str">
        <x:v>VinFast Quốc Oai</x:v>
      </x:c>
      <x:c r="E317" s="12" t="str">
        <x:v>VinFast</x:v>
      </x:c>
      <x:c r="F317" s="12" t="str">
        <x:v>Event</x:v>
      </x:c>
      <x:c r="G317" s="12" t="str">
        <x:v>New</x:v>
      </x:c>
      <x:c r="H317" s="34" t="n">
        <x:v>0.08</x:v>
      </x:c>
      <x:c r="I317" s="12" t="n">
        <x:v>1.18</x:v>
      </x:c>
      <x:c r="J317" s="12" t="n">
        <x:v>12</x:v>
      </x:c>
      <x:c r="K317" s="12" t="str">
        <x:v>Sales B</x:v>
      </x:c>
      <x:c r="L317" s="12" t="str">
        <x:v>Priority</x:v>
      </x:c>
    </x:row>
    <x:row r="318">
      <x:c r="A318" s="12" t="str">
        <x:v>LEAD-00317</x:v>
      </x:c>
      <x:c r="B318" s="18" t="n">
        <x:v>46223</x:v>
      </x:c>
      <x:c r="C318" s="12" t="str">
        <x:v>DLR-010</x:v>
      </x:c>
      <x:c r="D318" s="12" t="str">
        <x:v>VinFast HTA Đàm Quang Trung</x:v>
      </x:c>
      <x:c r="E318" s="12" t="str">
        <x:v>VinFast</x:v>
      </x:c>
      <x:c r="F318" s="12" t="str">
        <x:v>Digital</x:v>
      </x:c>
      <x:c r="G318" s="12" t="str">
        <x:v>Negotiation</x:v>
      </x:c>
      <x:c r="H318" s="34" t="n">
        <x:v>0.7</x:v>
      </x:c>
      <x:c r="I318" s="12" t="n">
        <x:v>0.42</x:v>
      </x:c>
      <x:c r="J318" s="12" t="n">
        <x:v>2</x:v>
      </x:c>
      <x:c r="K318" s="12" t="str">
        <x:v>Sales B</x:v>
      </x:c>
      <x:c r="L318" s="12" t="str">
        <x:v>Hot</x:v>
      </x:c>
    </x:row>
    <x:row r="319">
      <x:c r="A319" s="12" t="str">
        <x:v>LEAD-00318</x:v>
      </x:c>
      <x:c r="B319" s="18" t="n">
        <x:v>46206</x:v>
      </x:c>
      <x:c r="C319" s="12" t="str">
        <x:v>DLR-004</x:v>
      </x:c>
      <x:c r="D319" s="12" t="str">
        <x:v>Việt Trì Ford</x:v>
      </x:c>
      <x:c r="E319" s="12" t="str">
        <x:v>Ford</x:v>
      </x:c>
      <x:c r="F319" s="12" t="str">
        <x:v>Walk-in</x:v>
      </x:c>
      <x:c r="G319" s="12" t="str">
        <x:v>Test Drive</x:v>
      </x:c>
      <x:c r="H319" s="34" t="n">
        <x:v>0.5</x:v>
      </x:c>
      <x:c r="I319" s="12" t="n">
        <x:v>0.34</x:v>
      </x:c>
      <x:c r="J319" s="12" t="n">
        <x:v>19</x:v>
      </x:c>
      <x:c r="K319" s="12" t="str">
        <x:v>Sales C</x:v>
      </x:c>
      <x:c r="L319" s="12" t="str">
        <x:v>Normal</x:v>
      </x:c>
    </x:row>
    <x:row r="320">
      <x:c r="A320" s="12" t="str">
        <x:v>LEAD-00319</x:v>
      </x:c>
      <x:c r="B320" s="18" t="n">
        <x:v>46204</x:v>
      </x:c>
      <x:c r="C320" s="12" t="str">
        <x:v>DLR-016</x:v>
      </x:c>
      <x:c r="D320" s="12" t="str">
        <x:v>VinFast HTA Mỹ Đình</x:v>
      </x:c>
      <x:c r="E320" s="12" t="str">
        <x:v>VinFast</x:v>
      </x:c>
      <x:c r="F320" s="12" t="str">
        <x:v>Corporate/Fleet</x:v>
      </x:c>
      <x:c r="G320" s="12" t="str">
        <x:v>Test Drive</x:v>
      </x:c>
      <x:c r="H320" s="34" t="n">
        <x:v>0.5</x:v>
      </x:c>
      <x:c r="I320" s="12" t="n">
        <x:v>0.88</x:v>
      </x:c>
      <x:c r="J320" s="12" t="n">
        <x:v>21</x:v>
      </x:c>
      <x:c r="K320" s="12" t="str">
        <x:v>Sales C</x:v>
      </x:c>
      <x:c r="L320" s="12" t="str">
        <x:v>Hot</x:v>
      </x:c>
    </x:row>
    <x:row r="321">
      <x:c r="A321" s="12" t="str">
        <x:v>LEAD-00320</x:v>
      </x:c>
      <x:c r="B321" s="18" t="n">
        <x:v>46224</x:v>
      </x:c>
      <x:c r="C321" s="12" t="str">
        <x:v>DLR-005</x:v>
      </x:c>
      <x:c r="D321" s="12" t="str">
        <x:v>BYD HTA Tây Hồ</x:v>
      </x:c>
      <x:c r="E321" s="12" t="str">
        <x:v>BYD</x:v>
      </x:c>
      <x:c r="F321" s="12" t="str">
        <x:v>Walk-in</x:v>
      </x:c>
      <x:c r="G321" s="12" t="str">
        <x:v>Lost</x:v>
      </x:c>
      <x:c r="H321" s="34" t="n">
        <x:v>0</x:v>
      </x:c>
      <x:c r="I321" s="12" t="n">
        <x:v>1.44</x:v>
      </x:c>
      <x:c r="J321" s="12" t="n">
        <x:v>1</x:v>
      </x:c>
      <x:c r="K321" s="12" t="str">
        <x:v>Sales C</x:v>
      </x:c>
      <x:c r="L321" s="12" t="str">
        <x:v>Normal</x:v>
      </x:c>
    </x:row>
    <x:row r="322">
      <x:c r="A322" s="12" t="str">
        <x:v>LEAD-00321</x:v>
      </x:c>
      <x:c r="B322" s="18" t="n">
        <x:v>46223</x:v>
      </x:c>
      <x:c r="C322" s="12" t="str">
        <x:v>DLR-019</x:v>
      </x:c>
      <x:c r="D322" s="12" t="str">
        <x:v>OMODA &amp; JAECOO HTA Việt Trì</x:v>
      </x:c>
      <x:c r="E322" s="12" t="str">
        <x:v>OMODA &amp; JAECOO</x:v>
      </x:c>
      <x:c r="F322" s="12" t="str">
        <x:v>Event</x:v>
      </x:c>
      <x:c r="G322" s="12" t="str">
        <x:v>New</x:v>
      </x:c>
      <x:c r="H322" s="34" t="n">
        <x:v>0.08</x:v>
      </x:c>
      <x:c r="I322" s="12" t="n">
        <x:v>0.84</x:v>
      </x:c>
      <x:c r="J322" s="12" t="n">
        <x:v>2</x:v>
      </x:c>
      <x:c r="K322" s="12" t="str">
        <x:v>Sales A</x:v>
      </x:c>
      <x:c r="L322" s="12" t="str">
        <x:v>Priority</x:v>
      </x:c>
    </x:row>
    <x:row r="323">
      <x:c r="A323" s="12" t="str">
        <x:v>LEAD-00322</x:v>
      </x:c>
      <x:c r="B323" s="18" t="n">
        <x:v>46216</x:v>
      </x:c>
      <x:c r="C323" s="12" t="str">
        <x:v>DLR-006</x:v>
      </x:c>
      <x:c r="D323" s="12" t="str">
        <x:v>BYD HTA Hoàn Kiếm</x:v>
      </x:c>
      <x:c r="E323" s="12" t="str">
        <x:v>BYD</x:v>
      </x:c>
      <x:c r="F323" s="12" t="str">
        <x:v>Walk-in</x:v>
      </x:c>
      <x:c r="G323" s="12" t="str">
        <x:v>Negotiation</x:v>
      </x:c>
      <x:c r="H323" s="34" t="n">
        <x:v>0.7</x:v>
      </x:c>
      <x:c r="I323" s="12" t="n">
        <x:v>1.09</x:v>
      </x:c>
      <x:c r="J323" s="12" t="n">
        <x:v>9</x:v>
      </x:c>
      <x:c r="K323" s="12" t="str">
        <x:v>Sales D</x:v>
      </x:c>
      <x:c r="L323" s="12" t="str">
        <x:v>Normal</x:v>
      </x:c>
    </x:row>
    <x:row r="324">
      <x:c r="A324" s="12" t="str">
        <x:v>LEAD-00323</x:v>
      </x:c>
      <x:c r="B324" s="18" t="n">
        <x:v>46221</x:v>
      </x:c>
      <x:c r="C324" s="12" t="str">
        <x:v>DLR-001</x:v>
      </x:c>
      <x:c r="D324" s="12" t="str">
        <x:v>Hà Thành Ford</x:v>
      </x:c>
      <x:c r="E324" s="12" t="str">
        <x:v>Ford</x:v>
      </x:c>
      <x:c r="F324" s="12" t="str">
        <x:v>Referral</x:v>
      </x:c>
      <x:c r="G324" s="12" t="str">
        <x:v>Test Drive</x:v>
      </x:c>
      <x:c r="H324" s="34" t="n">
        <x:v>0.5</x:v>
      </x:c>
      <x:c r="I324" s="12" t="n">
        <x:v>0.3</x:v>
      </x:c>
      <x:c r="J324" s="12" t="n">
        <x:v>4</x:v>
      </x:c>
      <x:c r="K324" s="12" t="str">
        <x:v>Sales C</x:v>
      </x:c>
      <x:c r="L324" s="12" t="str">
        <x:v>Hot</x:v>
      </x:c>
    </x:row>
    <x:row r="325">
      <x:c r="A325" s="12" t="str">
        <x:v>LEAD-00324</x:v>
      </x:c>
      <x:c r="B325" s="18" t="n">
        <x:v>46212</x:v>
      </x:c>
      <x:c r="C325" s="12" t="str">
        <x:v>DLR-016</x:v>
      </x:c>
      <x:c r="D325" s="12" t="str">
        <x:v>VinFast HTA Mỹ Đình</x:v>
      </x:c>
      <x:c r="E325" s="12" t="str">
        <x:v>VinFast</x:v>
      </x:c>
      <x:c r="F325" s="12" t="str">
        <x:v>Corporate/Fleet</x:v>
      </x:c>
      <x:c r="G325" s="12" t="str">
        <x:v>Lost</x:v>
      </x:c>
      <x:c r="H325" s="34" t="n">
        <x:v>0</x:v>
      </x:c>
      <x:c r="I325" s="12" t="n">
        <x:v>0.63</x:v>
      </x:c>
      <x:c r="J325" s="12" t="n">
        <x:v>13</x:v>
      </x:c>
      <x:c r="K325" s="12" t="str">
        <x:v>Sales C</x:v>
      </x:c>
      <x:c r="L325" s="12" t="str">
        <x:v>Priority</x:v>
      </x:c>
    </x:row>
    <x:row r="326">
      <x:c r="A326" s="12" t="str">
        <x:v>LEAD-00325</x:v>
      </x:c>
      <x:c r="B326" s="18" t="n">
        <x:v>46207</x:v>
      </x:c>
      <x:c r="C326" s="12" t="str">
        <x:v>DLR-011</x:v>
      </x:c>
      <x:c r="D326" s="12" t="str">
        <x:v>VinFast HTA Phạm Văn Đồng</x:v>
      </x:c>
      <x:c r="E326" s="12" t="str">
        <x:v>VinFast</x:v>
      </x:c>
      <x:c r="F326" s="12" t="str">
        <x:v>Corporate/Fleet</x:v>
      </x:c>
      <x:c r="G326" s="12" t="str">
        <x:v>New</x:v>
      </x:c>
      <x:c r="H326" s="34" t="n">
        <x:v>0.08</x:v>
      </x:c>
      <x:c r="I326" s="12" t="n">
        <x:v>0.8</x:v>
      </x:c>
      <x:c r="J326" s="12" t="n">
        <x:v>18</x:v>
      </x:c>
      <x:c r="K326" s="12" t="str">
        <x:v>Sales C</x:v>
      </x:c>
      <x:c r="L326" s="12" t="str">
        <x:v>Normal</x:v>
      </x:c>
    </x:row>
    <x:row r="327">
      <x:c r="A327" s="12" t="str">
        <x:v>LEAD-00326</x:v>
      </x:c>
      <x:c r="B327" s="18" t="n">
        <x:v>46215</x:v>
      </x:c>
      <x:c r="C327" s="12" t="str">
        <x:v>DLR-003</x:v>
      </x:c>
      <x:c r="D327" s="12" t="str">
        <x:v>Mỹ Đình Ford</x:v>
      </x:c>
      <x:c r="E327" s="12" t="str">
        <x:v>Ford</x:v>
      </x:c>
      <x:c r="F327" s="12" t="str">
        <x:v>Corporate/Fleet</x:v>
      </x:c>
      <x:c r="G327" s="12" t="str">
        <x:v>Lost</x:v>
      </x:c>
      <x:c r="H327" s="34" t="n">
        <x:v>0</x:v>
      </x:c>
      <x:c r="I327" s="12" t="n">
        <x:v>1.1</x:v>
      </x:c>
      <x:c r="J327" s="12" t="n">
        <x:v>10</x:v>
      </x:c>
      <x:c r="K327" s="12" t="str">
        <x:v>Sales B</x:v>
      </x:c>
      <x:c r="L327" s="12" t="str">
        <x:v>Priority</x:v>
      </x:c>
    </x:row>
    <x:row r="328">
      <x:c r="A328" s="12" t="str">
        <x:v>LEAD-00327</x:v>
      </x:c>
      <x:c r="B328" s="18" t="n">
        <x:v>46212</x:v>
      </x:c>
      <x:c r="C328" s="12" t="str">
        <x:v>DLR-006</x:v>
      </x:c>
      <x:c r="D328" s="12" t="str">
        <x:v>BYD HTA Hoàn Kiếm</x:v>
      </x:c>
      <x:c r="E328" s="12" t="str">
        <x:v>BYD</x:v>
      </x:c>
      <x:c r="F328" s="12" t="str">
        <x:v>Event</x:v>
      </x:c>
      <x:c r="G328" s="12" t="str">
        <x:v>New</x:v>
      </x:c>
      <x:c r="H328" s="34" t="n">
        <x:v>0.08</x:v>
      </x:c>
      <x:c r="I328" s="12" t="n">
        <x:v>0.71</x:v>
      </x:c>
      <x:c r="J328" s="12" t="n">
        <x:v>13</x:v>
      </x:c>
      <x:c r="K328" s="12" t="str">
        <x:v>Sales A</x:v>
      </x:c>
      <x:c r="L328" s="12" t="str">
        <x:v>Hot</x:v>
      </x:c>
    </x:row>
    <x:row r="329">
      <x:c r="A329" s="12" t="str">
        <x:v>LEAD-00328</x:v>
      </x:c>
      <x:c r="B329" s="18" t="n">
        <x:v>46221</x:v>
      </x:c>
      <x:c r="C329" s="12" t="str">
        <x:v>DLR-003</x:v>
      </x:c>
      <x:c r="D329" s="12" t="str">
        <x:v>Mỹ Đình Ford</x:v>
      </x:c>
      <x:c r="E329" s="12" t="str">
        <x:v>Ford</x:v>
      </x:c>
      <x:c r="F329" s="12" t="str">
        <x:v>Digital</x:v>
      </x:c>
      <x:c r="G329" s="12" t="str">
        <x:v>Test Drive</x:v>
      </x:c>
      <x:c r="H329" s="34" t="n">
        <x:v>0.5</x:v>
      </x:c>
      <x:c r="I329" s="12" t="n">
        <x:v>0.75</x:v>
      </x:c>
      <x:c r="J329" s="12" t="n">
        <x:v>4</x:v>
      </x:c>
      <x:c r="K329" s="12" t="str">
        <x:v>Sales C</x:v>
      </x:c>
      <x:c r="L329" s="12" t="str">
        <x:v>Normal</x:v>
      </x:c>
    </x:row>
    <x:row r="330">
      <x:c r="A330" s="12" t="str">
        <x:v>LEAD-00329</x:v>
      </x:c>
      <x:c r="B330" s="18" t="n">
        <x:v>46221</x:v>
      </x:c>
      <x:c r="C330" s="12" t="str">
        <x:v>DLR-011</x:v>
      </x:c>
      <x:c r="D330" s="12" t="str">
        <x:v>VinFast HTA Phạm Văn Đồng</x:v>
      </x:c>
      <x:c r="E330" s="12" t="str">
        <x:v>VinFast</x:v>
      </x:c>
      <x:c r="F330" s="12" t="str">
        <x:v>Event</x:v>
      </x:c>
      <x:c r="G330" s="12" t="str">
        <x:v>Contacted</x:v>
      </x:c>
      <x:c r="H330" s="34" t="n">
        <x:v>0.15</x:v>
      </x:c>
      <x:c r="I330" s="12" t="n">
        <x:v>1.45</x:v>
      </x:c>
      <x:c r="J330" s="12" t="n">
        <x:v>4</x:v>
      </x:c>
      <x:c r="K330" s="12" t="str">
        <x:v>Sales A</x:v>
      </x:c>
      <x:c r="L330" s="12" t="str">
        <x:v>Priority</x:v>
      </x:c>
    </x:row>
    <x:row r="331">
      <x:c r="A331" s="12" t="str">
        <x:v>LEAD-00330</x:v>
      </x:c>
      <x:c r="B331" s="18" t="n">
        <x:v>46210</x:v>
      </x:c>
      <x:c r="C331" s="12" t="str">
        <x:v>DLR-006</x:v>
      </x:c>
      <x:c r="D331" s="12" t="str">
        <x:v>BYD HTA Hoàn Kiếm</x:v>
      </x:c>
      <x:c r="E331" s="12" t="str">
        <x:v>BYD</x:v>
      </x:c>
      <x:c r="F331" s="12" t="str">
        <x:v>Digital</x:v>
      </x:c>
      <x:c r="G331" s="12" t="str">
        <x:v>Negotiation</x:v>
      </x:c>
      <x:c r="H331" s="34" t="n">
        <x:v>0.7</x:v>
      </x:c>
      <x:c r="I331" s="12" t="n">
        <x:v>1.01</x:v>
      </x:c>
      <x:c r="J331" s="12" t="n">
        <x:v>15</x:v>
      </x:c>
      <x:c r="K331" s="12" t="str">
        <x:v>Sales A</x:v>
      </x:c>
      <x:c r="L331" s="12" t="str">
        <x:v>Normal</x:v>
      </x:c>
    </x:row>
    <x:row r="332">
      <x:c r="A332" s="12" t="str">
        <x:v>LEAD-00331</x:v>
      </x:c>
      <x:c r="B332" s="18" t="n">
        <x:v>46205</x:v>
      </x:c>
      <x:c r="C332" s="12" t="str">
        <x:v>DLR-018</x:v>
      </x:c>
      <x:c r="D332" s="12" t="str">
        <x:v>OMODA &amp; JAECOO HTA Nam Từ Liêm</x:v>
      </x:c>
      <x:c r="E332" s="12" t="str">
        <x:v>OMODA &amp; JAECOO</x:v>
      </x:c>
      <x:c r="F332" s="12" t="str">
        <x:v>Event</x:v>
      </x:c>
      <x:c r="G332" s="12" t="str">
        <x:v>New</x:v>
      </x:c>
      <x:c r="H332" s="34" t="n">
        <x:v>0.08</x:v>
      </x:c>
      <x:c r="I332" s="12" t="n">
        <x:v>0.7</x:v>
      </x:c>
      <x:c r="J332" s="12" t="n">
        <x:v>20</x:v>
      </x:c>
      <x:c r="K332" s="12" t="str">
        <x:v>Sales A</x:v>
      </x:c>
      <x:c r="L332" s="12" t="str">
        <x:v>Priority</x:v>
      </x:c>
    </x:row>
    <x:row r="333">
      <x:c r="A333" s="12" t="str">
        <x:v>LEAD-00332</x:v>
      </x:c>
      <x:c r="B333" s="18" t="n">
        <x:v>46217</x:v>
      </x:c>
      <x:c r="C333" s="12" t="str">
        <x:v>DLR-020</x:v>
      </x:c>
      <x:c r="D333" s="12" t="str">
        <x:v>Wuling HTA Long Biên</x:v>
      </x:c>
      <x:c r="E333" s="12" t="str">
        <x:v>Wuling</x:v>
      </x:c>
      <x:c r="F333" s="12" t="str">
        <x:v>Event</x:v>
      </x:c>
      <x:c r="G333" s="12" t="str">
        <x:v>New</x:v>
      </x:c>
      <x:c r="H333" s="34" t="n">
        <x:v>0.08</x:v>
      </x:c>
      <x:c r="I333" s="12" t="n">
        <x:v>1.27</x:v>
      </x:c>
      <x:c r="J333" s="12" t="n">
        <x:v>8</x:v>
      </x:c>
      <x:c r="K333" s="12" t="str">
        <x:v>Sales B</x:v>
      </x:c>
      <x:c r="L333" s="12" t="str">
        <x:v>Priority</x:v>
      </x:c>
    </x:row>
    <x:row r="334">
      <x:c r="A334" s="12" t="str">
        <x:v>LEAD-00333</x:v>
      </x:c>
      <x:c r="B334" s="18" t="n">
        <x:v>46206</x:v>
      </x:c>
      <x:c r="C334" s="12" t="str">
        <x:v>DLR-010</x:v>
      </x:c>
      <x:c r="D334" s="12" t="str">
        <x:v>VinFast HTA Đàm Quang Trung</x:v>
      </x:c>
      <x:c r="E334" s="12" t="str">
        <x:v>VinFast</x:v>
      </x:c>
      <x:c r="F334" s="12" t="str">
        <x:v>Digital</x:v>
      </x:c>
      <x:c r="G334" s="12" t="str">
        <x:v>Order</x:v>
      </x:c>
      <x:c r="H334" s="34" t="n">
        <x:v>0.95</x:v>
      </x:c>
      <x:c r="I334" s="12" t="n">
        <x:v>1.09</x:v>
      </x:c>
      <x:c r="J334" s="12" t="n">
        <x:v>19</x:v>
      </x:c>
      <x:c r="K334" s="12" t="str">
        <x:v>Sales C</x:v>
      </x:c>
      <x:c r="L334" s="12" t="str">
        <x:v>Hot</x:v>
      </x:c>
    </x:row>
    <x:row r="335">
      <x:c r="A335" s="12" t="str">
        <x:v>LEAD-00334</x:v>
      </x:c>
      <x:c r="B335" s="18" t="n">
        <x:v>46222</x:v>
      </x:c>
      <x:c r="C335" s="12" t="str">
        <x:v>DLR-007</x:v>
      </x:c>
      <x:c r="D335" s="12" t="str">
        <x:v>BYD Hà Đông</x:v>
      </x:c>
      <x:c r="E335" s="12" t="str">
        <x:v>BYD</x:v>
      </x:c>
      <x:c r="F335" s="12" t="str">
        <x:v>Walk-in</x:v>
      </x:c>
      <x:c r="G335" s="12" t="str">
        <x:v>Negotiation</x:v>
      </x:c>
      <x:c r="H335" s="34" t="n">
        <x:v>0.7</x:v>
      </x:c>
      <x:c r="I335" s="12" t="n">
        <x:v>0.8</x:v>
      </x:c>
      <x:c r="J335" s="12" t="n">
        <x:v>3</x:v>
      </x:c>
      <x:c r="K335" s="12" t="str">
        <x:v>Sales D</x:v>
      </x:c>
      <x:c r="L335" s="12" t="str">
        <x:v>Priority</x:v>
      </x:c>
    </x:row>
    <x:row r="336">
      <x:c r="A336" s="12" t="str">
        <x:v>LEAD-00335</x:v>
      </x:c>
      <x:c r="B336" s="18" t="n">
        <x:v>46218</x:v>
      </x:c>
      <x:c r="C336" s="12" t="str">
        <x:v>DLR-015</x:v>
      </x:c>
      <x:c r="D336" s="12" t="str">
        <x:v>VinFast HTA Văn Phú</x:v>
      </x:c>
      <x:c r="E336" s="12" t="str">
        <x:v>VinFast</x:v>
      </x:c>
      <x:c r="F336" s="12" t="str">
        <x:v>Digital</x:v>
      </x:c>
      <x:c r="G336" s="12" t="str">
        <x:v>New</x:v>
      </x:c>
      <x:c r="H336" s="34" t="n">
        <x:v>0.08</x:v>
      </x:c>
      <x:c r="I336" s="12" t="n">
        <x:v>0.57</x:v>
      </x:c>
      <x:c r="J336" s="12" t="n">
        <x:v>7</x:v>
      </x:c>
      <x:c r="K336" s="12" t="str">
        <x:v>Sales A</x:v>
      </x:c>
      <x:c r="L336" s="12" t="str">
        <x:v>Normal</x:v>
      </x:c>
    </x:row>
    <x:row r="337">
      <x:c r="A337" s="12" t="str">
        <x:v>LEAD-00336</x:v>
      </x:c>
      <x:c r="B337" s="18" t="n">
        <x:v>46213</x:v>
      </x:c>
      <x:c r="C337" s="12" t="str">
        <x:v>DLR-013</x:v>
      </x:c>
      <x:c r="D337" s="12" t="str">
        <x:v>VinFast HTA Ninh Bình</x:v>
      </x:c>
      <x:c r="E337" s="12" t="str">
        <x:v>VinFast</x:v>
      </x:c>
      <x:c r="F337" s="12" t="str">
        <x:v>Corporate/Fleet</x:v>
      </x:c>
      <x:c r="G337" s="12" t="str">
        <x:v>New</x:v>
      </x:c>
      <x:c r="H337" s="34" t="n">
        <x:v>0.08</x:v>
      </x:c>
      <x:c r="I337" s="12" t="n">
        <x:v>0.46</x:v>
      </x:c>
      <x:c r="J337" s="12" t="n">
        <x:v>12</x:v>
      </x:c>
      <x:c r="K337" s="12" t="str">
        <x:v>Sales C</x:v>
      </x:c>
      <x:c r="L337" s="12" t="str">
        <x:v>Normal</x:v>
      </x:c>
    </x:row>
    <x:row r="338">
      <x:c r="A338" s="12" t="str">
        <x:v>LEAD-00337</x:v>
      </x:c>
      <x:c r="B338" s="18" t="n">
        <x:v>46225</x:v>
      </x:c>
      <x:c r="C338" s="12" t="str">
        <x:v>DLR-013</x:v>
      </x:c>
      <x:c r="D338" s="12" t="str">
        <x:v>VinFast HTA Ninh Bình</x:v>
      </x:c>
      <x:c r="E338" s="12" t="str">
        <x:v>VinFast</x:v>
      </x:c>
      <x:c r="F338" s="12" t="str">
        <x:v>Walk-in</x:v>
      </x:c>
      <x:c r="G338" s="12" t="str">
        <x:v>Contacted</x:v>
      </x:c>
      <x:c r="H338" s="34" t="n">
        <x:v>0.15</x:v>
      </x:c>
      <x:c r="I338" s="12" t="n">
        <x:v>0.87</x:v>
      </x:c>
      <x:c r="J338" s="12" t="n">
        <x:v>0</x:v>
      </x:c>
      <x:c r="K338" s="12" t="str">
        <x:v>Sales A</x:v>
      </x:c>
      <x:c r="L338" s="12" t="str">
        <x:v>Hot</x:v>
      </x:c>
    </x:row>
    <x:row r="339">
      <x:c r="A339" s="12" t="str">
        <x:v>LEAD-00338</x:v>
      </x:c>
      <x:c r="B339" s="18" t="n">
        <x:v>46216</x:v>
      </x:c>
      <x:c r="C339" s="12" t="str">
        <x:v>DLR-005</x:v>
      </x:c>
      <x:c r="D339" s="12" t="str">
        <x:v>BYD HTA Tây Hồ</x:v>
      </x:c>
      <x:c r="E339" s="12" t="str">
        <x:v>BYD</x:v>
      </x:c>
      <x:c r="F339" s="12" t="str">
        <x:v>Digital</x:v>
      </x:c>
      <x:c r="G339" s="12" t="str">
        <x:v>Negotiation</x:v>
      </x:c>
      <x:c r="H339" s="34" t="n">
        <x:v>0.7</x:v>
      </x:c>
      <x:c r="I339" s="12" t="n">
        <x:v>0.54</x:v>
      </x:c>
      <x:c r="J339" s="12" t="n">
        <x:v>9</x:v>
      </x:c>
      <x:c r="K339" s="12" t="str">
        <x:v>Sales B</x:v>
      </x:c>
      <x:c r="L339" s="12" t="str">
        <x:v>Normal</x:v>
      </x:c>
    </x:row>
    <x:row r="340">
      <x:c r="A340" s="12" t="str">
        <x:v>LEAD-00339</x:v>
      </x:c>
      <x:c r="B340" s="18" t="n">
        <x:v>46212</x:v>
      </x:c>
      <x:c r="C340" s="12" t="str">
        <x:v>DLR-003</x:v>
      </x:c>
      <x:c r="D340" s="12" t="str">
        <x:v>Mỹ Đình Ford</x:v>
      </x:c>
      <x:c r="E340" s="12" t="str">
        <x:v>Ford</x:v>
      </x:c>
      <x:c r="F340" s="12" t="str">
        <x:v>Corporate/Fleet</x:v>
      </x:c>
      <x:c r="G340" s="12" t="str">
        <x:v>New</x:v>
      </x:c>
      <x:c r="H340" s="34" t="n">
        <x:v>0.08</x:v>
      </x:c>
      <x:c r="I340" s="12" t="n">
        <x:v>0.56</x:v>
      </x:c>
      <x:c r="J340" s="12" t="n">
        <x:v>13</x:v>
      </x:c>
      <x:c r="K340" s="12" t="str">
        <x:v>Sales A</x:v>
      </x:c>
      <x:c r="L340" s="12" t="str">
        <x:v>Priority</x:v>
      </x:c>
    </x:row>
    <x:row r="341">
      <x:c r="A341" s="12" t="str">
        <x:v>LEAD-00340</x:v>
      </x:c>
      <x:c r="B341" s="18" t="n">
        <x:v>46214</x:v>
      </x:c>
      <x:c r="C341" s="12" t="str">
        <x:v>DLR-016</x:v>
      </x:c>
      <x:c r="D341" s="12" t="str">
        <x:v>VinFast HTA Mỹ Đình</x:v>
      </x:c>
      <x:c r="E341" s="12" t="str">
        <x:v>VinFast</x:v>
      </x:c>
      <x:c r="F341" s="12" t="str">
        <x:v>Referral</x:v>
      </x:c>
      <x:c r="G341" s="12" t="str">
        <x:v>Order</x:v>
      </x:c>
      <x:c r="H341" s="34" t="n">
        <x:v>0.95</x:v>
      </x:c>
      <x:c r="I341" s="12" t="n">
        <x:v>0.33</x:v>
      </x:c>
      <x:c r="J341" s="12" t="n">
        <x:v>11</x:v>
      </x:c>
      <x:c r="K341" s="12" t="str">
        <x:v>Sales B</x:v>
      </x:c>
      <x:c r="L341" s="12" t="str">
        <x:v>Normal</x:v>
      </x:c>
    </x:row>
    <x:row r="342">
      <x:c r="A342" s="12" t="str">
        <x:v>LEAD-00341</x:v>
      </x:c>
      <x:c r="B342" s="18" t="n">
        <x:v>46223</x:v>
      </x:c>
      <x:c r="C342" s="12" t="str">
        <x:v>DLR-015</x:v>
      </x:c>
      <x:c r="D342" s="12" t="str">
        <x:v>VinFast HTA Văn Phú</x:v>
      </x:c>
      <x:c r="E342" s="12" t="str">
        <x:v>VinFast</x:v>
      </x:c>
      <x:c r="F342" s="12" t="str">
        <x:v>Digital</x:v>
      </x:c>
      <x:c r="G342" s="12" t="str">
        <x:v>Lost</x:v>
      </x:c>
      <x:c r="H342" s="34" t="n">
        <x:v>0</x:v>
      </x:c>
      <x:c r="I342" s="12" t="n">
        <x:v>0.28</x:v>
      </x:c>
      <x:c r="J342" s="12" t="n">
        <x:v>2</x:v>
      </x:c>
      <x:c r="K342" s="12" t="str">
        <x:v>Sales A</x:v>
      </x:c>
      <x:c r="L342" s="12" t="str">
        <x:v>Normal</x:v>
      </x:c>
    </x:row>
    <x:row r="343">
      <x:c r="A343" s="12" t="str">
        <x:v>LEAD-00342</x:v>
      </x:c>
      <x:c r="B343" s="18" t="n">
        <x:v>46216</x:v>
      </x:c>
      <x:c r="C343" s="12" t="str">
        <x:v>DLR-002</x:v>
      </x:c>
      <x:c r="D343" s="12" t="str">
        <x:v>Hà Thành Ford - Mỹ Đình</x:v>
      </x:c>
      <x:c r="E343" s="12" t="str">
        <x:v>Ford</x:v>
      </x:c>
      <x:c r="F343" s="12" t="str">
        <x:v>Digital</x:v>
      </x:c>
      <x:c r="G343" s="12" t="str">
        <x:v>Order</x:v>
      </x:c>
      <x:c r="H343" s="34" t="n">
        <x:v>0.95</x:v>
      </x:c>
      <x:c r="I343" s="12" t="n">
        <x:v>1.1</x:v>
      </x:c>
      <x:c r="J343" s="12" t="n">
        <x:v>9</x:v>
      </x:c>
      <x:c r="K343" s="12" t="str">
        <x:v>Sales D</x:v>
      </x:c>
      <x:c r="L343" s="12" t="str">
        <x:v>Hot</x:v>
      </x:c>
    </x:row>
    <x:row r="344">
      <x:c r="A344" s="12" t="str">
        <x:v>LEAD-00343</x:v>
      </x:c>
      <x:c r="B344" s="18" t="n">
        <x:v>46206</x:v>
      </x:c>
      <x:c r="C344" s="12" t="str">
        <x:v>DLR-020</x:v>
      </x:c>
      <x:c r="D344" s="12" t="str">
        <x:v>Wuling HTA Long Biên</x:v>
      </x:c>
      <x:c r="E344" s="12" t="str">
        <x:v>Wuling</x:v>
      </x:c>
      <x:c r="F344" s="12" t="str">
        <x:v>Walk-in</x:v>
      </x:c>
      <x:c r="G344" s="12" t="str">
        <x:v>Contacted</x:v>
      </x:c>
      <x:c r="H344" s="34" t="n">
        <x:v>0.15</x:v>
      </x:c>
      <x:c r="I344" s="12" t="n">
        <x:v>0.38</x:v>
      </x:c>
      <x:c r="J344" s="12" t="n">
        <x:v>19</x:v>
      </x:c>
      <x:c r="K344" s="12" t="str">
        <x:v>Sales A</x:v>
      </x:c>
      <x:c r="L344" s="12" t="str">
        <x:v>Hot</x:v>
      </x:c>
    </x:row>
    <x:row r="345">
      <x:c r="A345" s="12" t="str">
        <x:v>LEAD-00344</x:v>
      </x:c>
      <x:c r="B345" s="18" t="n">
        <x:v>46208</x:v>
      </x:c>
      <x:c r="C345" s="12" t="str">
        <x:v>DLR-006</x:v>
      </x:c>
      <x:c r="D345" s="12" t="str">
        <x:v>BYD HTA Hoàn Kiếm</x:v>
      </x:c>
      <x:c r="E345" s="12" t="str">
        <x:v>BYD</x:v>
      </x:c>
      <x:c r="F345" s="12" t="str">
        <x:v>Digital</x:v>
      </x:c>
      <x:c r="G345" s="12" t="str">
        <x:v>New</x:v>
      </x:c>
      <x:c r="H345" s="34" t="n">
        <x:v>0.08</x:v>
      </x:c>
      <x:c r="I345" s="12" t="n">
        <x:v>0.94</x:v>
      </x:c>
      <x:c r="J345" s="12" t="n">
        <x:v>17</x:v>
      </x:c>
      <x:c r="K345" s="12" t="str">
        <x:v>Sales A</x:v>
      </x:c>
      <x:c r="L345" s="12" t="str">
        <x:v>Priority</x:v>
      </x:c>
    </x:row>
    <x:row r="346">
      <x:c r="A346" s="12" t="str">
        <x:v>LEAD-00345</x:v>
      </x:c>
      <x:c r="B346" s="18" t="n">
        <x:v>46205</x:v>
      </x:c>
      <x:c r="C346" s="12" t="str">
        <x:v>DLR-015</x:v>
      </x:c>
      <x:c r="D346" s="12" t="str">
        <x:v>VinFast HTA Văn Phú</x:v>
      </x:c>
      <x:c r="E346" s="12" t="str">
        <x:v>VinFast</x:v>
      </x:c>
      <x:c r="F346" s="12" t="str">
        <x:v>Event</x:v>
      </x:c>
      <x:c r="G346" s="12" t="str">
        <x:v>Negotiation</x:v>
      </x:c>
      <x:c r="H346" s="34" t="n">
        <x:v>0.7</x:v>
      </x:c>
      <x:c r="I346" s="12" t="n">
        <x:v>0.36</x:v>
      </x:c>
      <x:c r="J346" s="12" t="n">
        <x:v>20</x:v>
      </x:c>
      <x:c r="K346" s="12" t="str">
        <x:v>Sales C</x:v>
      </x:c>
      <x:c r="L346" s="12" t="str">
        <x:v>Priority</x:v>
      </x:c>
    </x:row>
    <x:row r="347">
      <x:c r="A347" s="12" t="str">
        <x:v>LEAD-00346</x:v>
      </x:c>
      <x:c r="B347" s="18" t="n">
        <x:v>46222</x:v>
      </x:c>
      <x:c r="C347" s="12" t="str">
        <x:v>DLR-015</x:v>
      </x:c>
      <x:c r="D347" s="12" t="str">
        <x:v>VinFast HTA Văn Phú</x:v>
      </x:c>
      <x:c r="E347" s="12" t="str">
        <x:v>VinFast</x:v>
      </x:c>
      <x:c r="F347" s="12" t="str">
        <x:v>Digital</x:v>
      </x:c>
      <x:c r="G347" s="12" t="str">
        <x:v>Qualified</x:v>
      </x:c>
      <x:c r="H347" s="34" t="n">
        <x:v>0.3</x:v>
      </x:c>
      <x:c r="I347" s="12" t="n">
        <x:v>0.52</x:v>
      </x:c>
      <x:c r="J347" s="12" t="n">
        <x:v>3</x:v>
      </x:c>
      <x:c r="K347" s="12" t="str">
        <x:v>Sales A</x:v>
      </x:c>
      <x:c r="L347" s="12" t="str">
        <x:v>Hot</x:v>
      </x:c>
    </x:row>
    <x:row r="348">
      <x:c r="A348" s="12" t="str">
        <x:v>LEAD-00347</x:v>
      </x:c>
      <x:c r="B348" s="18" t="n">
        <x:v>46216</x:v>
      </x:c>
      <x:c r="C348" s="12" t="str">
        <x:v>DLR-005</x:v>
      </x:c>
      <x:c r="D348" s="12" t="str">
        <x:v>BYD HTA Tây Hồ</x:v>
      </x:c>
      <x:c r="E348" s="12" t="str">
        <x:v>BYD</x:v>
      </x:c>
      <x:c r="F348" s="12" t="str">
        <x:v>Event</x:v>
      </x:c>
      <x:c r="G348" s="12" t="str">
        <x:v>New</x:v>
      </x:c>
      <x:c r="H348" s="34" t="n">
        <x:v>0.08</x:v>
      </x:c>
      <x:c r="I348" s="12" t="n">
        <x:v>1.24</x:v>
      </x:c>
      <x:c r="J348" s="12" t="n">
        <x:v>9</x:v>
      </x:c>
      <x:c r="K348" s="12" t="str">
        <x:v>Sales B</x:v>
      </x:c>
      <x:c r="L348" s="12" t="str">
        <x:v>Priority</x:v>
      </x:c>
    </x:row>
    <x:row r="349">
      <x:c r="A349" s="12" t="str">
        <x:v>LEAD-00348</x:v>
      </x:c>
      <x:c r="B349" s="18" t="n">
        <x:v>46225</x:v>
      </x:c>
      <x:c r="C349" s="12" t="str">
        <x:v>DLR-018</x:v>
      </x:c>
      <x:c r="D349" s="12" t="str">
        <x:v>OMODA &amp; JAECOO HTA Nam Từ Liêm</x:v>
      </x:c>
      <x:c r="E349" s="12" t="str">
        <x:v>OMODA &amp; JAECOO</x:v>
      </x:c>
      <x:c r="F349" s="12" t="str">
        <x:v>Corporate/Fleet</x:v>
      </x:c>
      <x:c r="G349" s="12" t="str">
        <x:v>New</x:v>
      </x:c>
      <x:c r="H349" s="34" t="n">
        <x:v>0.08</x:v>
      </x:c>
      <x:c r="I349" s="12" t="n">
        <x:v>1.48</x:v>
      </x:c>
      <x:c r="J349" s="12" t="n">
        <x:v>0</x:v>
      </x:c>
      <x:c r="K349" s="12" t="str">
        <x:v>Sales C</x:v>
      </x:c>
      <x:c r="L349" s="12" t="str">
        <x:v>Hot</x:v>
      </x:c>
    </x:row>
    <x:row r="350">
      <x:c r="A350" s="12" t="str">
        <x:v>LEAD-00349</x:v>
      </x:c>
      <x:c r="B350" s="18" t="n">
        <x:v>46224</x:v>
      </x:c>
      <x:c r="C350" s="12" t="str">
        <x:v>DLR-017</x:v>
      </x:c>
      <x:c r="D350" s="12" t="str">
        <x:v>VinFast Quốc Oai</x:v>
      </x:c>
      <x:c r="E350" s="12" t="str">
        <x:v>VinFast</x:v>
      </x:c>
      <x:c r="F350" s="12" t="str">
        <x:v>Event</x:v>
      </x:c>
      <x:c r="G350" s="12" t="str">
        <x:v>Qualified</x:v>
      </x:c>
      <x:c r="H350" s="34" t="n">
        <x:v>0.3</x:v>
      </x:c>
      <x:c r="I350" s="12" t="n">
        <x:v>0.4</x:v>
      </x:c>
      <x:c r="J350" s="12" t="n">
        <x:v>1</x:v>
      </x:c>
      <x:c r="K350" s="12" t="str">
        <x:v>Sales D</x:v>
      </x:c>
      <x:c r="L350" s="12" t="str">
        <x:v>Normal</x:v>
      </x:c>
    </x:row>
    <x:row r="351">
      <x:c r="A351" s="12" t="str">
        <x:v>LEAD-00350</x:v>
      </x:c>
      <x:c r="B351" s="18" t="n">
        <x:v>46211</x:v>
      </x:c>
      <x:c r="C351" s="12" t="str">
        <x:v>DLR-001</x:v>
      </x:c>
      <x:c r="D351" s="12" t="str">
        <x:v>Hà Thành Ford</x:v>
      </x:c>
      <x:c r="E351" s="12" t="str">
        <x:v>Ford</x:v>
      </x:c>
      <x:c r="F351" s="12" t="str">
        <x:v>Digital</x:v>
      </x:c>
      <x:c r="G351" s="12" t="str">
        <x:v>Qualified</x:v>
      </x:c>
      <x:c r="H351" s="34" t="n">
        <x:v>0.3</x:v>
      </x:c>
      <x:c r="I351" s="12" t="n">
        <x:v>1.38</x:v>
      </x:c>
      <x:c r="J351" s="12" t="n">
        <x:v>14</x:v>
      </x:c>
      <x:c r="K351" s="12" t="str">
        <x:v>Sales D</x:v>
      </x:c>
      <x:c r="L351" s="12" t="str">
        <x:v>Normal</x:v>
      </x:c>
    </x:row>
    <x:row r="352">
      <x:c r="A352" s="12" t="str">
        <x:v>LEAD-00351</x:v>
      </x:c>
      <x:c r="B352" s="18" t="n">
        <x:v>46225</x:v>
      </x:c>
      <x:c r="C352" s="12" t="str">
        <x:v>DLR-020</x:v>
      </x:c>
      <x:c r="D352" s="12" t="str">
        <x:v>Wuling HTA Long Biên</x:v>
      </x:c>
      <x:c r="E352" s="12" t="str">
        <x:v>Wuling</x:v>
      </x:c>
      <x:c r="F352" s="12" t="str">
        <x:v>Digital</x:v>
      </x:c>
      <x:c r="G352" s="12" t="str">
        <x:v>Order</x:v>
      </x:c>
      <x:c r="H352" s="34" t="n">
        <x:v>0.95</x:v>
      </x:c>
      <x:c r="I352" s="12" t="n">
        <x:v>0.73</x:v>
      </x:c>
      <x:c r="J352" s="12" t="n">
        <x:v>0</x:v>
      </x:c>
      <x:c r="K352" s="12" t="str">
        <x:v>Sales A</x:v>
      </x:c>
      <x:c r="L352" s="12" t="str">
        <x:v>Normal</x:v>
      </x:c>
    </x:row>
    <x:row r="353">
      <x:c r="A353" s="12" t="str">
        <x:v>LEAD-00352</x:v>
      </x:c>
      <x:c r="B353" s="18" t="n">
        <x:v>46204</x:v>
      </x:c>
      <x:c r="C353" s="12" t="str">
        <x:v>DLR-009</x:v>
      </x:c>
      <x:c r="D353" s="12" t="str">
        <x:v>VinFast HTA Đông Anh</x:v>
      </x:c>
      <x:c r="E353" s="12" t="str">
        <x:v>VinFast</x:v>
      </x:c>
      <x:c r="F353" s="12" t="str">
        <x:v>Digital</x:v>
      </x:c>
      <x:c r="G353" s="12" t="str">
        <x:v>Order</x:v>
      </x:c>
      <x:c r="H353" s="34" t="n">
        <x:v>0.95</x:v>
      </x:c>
      <x:c r="I353" s="12" t="n">
        <x:v>0.34</x:v>
      </x:c>
      <x:c r="J353" s="12" t="n">
        <x:v>21</x:v>
      </x:c>
      <x:c r="K353" s="12" t="str">
        <x:v>Sales A</x:v>
      </x:c>
      <x:c r="L353" s="12" t="str">
        <x:v>Priority</x:v>
      </x:c>
    </x:row>
    <x:row r="354">
      <x:c r="A354" s="12" t="str">
        <x:v>LEAD-00353</x:v>
      </x:c>
      <x:c r="B354" s="18" t="n">
        <x:v>46205</x:v>
      </x:c>
      <x:c r="C354" s="12" t="str">
        <x:v>DLR-014</x:v>
      </x:c>
      <x:c r="D354" s="12" t="str">
        <x:v>VinFast HTA Nam Từ Liêm</x:v>
      </x:c>
      <x:c r="E354" s="12" t="str">
        <x:v>VinFast</x:v>
      </x:c>
      <x:c r="F354" s="12" t="str">
        <x:v>Referral</x:v>
      </x:c>
      <x:c r="G354" s="12" t="str">
        <x:v>Test Drive</x:v>
      </x:c>
      <x:c r="H354" s="34" t="n">
        <x:v>0.5</x:v>
      </x:c>
      <x:c r="I354" s="12" t="n">
        <x:v>0.26</x:v>
      </x:c>
      <x:c r="J354" s="12" t="n">
        <x:v>20</x:v>
      </x:c>
      <x:c r="K354" s="12" t="str">
        <x:v>Sales C</x:v>
      </x:c>
      <x:c r="L354" s="12" t="str">
        <x:v>Priority</x:v>
      </x:c>
    </x:row>
    <x:row r="355">
      <x:c r="A355" s="12" t="str">
        <x:v>LEAD-00354</x:v>
      </x:c>
      <x:c r="B355" s="18" t="n">
        <x:v>46218</x:v>
      </x:c>
      <x:c r="C355" s="12" t="str">
        <x:v>DLR-019</x:v>
      </x:c>
      <x:c r="D355" s="12" t="str">
        <x:v>OMODA &amp; JAECOO HTA Việt Trì</x:v>
      </x:c>
      <x:c r="E355" s="12" t="str">
        <x:v>OMODA &amp; JAECOO</x:v>
      </x:c>
      <x:c r="F355" s="12" t="str">
        <x:v>Corporate/Fleet</x:v>
      </x:c>
      <x:c r="G355" s="12" t="str">
        <x:v>Qualified</x:v>
      </x:c>
      <x:c r="H355" s="34" t="n">
        <x:v>0.3</x:v>
      </x:c>
      <x:c r="I355" s="12" t="n">
        <x:v>0.97</x:v>
      </x:c>
      <x:c r="J355" s="12" t="n">
        <x:v>7</x:v>
      </x:c>
      <x:c r="K355" s="12" t="str">
        <x:v>Sales B</x:v>
      </x:c>
      <x:c r="L355" s="12" t="str">
        <x:v>Priority</x:v>
      </x:c>
    </x:row>
    <x:row r="356">
      <x:c r="A356" s="12" t="str">
        <x:v>LEAD-00355</x:v>
      </x:c>
      <x:c r="B356" s="18" t="n">
        <x:v>46206</x:v>
      </x:c>
      <x:c r="C356" s="12" t="str">
        <x:v>DLR-003</x:v>
      </x:c>
      <x:c r="D356" s="12" t="str">
        <x:v>Mỹ Đình Ford</x:v>
      </x:c>
      <x:c r="E356" s="12" t="str">
        <x:v>Ford</x:v>
      </x:c>
      <x:c r="F356" s="12" t="str">
        <x:v>Referral</x:v>
      </x:c>
      <x:c r="G356" s="12" t="str">
        <x:v>Contacted</x:v>
      </x:c>
      <x:c r="H356" s="34" t="n">
        <x:v>0.15</x:v>
      </x:c>
      <x:c r="I356" s="12" t="n">
        <x:v>0.9</x:v>
      </x:c>
      <x:c r="J356" s="12" t="n">
        <x:v>19</x:v>
      </x:c>
      <x:c r="K356" s="12" t="str">
        <x:v>Sales D</x:v>
      </x:c>
      <x:c r="L356" s="12" t="str">
        <x:v>Hot</x:v>
      </x:c>
    </x:row>
    <x:row r="357">
      <x:c r="A357" s="12" t="str">
        <x:v>LEAD-00356</x:v>
      </x:c>
      <x:c r="B357" s="18" t="n">
        <x:v>46208</x:v>
      </x:c>
      <x:c r="C357" s="12" t="str">
        <x:v>DLR-001</x:v>
      </x:c>
      <x:c r="D357" s="12" t="str">
        <x:v>Hà Thành Ford</x:v>
      </x:c>
      <x:c r="E357" s="12" t="str">
        <x:v>Ford</x:v>
      </x:c>
      <x:c r="F357" s="12" t="str">
        <x:v>Event</x:v>
      </x:c>
      <x:c r="G357" s="12" t="str">
        <x:v>Contacted</x:v>
      </x:c>
      <x:c r="H357" s="34" t="n">
        <x:v>0.15</x:v>
      </x:c>
      <x:c r="I357" s="12" t="n">
        <x:v>1.12</x:v>
      </x:c>
      <x:c r="J357" s="12" t="n">
        <x:v>17</x:v>
      </x:c>
      <x:c r="K357" s="12" t="str">
        <x:v>Sales B</x:v>
      </x:c>
      <x:c r="L357" s="12" t="str">
        <x:v>Hot</x:v>
      </x:c>
    </x:row>
    <x:row r="358">
      <x:c r="A358" s="12" t="str">
        <x:v>LEAD-00357</x:v>
      </x:c>
      <x:c r="B358" s="18" t="n">
        <x:v>46225</x:v>
      </x:c>
      <x:c r="C358" s="12" t="str">
        <x:v>DLR-018</x:v>
      </x:c>
      <x:c r="D358" s="12" t="str">
        <x:v>OMODA &amp; JAECOO HTA Nam Từ Liêm</x:v>
      </x:c>
      <x:c r="E358" s="12" t="str">
        <x:v>OMODA &amp; JAECOO</x:v>
      </x:c>
      <x:c r="F358" s="12" t="str">
        <x:v>Corporate/Fleet</x:v>
      </x:c>
      <x:c r="G358" s="12" t="str">
        <x:v>Qualified</x:v>
      </x:c>
      <x:c r="H358" s="34" t="n">
        <x:v>0.3</x:v>
      </x:c>
      <x:c r="I358" s="12" t="n">
        <x:v>0.37</x:v>
      </x:c>
      <x:c r="J358" s="12" t="n">
        <x:v>0</x:v>
      </x:c>
      <x:c r="K358" s="12" t="str">
        <x:v>Sales D</x:v>
      </x:c>
      <x:c r="L358" s="12" t="str">
        <x:v>Priority</x:v>
      </x:c>
    </x:row>
    <x:row r="359">
      <x:c r="A359" s="12" t="str">
        <x:v>LEAD-00358</x:v>
      </x:c>
      <x:c r="B359" s="18" t="n">
        <x:v>46220</x:v>
      </x:c>
      <x:c r="C359" s="12" t="str">
        <x:v>DLR-013</x:v>
      </x:c>
      <x:c r="D359" s="12" t="str">
        <x:v>VinFast HTA Ninh Bình</x:v>
      </x:c>
      <x:c r="E359" s="12" t="str">
        <x:v>VinFast</x:v>
      </x:c>
      <x:c r="F359" s="12" t="str">
        <x:v>Event</x:v>
      </x:c>
      <x:c r="G359" s="12" t="str">
        <x:v>Contacted</x:v>
      </x:c>
      <x:c r="H359" s="34" t="n">
        <x:v>0.15</x:v>
      </x:c>
      <x:c r="I359" s="12" t="n">
        <x:v>1.49</x:v>
      </x:c>
      <x:c r="J359" s="12" t="n">
        <x:v>5</x:v>
      </x:c>
      <x:c r="K359" s="12" t="str">
        <x:v>Sales D</x:v>
      </x:c>
      <x:c r="L359" s="12" t="str">
        <x:v>Normal</x:v>
      </x:c>
    </x:row>
    <x:row r="360">
      <x:c r="A360" s="12" t="str">
        <x:v>LEAD-00359</x:v>
      </x:c>
      <x:c r="B360" s="18" t="n">
        <x:v>46222</x:v>
      </x:c>
      <x:c r="C360" s="12" t="str">
        <x:v>DLR-016</x:v>
      </x:c>
      <x:c r="D360" s="12" t="str">
        <x:v>VinFast HTA Mỹ Đình</x:v>
      </x:c>
      <x:c r="E360" s="12" t="str">
        <x:v>VinFast</x:v>
      </x:c>
      <x:c r="F360" s="12" t="str">
        <x:v>Corporate/Fleet</x:v>
      </x:c>
      <x:c r="G360" s="12" t="str">
        <x:v>Order</x:v>
      </x:c>
      <x:c r="H360" s="34" t="n">
        <x:v>0.95</x:v>
      </x:c>
      <x:c r="I360" s="12" t="n">
        <x:v>0.92</x:v>
      </x:c>
      <x:c r="J360" s="12" t="n">
        <x:v>3</x:v>
      </x:c>
      <x:c r="K360" s="12" t="str">
        <x:v>Sales D</x:v>
      </x:c>
      <x:c r="L360" s="12" t="str">
        <x:v>Normal</x:v>
      </x:c>
    </x:row>
    <x:row r="361">
      <x:c r="A361" s="12" t="str">
        <x:v>LEAD-00360</x:v>
      </x:c>
      <x:c r="B361" s="18" t="n">
        <x:v>46206</x:v>
      </x:c>
      <x:c r="C361" s="12" t="str">
        <x:v>DLR-020</x:v>
      </x:c>
      <x:c r="D361" s="12" t="str">
        <x:v>Wuling HTA Long Biên</x:v>
      </x:c>
      <x:c r="E361" s="12" t="str">
        <x:v>Wuling</x:v>
      </x:c>
      <x:c r="F361" s="12" t="str">
        <x:v>Walk-in</x:v>
      </x:c>
      <x:c r="G361" s="12" t="str">
        <x:v>Order</x:v>
      </x:c>
      <x:c r="H361" s="34" t="n">
        <x:v>0.95</x:v>
      </x:c>
      <x:c r="I361" s="12" t="n">
        <x:v>0.77</x:v>
      </x:c>
      <x:c r="J361" s="12" t="n">
        <x:v>19</x:v>
      </x:c>
      <x:c r="K361" s="12" t="str">
        <x:v>Sales D</x:v>
      </x:c>
      <x:c r="L361" s="12" t="str">
        <x:v>Normal</x:v>
      </x:c>
    </x:row>
    <x:row r="362">
      <x:c r="A362" s="12" t="str">
        <x:v>LEAD-00361</x:v>
      </x:c>
      <x:c r="B362" s="18" t="n">
        <x:v>46217</x:v>
      </x:c>
      <x:c r="C362" s="12" t="str">
        <x:v>DLR-013</x:v>
      </x:c>
      <x:c r="D362" s="12" t="str">
        <x:v>VinFast HTA Ninh Bình</x:v>
      </x:c>
      <x:c r="E362" s="12" t="str">
        <x:v>VinFast</x:v>
      </x:c>
      <x:c r="F362" s="12" t="str">
        <x:v>Walk-in</x:v>
      </x:c>
      <x:c r="G362" s="12" t="str">
        <x:v>Contacted</x:v>
      </x:c>
      <x:c r="H362" s="34" t="n">
        <x:v>0.15</x:v>
      </x:c>
      <x:c r="I362" s="12" t="n">
        <x:v>0.37</x:v>
      </x:c>
      <x:c r="J362" s="12" t="n">
        <x:v>8</x:v>
      </x:c>
      <x:c r="K362" s="12" t="str">
        <x:v>Sales A</x:v>
      </x:c>
      <x:c r="L362" s="12" t="str">
        <x:v>Hot</x:v>
      </x:c>
    </x:row>
    <x:row r="363">
      <x:c r="A363" s="12" t="str">
        <x:v>LEAD-00362</x:v>
      </x:c>
      <x:c r="B363" s="18" t="n">
        <x:v>46222</x:v>
      </x:c>
      <x:c r="C363" s="12" t="str">
        <x:v>DLR-006</x:v>
      </x:c>
      <x:c r="D363" s="12" t="str">
        <x:v>BYD HTA Hoàn Kiếm</x:v>
      </x:c>
      <x:c r="E363" s="12" t="str">
        <x:v>BYD</x:v>
      </x:c>
      <x:c r="F363" s="12" t="str">
        <x:v>Digital</x:v>
      </x:c>
      <x:c r="G363" s="12" t="str">
        <x:v>Qualified</x:v>
      </x:c>
      <x:c r="H363" s="34" t="n">
        <x:v>0.3</x:v>
      </x:c>
      <x:c r="I363" s="12" t="n">
        <x:v>0.66</x:v>
      </x:c>
      <x:c r="J363" s="12" t="n">
        <x:v>3</x:v>
      </x:c>
      <x:c r="K363" s="12" t="str">
        <x:v>Sales A</x:v>
      </x:c>
      <x:c r="L363" s="12" t="str">
        <x:v>Normal</x:v>
      </x:c>
    </x:row>
    <x:row r="364">
      <x:c r="A364" s="12" t="str">
        <x:v>LEAD-00363</x:v>
      </x:c>
      <x:c r="B364" s="18" t="n">
        <x:v>46219</x:v>
      </x:c>
      <x:c r="C364" s="12" t="str">
        <x:v>DLR-020</x:v>
      </x:c>
      <x:c r="D364" s="12" t="str">
        <x:v>Wuling HTA Long Biên</x:v>
      </x:c>
      <x:c r="E364" s="12" t="str">
        <x:v>Wuling</x:v>
      </x:c>
      <x:c r="F364" s="12" t="str">
        <x:v>Corporate/Fleet</x:v>
      </x:c>
      <x:c r="G364" s="12" t="str">
        <x:v>Order</x:v>
      </x:c>
      <x:c r="H364" s="34" t="n">
        <x:v>0.95</x:v>
      </x:c>
      <x:c r="I364" s="12" t="n">
        <x:v>1.46</x:v>
      </x:c>
      <x:c r="J364" s="12" t="n">
        <x:v>6</x:v>
      </x:c>
      <x:c r="K364" s="12" t="str">
        <x:v>Sales A</x:v>
      </x:c>
      <x:c r="L364" s="12" t="str">
        <x:v>Hot</x:v>
      </x:c>
    </x:row>
    <x:row r="365">
      <x:c r="A365" s="12" t="str">
        <x:v>LEAD-00364</x:v>
      </x:c>
      <x:c r="B365" s="18" t="n">
        <x:v>46215</x:v>
      </x:c>
      <x:c r="C365" s="12" t="str">
        <x:v>DLR-019</x:v>
      </x:c>
      <x:c r="D365" s="12" t="str">
        <x:v>OMODA &amp; JAECOO HTA Việt Trì</x:v>
      </x:c>
      <x:c r="E365" s="12" t="str">
        <x:v>OMODA &amp; JAECOO</x:v>
      </x:c>
      <x:c r="F365" s="12" t="str">
        <x:v>Walk-in</x:v>
      </x:c>
      <x:c r="G365" s="12" t="str">
        <x:v>New</x:v>
      </x:c>
      <x:c r="H365" s="34" t="n">
        <x:v>0.08</x:v>
      </x:c>
      <x:c r="I365" s="12" t="n">
        <x:v>1.4</x:v>
      </x:c>
      <x:c r="J365" s="12" t="n">
        <x:v>10</x:v>
      </x:c>
      <x:c r="K365" s="12" t="str">
        <x:v>Sales A</x:v>
      </x:c>
      <x:c r="L365" s="12" t="str">
        <x:v>Hot</x:v>
      </x:c>
    </x:row>
    <x:row r="366">
      <x:c r="A366" s="12" t="str">
        <x:v>LEAD-00365</x:v>
      </x:c>
      <x:c r="B366" s="18" t="n">
        <x:v>46207</x:v>
      </x:c>
      <x:c r="C366" s="12" t="str">
        <x:v>DLR-011</x:v>
      </x:c>
      <x:c r="D366" s="12" t="str">
        <x:v>VinFast HTA Phạm Văn Đồng</x:v>
      </x:c>
      <x:c r="E366" s="12" t="str">
        <x:v>VinFast</x:v>
      </x:c>
      <x:c r="F366" s="12" t="str">
        <x:v>Corporate/Fleet</x:v>
      </x:c>
      <x:c r="G366" s="12" t="str">
        <x:v>Qualified</x:v>
      </x:c>
      <x:c r="H366" s="34" t="n">
        <x:v>0.3</x:v>
      </x:c>
      <x:c r="I366" s="12" t="n">
        <x:v>0.34</x:v>
      </x:c>
      <x:c r="J366" s="12" t="n">
        <x:v>18</x:v>
      </x:c>
      <x:c r="K366" s="12" t="str">
        <x:v>Sales B</x:v>
      </x:c>
      <x:c r="L366" s="12" t="str">
        <x:v>Priority</x:v>
      </x:c>
    </x:row>
    <x:row r="367">
      <x:c r="A367" s="12" t="str">
        <x:v>LEAD-00366</x:v>
      </x:c>
      <x:c r="B367" s="18" t="n">
        <x:v>46212</x:v>
      </x:c>
      <x:c r="C367" s="12" t="str">
        <x:v>DLR-020</x:v>
      </x:c>
      <x:c r="D367" s="12" t="str">
        <x:v>Wuling HTA Long Biên</x:v>
      </x:c>
      <x:c r="E367" s="12" t="str">
        <x:v>Wuling</x:v>
      </x:c>
      <x:c r="F367" s="12" t="str">
        <x:v>Event</x:v>
      </x:c>
      <x:c r="G367" s="12" t="str">
        <x:v>Order</x:v>
      </x:c>
      <x:c r="H367" s="34" t="n">
        <x:v>0.95</x:v>
      </x:c>
      <x:c r="I367" s="12" t="n">
        <x:v>0.66</x:v>
      </x:c>
      <x:c r="J367" s="12" t="n">
        <x:v>13</x:v>
      </x:c>
      <x:c r="K367" s="12" t="str">
        <x:v>Sales A</x:v>
      </x:c>
      <x:c r="L367" s="12" t="str">
        <x:v>Normal</x:v>
      </x:c>
    </x:row>
    <x:row r="368">
      <x:c r="A368" s="12" t="str">
        <x:v>LEAD-00367</x:v>
      </x:c>
      <x:c r="B368" s="18" t="n">
        <x:v>46205</x:v>
      </x:c>
      <x:c r="C368" s="12" t="str">
        <x:v>DLR-015</x:v>
      </x:c>
      <x:c r="D368" s="12" t="str">
        <x:v>VinFast HTA Văn Phú</x:v>
      </x:c>
      <x:c r="E368" s="12" t="str">
        <x:v>VinFast</x:v>
      </x:c>
      <x:c r="F368" s="12" t="str">
        <x:v>Referral</x:v>
      </x:c>
      <x:c r="G368" s="12" t="str">
        <x:v>Qualified</x:v>
      </x:c>
      <x:c r="H368" s="34" t="n">
        <x:v>0.3</x:v>
      </x:c>
      <x:c r="I368" s="12" t="n">
        <x:v>0.99</x:v>
      </x:c>
      <x:c r="J368" s="12" t="n">
        <x:v>20</x:v>
      </x:c>
      <x:c r="K368" s="12" t="str">
        <x:v>Sales C</x:v>
      </x:c>
      <x:c r="L368" s="12" t="str">
        <x:v>Normal</x:v>
      </x:c>
    </x:row>
    <x:row r="369">
      <x:c r="A369" s="12" t="str">
        <x:v>LEAD-00368</x:v>
      </x:c>
      <x:c r="B369" s="18" t="n">
        <x:v>46217</x:v>
      </x:c>
      <x:c r="C369" s="12" t="str">
        <x:v>DLR-018</x:v>
      </x:c>
      <x:c r="D369" s="12" t="str">
        <x:v>OMODA &amp; JAECOO HTA Nam Từ Liêm</x:v>
      </x:c>
      <x:c r="E369" s="12" t="str">
        <x:v>OMODA &amp; JAECOO</x:v>
      </x:c>
      <x:c r="F369" s="12" t="str">
        <x:v>Digital</x:v>
      </x:c>
      <x:c r="G369" s="12" t="str">
        <x:v>Lost</x:v>
      </x:c>
      <x:c r="H369" s="34" t="n">
        <x:v>0</x:v>
      </x:c>
      <x:c r="I369" s="12" t="n">
        <x:v>1.25</x:v>
      </x:c>
      <x:c r="J369" s="12" t="n">
        <x:v>8</x:v>
      </x:c>
      <x:c r="K369" s="12" t="str">
        <x:v>Sales A</x:v>
      </x:c>
      <x:c r="L369" s="12" t="str">
        <x:v>Hot</x:v>
      </x:c>
    </x:row>
    <x:row r="370">
      <x:c r="A370" s="12" t="str">
        <x:v>LEAD-00369</x:v>
      </x:c>
      <x:c r="B370" s="18" t="n">
        <x:v>46204</x:v>
      </x:c>
      <x:c r="C370" s="12" t="str">
        <x:v>DLR-016</x:v>
      </x:c>
      <x:c r="D370" s="12" t="str">
        <x:v>VinFast HTA Mỹ Đình</x:v>
      </x:c>
      <x:c r="E370" s="12" t="str">
        <x:v>VinFast</x:v>
      </x:c>
      <x:c r="F370" s="12" t="str">
        <x:v>Walk-in</x:v>
      </x:c>
      <x:c r="G370" s="12" t="str">
        <x:v>New</x:v>
      </x:c>
      <x:c r="H370" s="34" t="n">
        <x:v>0.08</x:v>
      </x:c>
      <x:c r="I370" s="12" t="n">
        <x:v>1.33</x:v>
      </x:c>
      <x:c r="J370" s="12" t="n">
        <x:v>21</x:v>
      </x:c>
      <x:c r="K370" s="12" t="str">
        <x:v>Sales B</x:v>
      </x:c>
      <x:c r="L370" s="12" t="str">
        <x:v>Normal</x:v>
      </x:c>
    </x:row>
    <x:row r="371">
      <x:c r="A371" s="12" t="str">
        <x:v>LEAD-00370</x:v>
      </x:c>
      <x:c r="B371" s="18" t="n">
        <x:v>46221</x:v>
      </x:c>
      <x:c r="C371" s="12" t="str">
        <x:v>DLR-017</x:v>
      </x:c>
      <x:c r="D371" s="12" t="str">
        <x:v>VinFast Quốc Oai</x:v>
      </x:c>
      <x:c r="E371" s="12" t="str">
        <x:v>VinFast</x:v>
      </x:c>
      <x:c r="F371" s="12" t="str">
        <x:v>Referral</x:v>
      </x:c>
      <x:c r="G371" s="12" t="str">
        <x:v>Contacted</x:v>
      </x:c>
      <x:c r="H371" s="34" t="n">
        <x:v>0.15</x:v>
      </x:c>
      <x:c r="I371" s="12" t="n">
        <x:v>0.92</x:v>
      </x:c>
      <x:c r="J371" s="12" t="n">
        <x:v>4</x:v>
      </x:c>
      <x:c r="K371" s="12" t="str">
        <x:v>Sales D</x:v>
      </x:c>
      <x:c r="L371" s="12" t="str">
        <x:v>Hot</x:v>
      </x:c>
    </x:row>
    <x:row r="372">
      <x:c r="A372" s="12" t="str">
        <x:v>LEAD-00371</x:v>
      </x:c>
      <x:c r="B372" s="18" t="n">
        <x:v>46206</x:v>
      </x:c>
      <x:c r="C372" s="12" t="str">
        <x:v>DLR-002</x:v>
      </x:c>
      <x:c r="D372" s="12" t="str">
        <x:v>Hà Thành Ford - Mỹ Đình</x:v>
      </x:c>
      <x:c r="E372" s="12" t="str">
        <x:v>Ford</x:v>
      </x:c>
      <x:c r="F372" s="12" t="str">
        <x:v>Walk-in</x:v>
      </x:c>
      <x:c r="G372" s="12" t="str">
        <x:v>Qualified</x:v>
      </x:c>
      <x:c r="H372" s="34" t="n">
        <x:v>0.3</x:v>
      </x:c>
      <x:c r="I372" s="12" t="n">
        <x:v>0.65</x:v>
      </x:c>
      <x:c r="J372" s="12" t="n">
        <x:v>19</x:v>
      </x:c>
      <x:c r="K372" s="12" t="str">
        <x:v>Sales D</x:v>
      </x:c>
      <x:c r="L372" s="12" t="str">
        <x:v>Hot</x:v>
      </x:c>
    </x:row>
    <x:row r="373">
      <x:c r="A373" s="12" t="str">
        <x:v>LEAD-00372</x:v>
      </x:c>
      <x:c r="B373" s="18" t="n">
        <x:v>46222</x:v>
      </x:c>
      <x:c r="C373" s="12" t="str">
        <x:v>DLR-016</x:v>
      </x:c>
      <x:c r="D373" s="12" t="str">
        <x:v>VinFast HTA Mỹ Đình</x:v>
      </x:c>
      <x:c r="E373" s="12" t="str">
        <x:v>VinFast</x:v>
      </x:c>
      <x:c r="F373" s="12" t="str">
        <x:v>Event</x:v>
      </x:c>
      <x:c r="G373" s="12" t="str">
        <x:v>Contacted</x:v>
      </x:c>
      <x:c r="H373" s="34" t="n">
        <x:v>0.15</x:v>
      </x:c>
      <x:c r="I373" s="12" t="n">
        <x:v>0.93</x:v>
      </x:c>
      <x:c r="J373" s="12" t="n">
        <x:v>3</x:v>
      </x:c>
      <x:c r="K373" s="12" t="str">
        <x:v>Sales C</x:v>
      </x:c>
      <x:c r="L373" s="12" t="str">
        <x:v>Hot</x:v>
      </x:c>
    </x:row>
    <x:row r="374">
      <x:c r="A374" s="12" t="str">
        <x:v>LEAD-00373</x:v>
      </x:c>
      <x:c r="B374" s="18" t="n">
        <x:v>46204</x:v>
      </x:c>
      <x:c r="C374" s="12" t="str">
        <x:v>DLR-006</x:v>
      </x:c>
      <x:c r="D374" s="12" t="str">
        <x:v>BYD HTA Hoàn Kiếm</x:v>
      </x:c>
      <x:c r="E374" s="12" t="str">
        <x:v>BYD</x:v>
      </x:c>
      <x:c r="F374" s="12" t="str">
        <x:v>Event</x:v>
      </x:c>
      <x:c r="G374" s="12" t="str">
        <x:v>New</x:v>
      </x:c>
      <x:c r="H374" s="34" t="n">
        <x:v>0.08</x:v>
      </x:c>
      <x:c r="I374" s="12" t="n">
        <x:v>1.21</x:v>
      </x:c>
      <x:c r="J374" s="12" t="n">
        <x:v>21</x:v>
      </x:c>
      <x:c r="K374" s="12" t="str">
        <x:v>Sales D</x:v>
      </x:c>
      <x:c r="L374" s="12" t="str">
        <x:v>Priority</x:v>
      </x:c>
    </x:row>
    <x:row r="375">
      <x:c r="A375" s="12" t="str">
        <x:v>LEAD-00374</x:v>
      </x:c>
      <x:c r="B375" s="18" t="n">
        <x:v>46204</x:v>
      </x:c>
      <x:c r="C375" s="12" t="str">
        <x:v>DLR-013</x:v>
      </x:c>
      <x:c r="D375" s="12" t="str">
        <x:v>VinFast HTA Ninh Bình</x:v>
      </x:c>
      <x:c r="E375" s="12" t="str">
        <x:v>VinFast</x:v>
      </x:c>
      <x:c r="F375" s="12" t="str">
        <x:v>Event</x:v>
      </x:c>
      <x:c r="G375" s="12" t="str">
        <x:v>Negotiation</x:v>
      </x:c>
      <x:c r="H375" s="34" t="n">
        <x:v>0.7</x:v>
      </x:c>
      <x:c r="I375" s="12" t="n">
        <x:v>1.28</x:v>
      </x:c>
      <x:c r="J375" s="12" t="n">
        <x:v>21</x:v>
      </x:c>
      <x:c r="K375" s="12" t="str">
        <x:v>Sales C</x:v>
      </x:c>
      <x:c r="L375" s="12" t="str">
        <x:v>Priority</x:v>
      </x:c>
    </x:row>
    <x:row r="376">
      <x:c r="A376" s="12" t="str">
        <x:v>LEAD-00375</x:v>
      </x:c>
      <x:c r="B376" s="18" t="n">
        <x:v>46210</x:v>
      </x:c>
      <x:c r="C376" s="12" t="str">
        <x:v>DLR-010</x:v>
      </x:c>
      <x:c r="D376" s="12" t="str">
        <x:v>VinFast HTA Đàm Quang Trung</x:v>
      </x:c>
      <x:c r="E376" s="12" t="str">
        <x:v>VinFast</x:v>
      </x:c>
      <x:c r="F376" s="12" t="str">
        <x:v>Corporate/Fleet</x:v>
      </x:c>
      <x:c r="G376" s="12" t="str">
        <x:v>Contacted</x:v>
      </x:c>
      <x:c r="H376" s="34" t="n">
        <x:v>0.15</x:v>
      </x:c>
      <x:c r="I376" s="12" t="n">
        <x:v>0.54</x:v>
      </x:c>
      <x:c r="J376" s="12" t="n">
        <x:v>15</x:v>
      </x:c>
      <x:c r="K376" s="12" t="str">
        <x:v>Sales C</x:v>
      </x:c>
      <x:c r="L376" s="12" t="str">
        <x:v>Normal</x:v>
      </x:c>
    </x:row>
    <x:row r="377">
      <x:c r="A377" s="12" t="str">
        <x:v>LEAD-00376</x:v>
      </x:c>
      <x:c r="B377" s="18" t="n">
        <x:v>46209</x:v>
      </x:c>
      <x:c r="C377" s="12" t="str">
        <x:v>DLR-015</x:v>
      </x:c>
      <x:c r="D377" s="12" t="str">
        <x:v>VinFast HTA Văn Phú</x:v>
      </x:c>
      <x:c r="E377" s="12" t="str">
        <x:v>VinFast</x:v>
      </x:c>
      <x:c r="F377" s="12" t="str">
        <x:v>Referral</x:v>
      </x:c>
      <x:c r="G377" s="12" t="str">
        <x:v>Qualified</x:v>
      </x:c>
      <x:c r="H377" s="34" t="n">
        <x:v>0.3</x:v>
      </x:c>
      <x:c r="I377" s="12" t="n">
        <x:v>0.58</x:v>
      </x:c>
      <x:c r="J377" s="12" t="n">
        <x:v>16</x:v>
      </x:c>
      <x:c r="K377" s="12" t="str">
        <x:v>Sales A</x:v>
      </x:c>
      <x:c r="L377" s="12" t="str">
        <x:v>Hot</x:v>
      </x:c>
    </x:row>
    <x:row r="378">
      <x:c r="A378" s="12" t="str">
        <x:v>LEAD-00377</x:v>
      </x:c>
      <x:c r="B378" s="18" t="n">
        <x:v>46216</x:v>
      </x:c>
      <x:c r="C378" s="12" t="str">
        <x:v>DLR-002</x:v>
      </x:c>
      <x:c r="D378" s="12" t="str">
        <x:v>Hà Thành Ford - Mỹ Đình</x:v>
      </x:c>
      <x:c r="E378" s="12" t="str">
        <x:v>Ford</x:v>
      </x:c>
      <x:c r="F378" s="12" t="str">
        <x:v>Event</x:v>
      </x:c>
      <x:c r="G378" s="12" t="str">
        <x:v>Qualified</x:v>
      </x:c>
      <x:c r="H378" s="34" t="n">
        <x:v>0.3</x:v>
      </x:c>
      <x:c r="I378" s="12" t="n">
        <x:v>0.25</x:v>
      </x:c>
      <x:c r="J378" s="12" t="n">
        <x:v>9</x:v>
      </x:c>
      <x:c r="K378" s="12" t="str">
        <x:v>Sales D</x:v>
      </x:c>
      <x:c r="L378" s="12" t="str">
        <x:v>Hot</x:v>
      </x:c>
    </x:row>
    <x:row r="379">
      <x:c r="A379" s="12" t="str">
        <x:v>LEAD-00378</x:v>
      </x:c>
      <x:c r="B379" s="18" t="n">
        <x:v>46205</x:v>
      </x:c>
      <x:c r="C379" s="12" t="str">
        <x:v>DLR-001</x:v>
      </x:c>
      <x:c r="D379" s="12" t="str">
        <x:v>Hà Thành Ford</x:v>
      </x:c>
      <x:c r="E379" s="12" t="str">
        <x:v>Ford</x:v>
      </x:c>
      <x:c r="F379" s="12" t="str">
        <x:v>Referral</x:v>
      </x:c>
      <x:c r="G379" s="12" t="str">
        <x:v>Order</x:v>
      </x:c>
      <x:c r="H379" s="34" t="n">
        <x:v>0.95</x:v>
      </x:c>
      <x:c r="I379" s="12" t="n">
        <x:v>1.18</x:v>
      </x:c>
      <x:c r="J379" s="12" t="n">
        <x:v>20</x:v>
      </x:c>
      <x:c r="K379" s="12" t="str">
        <x:v>Sales D</x:v>
      </x:c>
      <x:c r="L379" s="12" t="str">
        <x:v>Priority</x:v>
      </x:c>
    </x:row>
    <x:row r="380">
      <x:c r="A380" s="12" t="str">
        <x:v>LEAD-00379</x:v>
      </x:c>
      <x:c r="B380" s="18" t="n">
        <x:v>46215</x:v>
      </x:c>
      <x:c r="C380" s="12" t="str">
        <x:v>DLR-008</x:v>
      </x:c>
      <x:c r="D380" s="12" t="str">
        <x:v>VinFast HTA Nguyễn Văn Linh</x:v>
      </x:c>
      <x:c r="E380" s="12" t="str">
        <x:v>VinFast</x:v>
      </x:c>
      <x:c r="F380" s="12" t="str">
        <x:v>Event</x:v>
      </x:c>
      <x:c r="G380" s="12" t="str">
        <x:v>Qualified</x:v>
      </x:c>
      <x:c r="H380" s="34" t="n">
        <x:v>0.3</x:v>
      </x:c>
      <x:c r="I380" s="12" t="n">
        <x:v>0.6</x:v>
      </x:c>
      <x:c r="J380" s="12" t="n">
        <x:v>10</x:v>
      </x:c>
      <x:c r="K380" s="12" t="str">
        <x:v>Sales C</x:v>
      </x:c>
      <x:c r="L380" s="12" t="str">
        <x:v>Normal</x:v>
      </x:c>
    </x:row>
    <x:row r="381">
      <x:c r="A381" s="12" t="str">
        <x:v>LEAD-00380</x:v>
      </x:c>
      <x:c r="B381" s="18" t="n">
        <x:v>46207</x:v>
      </x:c>
      <x:c r="C381" s="12" t="str">
        <x:v>DLR-010</x:v>
      </x:c>
      <x:c r="D381" s="12" t="str">
        <x:v>VinFast HTA Đàm Quang Trung</x:v>
      </x:c>
      <x:c r="E381" s="12" t="str">
        <x:v>VinFast</x:v>
      </x:c>
      <x:c r="F381" s="12" t="str">
        <x:v>Event</x:v>
      </x:c>
      <x:c r="G381" s="12" t="str">
        <x:v>Test Drive</x:v>
      </x:c>
      <x:c r="H381" s="34" t="n">
        <x:v>0.5</x:v>
      </x:c>
      <x:c r="I381" s="12" t="n">
        <x:v>0.78</x:v>
      </x:c>
      <x:c r="J381" s="12" t="n">
        <x:v>18</x:v>
      </x:c>
      <x:c r="K381" s="12" t="str">
        <x:v>Sales D</x:v>
      </x:c>
      <x:c r="L381" s="12" t="str">
        <x:v>Normal</x:v>
      </x:c>
    </x:row>
    <x:row r="382">
      <x:c r="A382" s="12" t="str">
        <x:v>LEAD-00381</x:v>
      </x:c>
      <x:c r="B382" s="18" t="n">
        <x:v>46211</x:v>
      </x:c>
      <x:c r="C382" s="12" t="str">
        <x:v>DLR-009</x:v>
      </x:c>
      <x:c r="D382" s="12" t="str">
        <x:v>VinFast HTA Đông Anh</x:v>
      </x:c>
      <x:c r="E382" s="12" t="str">
        <x:v>VinFast</x:v>
      </x:c>
      <x:c r="F382" s="12" t="str">
        <x:v>Walk-in</x:v>
      </x:c>
      <x:c r="G382" s="12" t="str">
        <x:v>Order</x:v>
      </x:c>
      <x:c r="H382" s="34" t="n">
        <x:v>0.95</x:v>
      </x:c>
      <x:c r="I382" s="12" t="n">
        <x:v>0.47</x:v>
      </x:c>
      <x:c r="J382" s="12" t="n">
        <x:v>14</x:v>
      </x:c>
      <x:c r="K382" s="12" t="str">
        <x:v>Sales B</x:v>
      </x:c>
      <x:c r="L382" s="12" t="str">
        <x:v>Normal</x:v>
      </x:c>
    </x:row>
    <x:row r="383">
      <x:c r="A383" s="12" t="str">
        <x:v>LEAD-00382</x:v>
      </x:c>
      <x:c r="B383" s="18" t="n">
        <x:v>46213</x:v>
      </x:c>
      <x:c r="C383" s="12" t="str">
        <x:v>DLR-012</x:v>
      </x:c>
      <x:c r="D383" s="12" t="str">
        <x:v>VinFast HTA Võ Chí Công</x:v>
      </x:c>
      <x:c r="E383" s="12" t="str">
        <x:v>VinFast</x:v>
      </x:c>
      <x:c r="F383" s="12" t="str">
        <x:v>Digital</x:v>
      </x:c>
      <x:c r="G383" s="12" t="str">
        <x:v>Negotiation</x:v>
      </x:c>
      <x:c r="H383" s="34" t="n">
        <x:v>0.7</x:v>
      </x:c>
      <x:c r="I383" s="12" t="n">
        <x:v>0.42</x:v>
      </x:c>
      <x:c r="J383" s="12" t="n">
        <x:v>12</x:v>
      </x:c>
      <x:c r="K383" s="12" t="str">
        <x:v>Sales C</x:v>
      </x:c>
      <x:c r="L383" s="12" t="str">
        <x:v>Priority</x:v>
      </x:c>
    </x:row>
    <x:row r="384">
      <x:c r="A384" s="12" t="str">
        <x:v>LEAD-00383</x:v>
      </x:c>
      <x:c r="B384" s="18" t="n">
        <x:v>46212</x:v>
      </x:c>
      <x:c r="C384" s="12" t="str">
        <x:v>DLR-012</x:v>
      </x:c>
      <x:c r="D384" s="12" t="str">
        <x:v>VinFast HTA Võ Chí Công</x:v>
      </x:c>
      <x:c r="E384" s="12" t="str">
        <x:v>VinFast</x:v>
      </x:c>
      <x:c r="F384" s="12" t="str">
        <x:v>Walk-in</x:v>
      </x:c>
      <x:c r="G384" s="12" t="str">
        <x:v>Negotiation</x:v>
      </x:c>
      <x:c r="H384" s="34" t="n">
        <x:v>0.7</x:v>
      </x:c>
      <x:c r="I384" s="12" t="n">
        <x:v>1.04</x:v>
      </x:c>
      <x:c r="J384" s="12" t="n">
        <x:v>13</x:v>
      </x:c>
      <x:c r="K384" s="12" t="str">
        <x:v>Sales C</x:v>
      </x:c>
      <x:c r="L384" s="12" t="str">
        <x:v>Hot</x:v>
      </x:c>
    </x:row>
    <x:row r="385">
      <x:c r="A385" s="12" t="str">
        <x:v>LEAD-00384</x:v>
      </x:c>
      <x:c r="B385" s="18" t="n">
        <x:v>46225</x:v>
      </x:c>
      <x:c r="C385" s="12" t="str">
        <x:v>DLR-012</x:v>
      </x:c>
      <x:c r="D385" s="12" t="str">
        <x:v>VinFast HTA Võ Chí Công</x:v>
      </x:c>
      <x:c r="E385" s="12" t="str">
        <x:v>VinFast</x:v>
      </x:c>
      <x:c r="F385" s="12" t="str">
        <x:v>Event</x:v>
      </x:c>
      <x:c r="G385" s="12" t="str">
        <x:v>Order</x:v>
      </x:c>
      <x:c r="H385" s="34" t="n">
        <x:v>0.95</x:v>
      </x:c>
      <x:c r="I385" s="12" t="n">
        <x:v>0.3</x:v>
      </x:c>
      <x:c r="J385" s="12" t="n">
        <x:v>0</x:v>
      </x:c>
      <x:c r="K385" s="12" t="str">
        <x:v>Sales A</x:v>
      </x:c>
      <x:c r="L385" s="12" t="str">
        <x:v>Normal</x:v>
      </x:c>
    </x:row>
    <x:row r="386">
      <x:c r="A386" s="12" t="str">
        <x:v>LEAD-00385</x:v>
      </x:c>
      <x:c r="B386" s="18" t="n">
        <x:v>46210</x:v>
      </x:c>
      <x:c r="C386" s="12" t="str">
        <x:v>DLR-009</x:v>
      </x:c>
      <x:c r="D386" s="12" t="str">
        <x:v>VinFast HTA Đông Anh</x:v>
      </x:c>
      <x:c r="E386" s="12" t="str">
        <x:v>VinFast</x:v>
      </x:c>
      <x:c r="F386" s="12" t="str">
        <x:v>Digital</x:v>
      </x:c>
      <x:c r="G386" s="12" t="str">
        <x:v>New</x:v>
      </x:c>
      <x:c r="H386" s="34" t="n">
        <x:v>0.08</x:v>
      </x:c>
      <x:c r="I386" s="12" t="n">
        <x:v>1.24</x:v>
      </x:c>
      <x:c r="J386" s="12" t="n">
        <x:v>15</x:v>
      </x:c>
      <x:c r="K386" s="12" t="str">
        <x:v>Sales C</x:v>
      </x:c>
      <x:c r="L386" s="12" t="str">
        <x:v>Normal</x:v>
      </x:c>
    </x:row>
    <x:row r="387">
      <x:c r="A387" s="12" t="str">
        <x:v>LEAD-00386</x:v>
      </x:c>
      <x:c r="B387" s="18" t="n">
        <x:v>46214</x:v>
      </x:c>
      <x:c r="C387" s="12" t="str">
        <x:v>DLR-005</x:v>
      </x:c>
      <x:c r="D387" s="12" t="str">
        <x:v>BYD HTA Tây Hồ</x:v>
      </x:c>
      <x:c r="E387" s="12" t="str">
        <x:v>BYD</x:v>
      </x:c>
      <x:c r="F387" s="12" t="str">
        <x:v>Digital</x:v>
      </x:c>
      <x:c r="G387" s="12" t="str">
        <x:v>Lost</x:v>
      </x:c>
      <x:c r="H387" s="34" t="n">
        <x:v>0</x:v>
      </x:c>
      <x:c r="I387" s="12" t="n">
        <x:v>1.12</x:v>
      </x:c>
      <x:c r="J387" s="12" t="n">
        <x:v>11</x:v>
      </x:c>
      <x:c r="K387" s="12" t="str">
        <x:v>Sales B</x:v>
      </x:c>
      <x:c r="L387" s="12" t="str">
        <x:v>Priority</x:v>
      </x:c>
    </x:row>
    <x:row r="388">
      <x:c r="A388" s="12" t="str">
        <x:v>LEAD-00387</x:v>
      </x:c>
      <x:c r="B388" s="18" t="n">
        <x:v>46221</x:v>
      </x:c>
      <x:c r="C388" s="12" t="str">
        <x:v>DLR-008</x:v>
      </x:c>
      <x:c r="D388" s="12" t="str">
        <x:v>VinFast HTA Nguyễn Văn Linh</x:v>
      </x:c>
      <x:c r="E388" s="12" t="str">
        <x:v>VinFast</x:v>
      </x:c>
      <x:c r="F388" s="12" t="str">
        <x:v>Digital</x:v>
      </x:c>
      <x:c r="G388" s="12" t="str">
        <x:v>Lost</x:v>
      </x:c>
      <x:c r="H388" s="34" t="n">
        <x:v>0</x:v>
      </x:c>
      <x:c r="I388" s="12" t="n">
        <x:v>0.7</x:v>
      </x:c>
      <x:c r="J388" s="12" t="n">
        <x:v>4</x:v>
      </x:c>
      <x:c r="K388" s="12" t="str">
        <x:v>Sales D</x:v>
      </x:c>
      <x:c r="L388" s="12" t="str">
        <x:v>Priority</x:v>
      </x:c>
    </x:row>
    <x:row r="389">
      <x:c r="A389" s="12" t="str">
        <x:v>LEAD-00388</x:v>
      </x:c>
      <x:c r="B389" s="18" t="n">
        <x:v>46221</x:v>
      </x:c>
      <x:c r="C389" s="12" t="str">
        <x:v>DLR-007</x:v>
      </x:c>
      <x:c r="D389" s="12" t="str">
        <x:v>BYD Hà Đông</x:v>
      </x:c>
      <x:c r="E389" s="12" t="str">
        <x:v>BYD</x:v>
      </x:c>
      <x:c r="F389" s="12" t="str">
        <x:v>Referral</x:v>
      </x:c>
      <x:c r="G389" s="12" t="str">
        <x:v>Contacted</x:v>
      </x:c>
      <x:c r="H389" s="34" t="n">
        <x:v>0.15</x:v>
      </x:c>
      <x:c r="I389" s="12" t="n">
        <x:v>1.34</x:v>
      </x:c>
      <x:c r="J389" s="12" t="n">
        <x:v>4</x:v>
      </x:c>
      <x:c r="K389" s="12" t="str">
        <x:v>Sales D</x:v>
      </x:c>
      <x:c r="L389" s="12" t="str">
        <x:v>Priority</x:v>
      </x:c>
    </x:row>
    <x:row r="390">
      <x:c r="A390" s="12" t="str">
        <x:v>LEAD-00389</x:v>
      </x:c>
      <x:c r="B390" s="18" t="n">
        <x:v>46207</x:v>
      </x:c>
      <x:c r="C390" s="12" t="str">
        <x:v>DLR-017</x:v>
      </x:c>
      <x:c r="D390" s="12" t="str">
        <x:v>VinFast Quốc Oai</x:v>
      </x:c>
      <x:c r="E390" s="12" t="str">
        <x:v>VinFast</x:v>
      </x:c>
      <x:c r="F390" s="12" t="str">
        <x:v>Referral</x:v>
      </x:c>
      <x:c r="G390" s="12" t="str">
        <x:v>New</x:v>
      </x:c>
      <x:c r="H390" s="34" t="n">
        <x:v>0.08</x:v>
      </x:c>
      <x:c r="I390" s="12" t="n">
        <x:v>0.49</x:v>
      </x:c>
      <x:c r="J390" s="12" t="n">
        <x:v>18</x:v>
      </x:c>
      <x:c r="K390" s="12" t="str">
        <x:v>Sales D</x:v>
      </x:c>
      <x:c r="L390" s="12" t="str">
        <x:v>Priority</x:v>
      </x:c>
    </x:row>
    <x:row r="391">
      <x:c r="A391" s="12" t="str">
        <x:v>LEAD-00390</x:v>
      </x:c>
      <x:c r="B391" s="18" t="n">
        <x:v>46220</x:v>
      </x:c>
      <x:c r="C391" s="12" t="str">
        <x:v>DLR-008</x:v>
      </x:c>
      <x:c r="D391" s="12" t="str">
        <x:v>VinFast HTA Nguyễn Văn Linh</x:v>
      </x:c>
      <x:c r="E391" s="12" t="str">
        <x:v>VinFast</x:v>
      </x:c>
      <x:c r="F391" s="12" t="str">
        <x:v>Corporate/Fleet</x:v>
      </x:c>
      <x:c r="G391" s="12" t="str">
        <x:v>Qualified</x:v>
      </x:c>
      <x:c r="H391" s="34" t="n">
        <x:v>0.3</x:v>
      </x:c>
      <x:c r="I391" s="12" t="n">
        <x:v>1</x:v>
      </x:c>
      <x:c r="J391" s="12" t="n">
        <x:v>5</x:v>
      </x:c>
      <x:c r="K391" s="12" t="str">
        <x:v>Sales A</x:v>
      </x:c>
      <x:c r="L391" s="12" t="str">
        <x:v>Priority</x:v>
      </x:c>
    </x:row>
    <x:row r="392">
      <x:c r="A392" s="12" t="str">
        <x:v>LEAD-00391</x:v>
      </x:c>
      <x:c r="B392" s="18" t="n">
        <x:v>46205</x:v>
      </x:c>
      <x:c r="C392" s="12" t="str">
        <x:v>DLR-006</x:v>
      </x:c>
      <x:c r="D392" s="12" t="str">
        <x:v>BYD HTA Hoàn Kiếm</x:v>
      </x:c>
      <x:c r="E392" s="12" t="str">
        <x:v>BYD</x:v>
      </x:c>
      <x:c r="F392" s="12" t="str">
        <x:v>Referral</x:v>
      </x:c>
      <x:c r="G392" s="12" t="str">
        <x:v>Contacted</x:v>
      </x:c>
      <x:c r="H392" s="34" t="n">
        <x:v>0.15</x:v>
      </x:c>
      <x:c r="I392" s="12" t="n">
        <x:v>1.09</x:v>
      </x:c>
      <x:c r="J392" s="12" t="n">
        <x:v>20</x:v>
      </x:c>
      <x:c r="K392" s="12" t="str">
        <x:v>Sales A</x:v>
      </x:c>
      <x:c r="L392" s="12" t="str">
        <x:v>Normal</x:v>
      </x:c>
    </x:row>
    <x:row r="393">
      <x:c r="A393" s="12" t="str">
        <x:v>LEAD-00392</x:v>
      </x:c>
      <x:c r="B393" s="18" t="n">
        <x:v>46214</x:v>
      </x:c>
      <x:c r="C393" s="12" t="str">
        <x:v>DLR-012</x:v>
      </x:c>
      <x:c r="D393" s="12" t="str">
        <x:v>VinFast HTA Võ Chí Công</x:v>
      </x:c>
      <x:c r="E393" s="12" t="str">
        <x:v>VinFast</x:v>
      </x:c>
      <x:c r="F393" s="12" t="str">
        <x:v>Event</x:v>
      </x:c>
      <x:c r="G393" s="12" t="str">
        <x:v>Lost</x:v>
      </x:c>
      <x:c r="H393" s="34" t="n">
        <x:v>0</x:v>
      </x:c>
      <x:c r="I393" s="12" t="n">
        <x:v>1.43</x:v>
      </x:c>
      <x:c r="J393" s="12" t="n">
        <x:v>11</x:v>
      </x:c>
      <x:c r="K393" s="12" t="str">
        <x:v>Sales C</x:v>
      </x:c>
      <x:c r="L393" s="12" t="str">
        <x:v>Priority</x:v>
      </x:c>
    </x:row>
    <x:row r="394">
      <x:c r="A394" s="12" t="str">
        <x:v>LEAD-00393</x:v>
      </x:c>
      <x:c r="B394" s="18" t="n">
        <x:v>46210</x:v>
      </x:c>
      <x:c r="C394" s="12" t="str">
        <x:v>DLR-014</x:v>
      </x:c>
      <x:c r="D394" s="12" t="str">
        <x:v>VinFast HTA Nam Từ Liêm</x:v>
      </x:c>
      <x:c r="E394" s="12" t="str">
        <x:v>VinFast</x:v>
      </x:c>
      <x:c r="F394" s="12" t="str">
        <x:v>Corporate/Fleet</x:v>
      </x:c>
      <x:c r="G394" s="12" t="str">
        <x:v>Order</x:v>
      </x:c>
      <x:c r="H394" s="34" t="n">
        <x:v>0.95</x:v>
      </x:c>
      <x:c r="I394" s="12" t="n">
        <x:v>1.39</x:v>
      </x:c>
      <x:c r="J394" s="12" t="n">
        <x:v>15</x:v>
      </x:c>
      <x:c r="K394" s="12" t="str">
        <x:v>Sales D</x:v>
      </x:c>
      <x:c r="L394" s="12" t="str">
        <x:v>Hot</x:v>
      </x:c>
    </x:row>
    <x:row r="395">
      <x:c r="A395" s="12" t="str">
        <x:v>LEAD-00394</x:v>
      </x:c>
      <x:c r="B395" s="18" t="n">
        <x:v>46216</x:v>
      </x:c>
      <x:c r="C395" s="12" t="str">
        <x:v>DLR-005</x:v>
      </x:c>
      <x:c r="D395" s="12" t="str">
        <x:v>BYD HTA Tây Hồ</x:v>
      </x:c>
      <x:c r="E395" s="12" t="str">
        <x:v>BYD</x:v>
      </x:c>
      <x:c r="F395" s="12" t="str">
        <x:v>Event</x:v>
      </x:c>
      <x:c r="G395" s="12" t="str">
        <x:v>Contacted</x:v>
      </x:c>
      <x:c r="H395" s="34" t="n">
        <x:v>0.15</x:v>
      </x:c>
      <x:c r="I395" s="12" t="n">
        <x:v>0.54</x:v>
      </x:c>
      <x:c r="J395" s="12" t="n">
        <x:v>9</x:v>
      </x:c>
      <x:c r="K395" s="12" t="str">
        <x:v>Sales B</x:v>
      </x:c>
      <x:c r="L395" s="12" t="str">
        <x:v>Normal</x:v>
      </x:c>
    </x:row>
    <x:row r="396">
      <x:c r="A396" s="12" t="str">
        <x:v>LEAD-00395</x:v>
      </x:c>
      <x:c r="B396" s="18" t="n">
        <x:v>46217</x:v>
      </x:c>
      <x:c r="C396" s="12" t="str">
        <x:v>DLR-006</x:v>
      </x:c>
      <x:c r="D396" s="12" t="str">
        <x:v>BYD HTA Hoàn Kiếm</x:v>
      </x:c>
      <x:c r="E396" s="12" t="str">
        <x:v>BYD</x:v>
      </x:c>
      <x:c r="F396" s="12" t="str">
        <x:v>Digital</x:v>
      </x:c>
      <x:c r="G396" s="12" t="str">
        <x:v>New</x:v>
      </x:c>
      <x:c r="H396" s="34" t="n">
        <x:v>0.08</x:v>
      </x:c>
      <x:c r="I396" s="12" t="n">
        <x:v>0.76</x:v>
      </x:c>
      <x:c r="J396" s="12" t="n">
        <x:v>8</x:v>
      </x:c>
      <x:c r="K396" s="12" t="str">
        <x:v>Sales C</x:v>
      </x:c>
      <x:c r="L396" s="12" t="str">
        <x:v>Priority</x:v>
      </x:c>
    </x:row>
    <x:row r="397">
      <x:c r="A397" s="12" t="str">
        <x:v>LEAD-00396</x:v>
      </x:c>
      <x:c r="B397" s="18" t="n">
        <x:v>46225</x:v>
      </x:c>
      <x:c r="C397" s="12" t="str">
        <x:v>DLR-019</x:v>
      </x:c>
      <x:c r="D397" s="12" t="str">
        <x:v>OMODA &amp; JAECOO HTA Việt Trì</x:v>
      </x:c>
      <x:c r="E397" s="12" t="str">
        <x:v>OMODA &amp; JAECOO</x:v>
      </x:c>
      <x:c r="F397" s="12" t="str">
        <x:v>Referral</x:v>
      </x:c>
      <x:c r="G397" s="12" t="str">
        <x:v>New</x:v>
      </x:c>
      <x:c r="H397" s="34" t="n">
        <x:v>0.08</x:v>
      </x:c>
      <x:c r="I397" s="12" t="n">
        <x:v>1.35</x:v>
      </x:c>
      <x:c r="J397" s="12" t="n">
        <x:v>0</x:v>
      </x:c>
      <x:c r="K397" s="12" t="str">
        <x:v>Sales C</x:v>
      </x:c>
      <x:c r="L397" s="12" t="str">
        <x:v>Hot</x:v>
      </x:c>
    </x:row>
    <x:row r="398">
      <x:c r="A398" s="12" t="str">
        <x:v>LEAD-00397</x:v>
      </x:c>
      <x:c r="B398" s="18" t="n">
        <x:v>46210</x:v>
      </x:c>
      <x:c r="C398" s="12" t="str">
        <x:v>DLR-016</x:v>
      </x:c>
      <x:c r="D398" s="12" t="str">
        <x:v>VinFast HTA Mỹ Đình</x:v>
      </x:c>
      <x:c r="E398" s="12" t="str">
        <x:v>VinFast</x:v>
      </x:c>
      <x:c r="F398" s="12" t="str">
        <x:v>Referral</x:v>
      </x:c>
      <x:c r="G398" s="12" t="str">
        <x:v>Contacted</x:v>
      </x:c>
      <x:c r="H398" s="34" t="n">
        <x:v>0.15</x:v>
      </x:c>
      <x:c r="I398" s="12" t="n">
        <x:v>0.97</x:v>
      </x:c>
      <x:c r="J398" s="12" t="n">
        <x:v>15</x:v>
      </x:c>
      <x:c r="K398" s="12" t="str">
        <x:v>Sales B</x:v>
      </x:c>
      <x:c r="L398" s="12" t="str">
        <x:v>Priority</x:v>
      </x:c>
    </x:row>
    <x:row r="399">
      <x:c r="A399" s="12" t="str">
        <x:v>LEAD-00398</x:v>
      </x:c>
      <x:c r="B399" s="18" t="n">
        <x:v>46225</x:v>
      </x:c>
      <x:c r="C399" s="12" t="str">
        <x:v>DLR-004</x:v>
      </x:c>
      <x:c r="D399" s="12" t="str">
        <x:v>Việt Trì Ford</x:v>
      </x:c>
      <x:c r="E399" s="12" t="str">
        <x:v>Ford</x:v>
      </x:c>
      <x:c r="F399" s="12" t="str">
        <x:v>Digital</x:v>
      </x:c>
      <x:c r="G399" s="12" t="str">
        <x:v>New</x:v>
      </x:c>
      <x:c r="H399" s="34" t="n">
        <x:v>0.08</x:v>
      </x:c>
      <x:c r="I399" s="12" t="n">
        <x:v>0.26</x:v>
      </x:c>
      <x:c r="J399" s="12" t="n">
        <x:v>0</x:v>
      </x:c>
      <x:c r="K399" s="12" t="str">
        <x:v>Sales A</x:v>
      </x:c>
      <x:c r="L399" s="12" t="str">
        <x:v>Hot</x:v>
      </x:c>
    </x:row>
    <x:row r="400">
      <x:c r="A400" s="12" t="str">
        <x:v>LEAD-00399</x:v>
      </x:c>
      <x:c r="B400" s="18" t="n">
        <x:v>46216</x:v>
      </x:c>
      <x:c r="C400" s="12" t="str">
        <x:v>DLR-010</x:v>
      </x:c>
      <x:c r="D400" s="12" t="str">
        <x:v>VinFast HTA Đàm Quang Trung</x:v>
      </x:c>
      <x:c r="E400" s="12" t="str">
        <x:v>VinFast</x:v>
      </x:c>
      <x:c r="F400" s="12" t="str">
        <x:v>Walk-in</x:v>
      </x:c>
      <x:c r="G400" s="12" t="str">
        <x:v>Order</x:v>
      </x:c>
      <x:c r="H400" s="34" t="n">
        <x:v>0.95</x:v>
      </x:c>
      <x:c r="I400" s="12" t="n">
        <x:v>0.8</x:v>
      </x:c>
      <x:c r="J400" s="12" t="n">
        <x:v>9</x:v>
      </x:c>
      <x:c r="K400" s="12" t="str">
        <x:v>Sales A</x:v>
      </x:c>
      <x:c r="L400" s="12" t="str">
        <x:v>Hot</x:v>
      </x:c>
    </x:row>
    <x:row r="401">
      <x:c r="A401" s="12" t="str">
        <x:v>LEAD-00400</x:v>
      </x:c>
      <x:c r="B401" s="18" t="n">
        <x:v>46216</x:v>
      </x:c>
      <x:c r="C401" s="12" t="str">
        <x:v>DLR-016</x:v>
      </x:c>
      <x:c r="D401" s="12" t="str">
        <x:v>VinFast HTA Mỹ Đình</x:v>
      </x:c>
      <x:c r="E401" s="12" t="str">
        <x:v>VinFast</x:v>
      </x:c>
      <x:c r="F401" s="12" t="str">
        <x:v>Walk-in</x:v>
      </x:c>
      <x:c r="G401" s="12" t="str">
        <x:v>New</x:v>
      </x:c>
      <x:c r="H401" s="34" t="n">
        <x:v>0.08</x:v>
      </x:c>
      <x:c r="I401" s="12" t="n">
        <x:v>0.45</x:v>
      </x:c>
      <x:c r="J401" s="12" t="n">
        <x:v>9</x:v>
      </x:c>
      <x:c r="K401" s="12" t="str">
        <x:v>Sales D</x:v>
      </x:c>
      <x:c r="L401" s="12" t="str">
        <x:v>Priority</x:v>
      </x:c>
    </x:row>
    <x:row r="402">
      <x:c r="A402" s="12" t="str">
        <x:v>LEAD-00401</x:v>
      </x:c>
      <x:c r="B402" s="18" t="n">
        <x:v>46204</x:v>
      </x:c>
      <x:c r="C402" s="12" t="str">
        <x:v>DLR-019</x:v>
      </x:c>
      <x:c r="D402" s="12" t="str">
        <x:v>OMODA &amp; JAECOO HTA Việt Trì</x:v>
      </x:c>
      <x:c r="E402" s="12" t="str">
        <x:v>OMODA &amp; JAECOO</x:v>
      </x:c>
      <x:c r="F402" s="12" t="str">
        <x:v>Digital</x:v>
      </x:c>
      <x:c r="G402" s="12" t="str">
        <x:v>Qualified</x:v>
      </x:c>
      <x:c r="H402" s="34" t="n">
        <x:v>0.3</x:v>
      </x:c>
      <x:c r="I402" s="12" t="n">
        <x:v>0.68</x:v>
      </x:c>
      <x:c r="J402" s="12" t="n">
        <x:v>21</x:v>
      </x:c>
      <x:c r="K402" s="12" t="str">
        <x:v>Sales D</x:v>
      </x:c>
      <x:c r="L402" s="12" t="str">
        <x:v>Priority</x:v>
      </x:c>
    </x:row>
    <x:row r="403">
      <x:c r="A403" s="12" t="str">
        <x:v>LEAD-00402</x:v>
      </x:c>
      <x:c r="B403" s="18" t="n">
        <x:v>46222</x:v>
      </x:c>
      <x:c r="C403" s="12" t="str">
        <x:v>DLR-007</x:v>
      </x:c>
      <x:c r="D403" s="12" t="str">
        <x:v>BYD Hà Đông</x:v>
      </x:c>
      <x:c r="E403" s="12" t="str">
        <x:v>BYD</x:v>
      </x:c>
      <x:c r="F403" s="12" t="str">
        <x:v>Event</x:v>
      </x:c>
      <x:c r="G403" s="12" t="str">
        <x:v>Qualified</x:v>
      </x:c>
      <x:c r="H403" s="34" t="n">
        <x:v>0.3</x:v>
      </x:c>
      <x:c r="I403" s="12" t="n">
        <x:v>0.3</x:v>
      </x:c>
      <x:c r="J403" s="12" t="n">
        <x:v>3</x:v>
      </x:c>
      <x:c r="K403" s="12" t="str">
        <x:v>Sales B</x:v>
      </x:c>
      <x:c r="L403" s="12" t="str">
        <x:v>Priority</x:v>
      </x:c>
    </x:row>
    <x:row r="404">
      <x:c r="A404" s="12" t="str">
        <x:v>LEAD-00403</x:v>
      </x:c>
      <x:c r="B404" s="18" t="n">
        <x:v>46218</x:v>
      </x:c>
      <x:c r="C404" s="12" t="str">
        <x:v>DLR-004</x:v>
      </x:c>
      <x:c r="D404" s="12" t="str">
        <x:v>Việt Trì Ford</x:v>
      </x:c>
      <x:c r="E404" s="12" t="str">
        <x:v>Ford</x:v>
      </x:c>
      <x:c r="F404" s="12" t="str">
        <x:v>Referral</x:v>
      </x:c>
      <x:c r="G404" s="12" t="str">
        <x:v>Contacted</x:v>
      </x:c>
      <x:c r="H404" s="34" t="n">
        <x:v>0.15</x:v>
      </x:c>
      <x:c r="I404" s="12" t="n">
        <x:v>0.82</x:v>
      </x:c>
      <x:c r="J404" s="12" t="n">
        <x:v>7</x:v>
      </x:c>
      <x:c r="K404" s="12" t="str">
        <x:v>Sales A</x:v>
      </x:c>
      <x:c r="L404" s="12" t="str">
        <x:v>Hot</x:v>
      </x:c>
    </x:row>
    <x:row r="405">
      <x:c r="A405" s="12" t="str">
        <x:v>LEAD-00404</x:v>
      </x:c>
      <x:c r="B405" s="18" t="n">
        <x:v>46221</x:v>
      </x:c>
      <x:c r="C405" s="12" t="str">
        <x:v>DLR-007</x:v>
      </x:c>
      <x:c r="D405" s="12" t="str">
        <x:v>BYD Hà Đông</x:v>
      </x:c>
      <x:c r="E405" s="12" t="str">
        <x:v>BYD</x:v>
      </x:c>
      <x:c r="F405" s="12" t="str">
        <x:v>Corporate/Fleet</x:v>
      </x:c>
      <x:c r="G405" s="12" t="str">
        <x:v>New</x:v>
      </x:c>
      <x:c r="H405" s="34" t="n">
        <x:v>0.08</x:v>
      </x:c>
      <x:c r="I405" s="12" t="n">
        <x:v>0.36</x:v>
      </x:c>
      <x:c r="J405" s="12" t="n">
        <x:v>4</x:v>
      </x:c>
      <x:c r="K405" s="12" t="str">
        <x:v>Sales B</x:v>
      </x:c>
      <x:c r="L405" s="12" t="str">
        <x:v>Normal</x:v>
      </x:c>
    </x:row>
    <x:row r="406">
      <x:c r="A406" s="12" t="str">
        <x:v>LEAD-00405</x:v>
      </x:c>
      <x:c r="B406" s="18" t="n">
        <x:v>46222</x:v>
      </x:c>
      <x:c r="C406" s="12" t="str">
        <x:v>DLR-017</x:v>
      </x:c>
      <x:c r="D406" s="12" t="str">
        <x:v>VinFast Quốc Oai</x:v>
      </x:c>
      <x:c r="E406" s="12" t="str">
        <x:v>VinFast</x:v>
      </x:c>
      <x:c r="F406" s="12" t="str">
        <x:v>Corporate/Fleet</x:v>
      </x:c>
      <x:c r="G406" s="12" t="str">
        <x:v>Qualified</x:v>
      </x:c>
      <x:c r="H406" s="34" t="n">
        <x:v>0.3</x:v>
      </x:c>
      <x:c r="I406" s="12" t="n">
        <x:v>0.99</x:v>
      </x:c>
      <x:c r="J406" s="12" t="n">
        <x:v>3</x:v>
      </x:c>
      <x:c r="K406" s="12" t="str">
        <x:v>Sales A</x:v>
      </x:c>
      <x:c r="L406" s="12" t="str">
        <x:v>Normal</x:v>
      </x:c>
    </x:row>
    <x:row r="407">
      <x:c r="A407" s="12" t="str">
        <x:v>LEAD-00406</x:v>
      </x:c>
      <x:c r="B407" s="18" t="n">
        <x:v>46211</x:v>
      </x:c>
      <x:c r="C407" s="12" t="str">
        <x:v>DLR-015</x:v>
      </x:c>
      <x:c r="D407" s="12" t="str">
        <x:v>VinFast HTA Văn Phú</x:v>
      </x:c>
      <x:c r="E407" s="12" t="str">
        <x:v>VinFast</x:v>
      </x:c>
      <x:c r="F407" s="12" t="str">
        <x:v>Walk-in</x:v>
      </x:c>
      <x:c r="G407" s="12" t="str">
        <x:v>Contacted</x:v>
      </x:c>
      <x:c r="H407" s="34" t="n">
        <x:v>0.15</x:v>
      </x:c>
      <x:c r="I407" s="12" t="n">
        <x:v>0.73</x:v>
      </x:c>
      <x:c r="J407" s="12" t="n">
        <x:v>14</x:v>
      </x:c>
      <x:c r="K407" s="12" t="str">
        <x:v>Sales B</x:v>
      </x:c>
      <x:c r="L407" s="12" t="str">
        <x:v>Priority</x:v>
      </x:c>
    </x:row>
    <x:row r="408">
      <x:c r="A408" s="12" t="str">
        <x:v>LEAD-00407</x:v>
      </x:c>
      <x:c r="B408" s="18" t="n">
        <x:v>46213</x:v>
      </x:c>
      <x:c r="C408" s="12" t="str">
        <x:v>DLR-002</x:v>
      </x:c>
      <x:c r="D408" s="12" t="str">
        <x:v>Hà Thành Ford - Mỹ Đình</x:v>
      </x:c>
      <x:c r="E408" s="12" t="str">
        <x:v>Ford</x:v>
      </x:c>
      <x:c r="F408" s="12" t="str">
        <x:v>Referral</x:v>
      </x:c>
      <x:c r="G408" s="12" t="str">
        <x:v>Qualified</x:v>
      </x:c>
      <x:c r="H408" s="34" t="n">
        <x:v>0.3</x:v>
      </x:c>
      <x:c r="I408" s="12" t="n">
        <x:v>0.32</x:v>
      </x:c>
      <x:c r="J408" s="12" t="n">
        <x:v>12</x:v>
      </x:c>
      <x:c r="K408" s="12" t="str">
        <x:v>Sales B</x:v>
      </x:c>
      <x:c r="L408" s="12" t="str">
        <x:v>Priority</x:v>
      </x:c>
    </x:row>
    <x:row r="409">
      <x:c r="A409" s="12" t="str">
        <x:v>LEAD-00408</x:v>
      </x:c>
      <x:c r="B409" s="18" t="n">
        <x:v>46217</x:v>
      </x:c>
      <x:c r="C409" s="12" t="str">
        <x:v>DLR-010</x:v>
      </x:c>
      <x:c r="D409" s="12" t="str">
        <x:v>VinFast HTA Đàm Quang Trung</x:v>
      </x:c>
      <x:c r="E409" s="12" t="str">
        <x:v>VinFast</x:v>
      </x:c>
      <x:c r="F409" s="12" t="str">
        <x:v>Digital</x:v>
      </x:c>
      <x:c r="G409" s="12" t="str">
        <x:v>Test Drive</x:v>
      </x:c>
      <x:c r="H409" s="34" t="n">
        <x:v>0.5</x:v>
      </x:c>
      <x:c r="I409" s="12" t="n">
        <x:v>0.29</x:v>
      </x:c>
      <x:c r="J409" s="12" t="n">
        <x:v>8</x:v>
      </x:c>
      <x:c r="K409" s="12" t="str">
        <x:v>Sales A</x:v>
      </x:c>
      <x:c r="L409" s="12" t="str">
        <x:v>Priority</x:v>
      </x:c>
    </x:row>
    <x:row r="410">
      <x:c r="A410" s="12" t="str">
        <x:v>LEAD-00409</x:v>
      </x:c>
      <x:c r="B410" s="18" t="n">
        <x:v>46219</x:v>
      </x:c>
      <x:c r="C410" s="12" t="str">
        <x:v>DLR-004</x:v>
      </x:c>
      <x:c r="D410" s="12" t="str">
        <x:v>Việt Trì Ford</x:v>
      </x:c>
      <x:c r="E410" s="12" t="str">
        <x:v>Ford</x:v>
      </x:c>
      <x:c r="F410" s="12" t="str">
        <x:v>Referral</x:v>
      </x:c>
      <x:c r="G410" s="12" t="str">
        <x:v>Negotiation</x:v>
      </x:c>
      <x:c r="H410" s="34" t="n">
        <x:v>0.7</x:v>
      </x:c>
      <x:c r="I410" s="12" t="n">
        <x:v>1.32</x:v>
      </x:c>
      <x:c r="J410" s="12" t="n">
        <x:v>6</x:v>
      </x:c>
      <x:c r="K410" s="12" t="str">
        <x:v>Sales A</x:v>
      </x:c>
      <x:c r="L410" s="12" t="str">
        <x:v>Priority</x:v>
      </x:c>
    </x:row>
    <x:row r="411">
      <x:c r="A411" s="12" t="str">
        <x:v>LEAD-00410</x:v>
      </x:c>
      <x:c r="B411" s="18" t="n">
        <x:v>46222</x:v>
      </x:c>
      <x:c r="C411" s="12" t="str">
        <x:v>DLR-005</x:v>
      </x:c>
      <x:c r="D411" s="12" t="str">
        <x:v>BYD HTA Tây Hồ</x:v>
      </x:c>
      <x:c r="E411" s="12" t="str">
        <x:v>BYD</x:v>
      </x:c>
      <x:c r="F411" s="12" t="str">
        <x:v>Walk-in</x:v>
      </x:c>
      <x:c r="G411" s="12" t="str">
        <x:v>Contacted</x:v>
      </x:c>
      <x:c r="H411" s="34" t="n">
        <x:v>0.15</x:v>
      </x:c>
      <x:c r="I411" s="12" t="n">
        <x:v>1.09</x:v>
      </x:c>
      <x:c r="J411" s="12" t="n">
        <x:v>3</x:v>
      </x:c>
      <x:c r="K411" s="12" t="str">
        <x:v>Sales D</x:v>
      </x:c>
      <x:c r="L411" s="12" t="str">
        <x:v>Priority</x:v>
      </x:c>
    </x:row>
    <x:row r="412">
      <x:c r="A412" s="12" t="str">
        <x:v>LEAD-00411</x:v>
      </x:c>
      <x:c r="B412" s="18" t="n">
        <x:v>46223</x:v>
      </x:c>
      <x:c r="C412" s="12" t="str">
        <x:v>DLR-015</x:v>
      </x:c>
      <x:c r="D412" s="12" t="str">
        <x:v>VinFast HTA Văn Phú</x:v>
      </x:c>
      <x:c r="E412" s="12" t="str">
        <x:v>VinFast</x:v>
      </x:c>
      <x:c r="F412" s="12" t="str">
        <x:v>Event</x:v>
      </x:c>
      <x:c r="G412" s="12" t="str">
        <x:v>Negotiation</x:v>
      </x:c>
      <x:c r="H412" s="34" t="n">
        <x:v>0.7</x:v>
      </x:c>
      <x:c r="I412" s="12" t="n">
        <x:v>0.28</x:v>
      </x:c>
      <x:c r="J412" s="12" t="n">
        <x:v>2</x:v>
      </x:c>
      <x:c r="K412" s="12" t="str">
        <x:v>Sales D</x:v>
      </x:c>
      <x:c r="L412" s="12" t="str">
        <x:v>Priority</x:v>
      </x:c>
    </x:row>
    <x:row r="413">
      <x:c r="A413" s="12" t="str">
        <x:v>LEAD-00412</x:v>
      </x:c>
      <x:c r="B413" s="18" t="n">
        <x:v>46219</x:v>
      </x:c>
      <x:c r="C413" s="12" t="str">
        <x:v>DLR-003</x:v>
      </x:c>
      <x:c r="D413" s="12" t="str">
        <x:v>Mỹ Đình Ford</x:v>
      </x:c>
      <x:c r="E413" s="12" t="str">
        <x:v>Ford</x:v>
      </x:c>
      <x:c r="F413" s="12" t="str">
        <x:v>Referral</x:v>
      </x:c>
      <x:c r="G413" s="12" t="str">
        <x:v>Test Drive</x:v>
      </x:c>
      <x:c r="H413" s="34" t="n">
        <x:v>0.5</x:v>
      </x:c>
      <x:c r="I413" s="12" t="n">
        <x:v>0.53</x:v>
      </x:c>
      <x:c r="J413" s="12" t="n">
        <x:v>6</x:v>
      </x:c>
      <x:c r="K413" s="12" t="str">
        <x:v>Sales B</x:v>
      </x:c>
      <x:c r="L413" s="12" t="str">
        <x:v>Priority</x:v>
      </x:c>
    </x:row>
    <x:row r="414">
      <x:c r="A414" s="12" t="str">
        <x:v>LEAD-00413</x:v>
      </x:c>
      <x:c r="B414" s="18" t="n">
        <x:v>46223</x:v>
      </x:c>
      <x:c r="C414" s="12" t="str">
        <x:v>DLR-020</x:v>
      </x:c>
      <x:c r="D414" s="12" t="str">
        <x:v>Wuling HTA Long Biên</x:v>
      </x:c>
      <x:c r="E414" s="12" t="str">
        <x:v>Wuling</x:v>
      </x:c>
      <x:c r="F414" s="12" t="str">
        <x:v>Walk-in</x:v>
      </x:c>
      <x:c r="G414" s="12" t="str">
        <x:v>Lost</x:v>
      </x:c>
      <x:c r="H414" s="34" t="n">
        <x:v>0</x:v>
      </x:c>
      <x:c r="I414" s="12" t="n">
        <x:v>0.97</x:v>
      </x:c>
      <x:c r="J414" s="12" t="n">
        <x:v>2</x:v>
      </x:c>
      <x:c r="K414" s="12" t="str">
        <x:v>Sales C</x:v>
      </x:c>
      <x:c r="L414" s="12" t="str">
        <x:v>Normal</x:v>
      </x:c>
    </x:row>
    <x:row r="415">
      <x:c r="A415" s="12" t="str">
        <x:v>LEAD-00414</x:v>
      </x:c>
      <x:c r="B415" s="18" t="n">
        <x:v>46217</x:v>
      </x:c>
      <x:c r="C415" s="12" t="str">
        <x:v>DLR-020</x:v>
      </x:c>
      <x:c r="D415" s="12" t="str">
        <x:v>Wuling HTA Long Biên</x:v>
      </x:c>
      <x:c r="E415" s="12" t="str">
        <x:v>Wuling</x:v>
      </x:c>
      <x:c r="F415" s="12" t="str">
        <x:v>Walk-in</x:v>
      </x:c>
      <x:c r="G415" s="12" t="str">
        <x:v>Lost</x:v>
      </x:c>
      <x:c r="H415" s="34" t="n">
        <x:v>0</x:v>
      </x:c>
      <x:c r="I415" s="12" t="n">
        <x:v>0.86</x:v>
      </x:c>
      <x:c r="J415" s="12" t="n">
        <x:v>8</x:v>
      </x:c>
      <x:c r="K415" s="12" t="str">
        <x:v>Sales C</x:v>
      </x:c>
      <x:c r="L415" s="12" t="str">
        <x:v>Priority</x:v>
      </x:c>
    </x:row>
    <x:row r="416">
      <x:c r="A416" s="12" t="str">
        <x:v>LEAD-00415</x:v>
      </x:c>
      <x:c r="B416" s="18" t="n">
        <x:v>46222</x:v>
      </x:c>
      <x:c r="C416" s="12" t="str">
        <x:v>DLR-020</x:v>
      </x:c>
      <x:c r="D416" s="12" t="str">
        <x:v>Wuling HTA Long Biên</x:v>
      </x:c>
      <x:c r="E416" s="12" t="str">
        <x:v>Wuling</x:v>
      </x:c>
      <x:c r="F416" s="12" t="str">
        <x:v>Corporate/Fleet</x:v>
      </x:c>
      <x:c r="G416" s="12" t="str">
        <x:v>Order</x:v>
      </x:c>
      <x:c r="H416" s="34" t="n">
        <x:v>0.95</x:v>
      </x:c>
      <x:c r="I416" s="12" t="n">
        <x:v>0.73</x:v>
      </x:c>
      <x:c r="J416" s="12" t="n">
        <x:v>3</x:v>
      </x:c>
      <x:c r="K416" s="12" t="str">
        <x:v>Sales B</x:v>
      </x:c>
      <x:c r="L416" s="12" t="str">
        <x:v>Normal</x:v>
      </x:c>
    </x:row>
    <x:row r="417">
      <x:c r="A417" s="12" t="str">
        <x:v>LEAD-00416</x:v>
      </x:c>
      <x:c r="B417" s="18" t="n">
        <x:v>46209</x:v>
      </x:c>
      <x:c r="C417" s="12" t="str">
        <x:v>DLR-016</x:v>
      </x:c>
      <x:c r="D417" s="12" t="str">
        <x:v>VinFast HTA Mỹ Đình</x:v>
      </x:c>
      <x:c r="E417" s="12" t="str">
        <x:v>VinFast</x:v>
      </x:c>
      <x:c r="F417" s="12" t="str">
        <x:v>Event</x:v>
      </x:c>
      <x:c r="G417" s="12" t="str">
        <x:v>Negotiation</x:v>
      </x:c>
      <x:c r="H417" s="34" t="n">
        <x:v>0.7</x:v>
      </x:c>
      <x:c r="I417" s="12" t="n">
        <x:v>1.48</x:v>
      </x:c>
      <x:c r="J417" s="12" t="n">
        <x:v>16</x:v>
      </x:c>
      <x:c r="K417" s="12" t="str">
        <x:v>Sales C</x:v>
      </x:c>
      <x:c r="L417" s="12" t="str">
        <x:v>Normal</x:v>
      </x:c>
    </x:row>
    <x:row r="418">
      <x:c r="A418" s="12" t="str">
        <x:v>LEAD-00417</x:v>
      </x:c>
      <x:c r="B418" s="18" t="n">
        <x:v>46218</x:v>
      </x:c>
      <x:c r="C418" s="12" t="str">
        <x:v>DLR-019</x:v>
      </x:c>
      <x:c r="D418" s="12" t="str">
        <x:v>OMODA &amp; JAECOO HTA Việt Trì</x:v>
      </x:c>
      <x:c r="E418" s="12" t="str">
        <x:v>OMODA &amp; JAECOO</x:v>
      </x:c>
      <x:c r="F418" s="12" t="str">
        <x:v>Digital</x:v>
      </x:c>
      <x:c r="G418" s="12" t="str">
        <x:v>New</x:v>
      </x:c>
      <x:c r="H418" s="34" t="n">
        <x:v>0.08</x:v>
      </x:c>
      <x:c r="I418" s="12" t="n">
        <x:v>0.92</x:v>
      </x:c>
      <x:c r="J418" s="12" t="n">
        <x:v>7</x:v>
      </x:c>
      <x:c r="K418" s="12" t="str">
        <x:v>Sales A</x:v>
      </x:c>
      <x:c r="L418" s="12" t="str">
        <x:v>Priority</x:v>
      </x:c>
    </x:row>
    <x:row r="419">
      <x:c r="A419" s="12" t="str">
        <x:v>LEAD-00418</x:v>
      </x:c>
      <x:c r="B419" s="18" t="n">
        <x:v>46210</x:v>
      </x:c>
      <x:c r="C419" s="12" t="str">
        <x:v>DLR-017</x:v>
      </x:c>
      <x:c r="D419" s="12" t="str">
        <x:v>VinFast Quốc Oai</x:v>
      </x:c>
      <x:c r="E419" s="12" t="str">
        <x:v>VinFast</x:v>
      </x:c>
      <x:c r="F419" s="12" t="str">
        <x:v>Digital</x:v>
      </x:c>
      <x:c r="G419" s="12" t="str">
        <x:v>Test Drive</x:v>
      </x:c>
      <x:c r="H419" s="34" t="n">
        <x:v>0.5</x:v>
      </x:c>
      <x:c r="I419" s="12" t="n">
        <x:v>0.47</x:v>
      </x:c>
      <x:c r="J419" s="12" t="n">
        <x:v>15</x:v>
      </x:c>
      <x:c r="K419" s="12" t="str">
        <x:v>Sales C</x:v>
      </x:c>
      <x:c r="L419" s="12" t="str">
        <x:v>Hot</x:v>
      </x:c>
    </x:row>
    <x:row r="420">
      <x:c r="A420" s="12" t="str">
        <x:v>LEAD-00419</x:v>
      </x:c>
      <x:c r="B420" s="18" t="n">
        <x:v>46225</x:v>
      </x:c>
      <x:c r="C420" s="12" t="str">
        <x:v>DLR-003</x:v>
      </x:c>
      <x:c r="D420" s="12" t="str">
        <x:v>Mỹ Đình Ford</x:v>
      </x:c>
      <x:c r="E420" s="12" t="str">
        <x:v>Ford</x:v>
      </x:c>
      <x:c r="F420" s="12" t="str">
        <x:v>Corporate/Fleet</x:v>
      </x:c>
      <x:c r="G420" s="12" t="str">
        <x:v>Negotiation</x:v>
      </x:c>
      <x:c r="H420" s="34" t="n">
        <x:v>0.7</x:v>
      </x:c>
      <x:c r="I420" s="12" t="n">
        <x:v>0.52</x:v>
      </x:c>
      <x:c r="J420" s="12" t="n">
        <x:v>0</x:v>
      </x:c>
      <x:c r="K420" s="12" t="str">
        <x:v>Sales D</x:v>
      </x:c>
      <x:c r="L420" s="12" t="str">
        <x:v>Normal</x:v>
      </x:c>
    </x:row>
    <x:row r="421">
      <x:c r="A421" s="12" t="str">
        <x:v>LEAD-00420</x:v>
      </x:c>
      <x:c r="B421" s="18" t="n">
        <x:v>46207</x:v>
      </x:c>
      <x:c r="C421" s="12" t="str">
        <x:v>DLR-010</x:v>
      </x:c>
      <x:c r="D421" s="12" t="str">
        <x:v>VinFast HTA Đàm Quang Trung</x:v>
      </x:c>
      <x:c r="E421" s="12" t="str">
        <x:v>VinFast</x:v>
      </x:c>
      <x:c r="F421" s="12" t="str">
        <x:v>Digital</x:v>
      </x:c>
      <x:c r="G421" s="12" t="str">
        <x:v>New</x:v>
      </x:c>
      <x:c r="H421" s="34" t="n">
        <x:v>0.08</x:v>
      </x:c>
      <x:c r="I421" s="12" t="n">
        <x:v>1.42</x:v>
      </x:c>
      <x:c r="J421" s="12" t="n">
        <x:v>18</x:v>
      </x:c>
      <x:c r="K421" s="12" t="str">
        <x:v>Sales D</x:v>
      </x:c>
      <x:c r="L421" s="12" t="str">
        <x:v>Hot</x:v>
      </x:c>
    </x:row>
    <x:row r="422">
      <x:c r="A422" s="12" t="str">
        <x:v>LEAD-00421</x:v>
      </x:c>
      <x:c r="B422" s="18" t="n">
        <x:v>46210</x:v>
      </x:c>
      <x:c r="C422" s="12" t="str">
        <x:v>DLR-010</x:v>
      </x:c>
      <x:c r="D422" s="12" t="str">
        <x:v>VinFast HTA Đàm Quang Trung</x:v>
      </x:c>
      <x:c r="E422" s="12" t="str">
        <x:v>VinFast</x:v>
      </x:c>
      <x:c r="F422" s="12" t="str">
        <x:v>Referral</x:v>
      </x:c>
      <x:c r="G422" s="12" t="str">
        <x:v>Order</x:v>
      </x:c>
      <x:c r="H422" s="34" t="n">
        <x:v>0.95</x:v>
      </x:c>
      <x:c r="I422" s="12" t="n">
        <x:v>1.04</x:v>
      </x:c>
      <x:c r="J422" s="12" t="n">
        <x:v>15</x:v>
      </x:c>
      <x:c r="K422" s="12" t="str">
        <x:v>Sales B</x:v>
      </x:c>
      <x:c r="L422" s="12" t="str">
        <x:v>Priority</x:v>
      </x:c>
    </x:row>
    <x:row r="423">
      <x:c r="A423" s="12" t="str">
        <x:v>LEAD-00422</x:v>
      </x:c>
      <x:c r="B423" s="18" t="n">
        <x:v>46219</x:v>
      </x:c>
      <x:c r="C423" s="12" t="str">
        <x:v>DLR-010</x:v>
      </x:c>
      <x:c r="D423" s="12" t="str">
        <x:v>VinFast HTA Đàm Quang Trung</x:v>
      </x:c>
      <x:c r="E423" s="12" t="str">
        <x:v>VinFast</x:v>
      </x:c>
      <x:c r="F423" s="12" t="str">
        <x:v>Referral</x:v>
      </x:c>
      <x:c r="G423" s="12" t="str">
        <x:v>Lost</x:v>
      </x:c>
      <x:c r="H423" s="34" t="n">
        <x:v>0</x:v>
      </x:c>
      <x:c r="I423" s="12" t="n">
        <x:v>0.7</x:v>
      </x:c>
      <x:c r="J423" s="12" t="n">
        <x:v>6</x:v>
      </x:c>
      <x:c r="K423" s="12" t="str">
        <x:v>Sales A</x:v>
      </x:c>
      <x:c r="L423" s="12" t="str">
        <x:v>Priority</x:v>
      </x:c>
    </x:row>
    <x:row r="424">
      <x:c r="A424" s="12" t="str">
        <x:v>LEAD-00423</x:v>
      </x:c>
      <x:c r="B424" s="18" t="n">
        <x:v>46208</x:v>
      </x:c>
      <x:c r="C424" s="12" t="str">
        <x:v>DLR-019</x:v>
      </x:c>
      <x:c r="D424" s="12" t="str">
        <x:v>OMODA &amp; JAECOO HTA Việt Trì</x:v>
      </x:c>
      <x:c r="E424" s="12" t="str">
        <x:v>OMODA &amp; JAECOO</x:v>
      </x:c>
      <x:c r="F424" s="12" t="str">
        <x:v>Event</x:v>
      </x:c>
      <x:c r="G424" s="12" t="str">
        <x:v>New</x:v>
      </x:c>
      <x:c r="H424" s="34" t="n">
        <x:v>0.08</x:v>
      </x:c>
      <x:c r="I424" s="12" t="n">
        <x:v>1.47</x:v>
      </x:c>
      <x:c r="J424" s="12" t="n">
        <x:v>17</x:v>
      </x:c>
      <x:c r="K424" s="12" t="str">
        <x:v>Sales C</x:v>
      </x:c>
      <x:c r="L424" s="12" t="str">
        <x:v>Normal</x:v>
      </x:c>
    </x:row>
    <x:row r="425">
      <x:c r="A425" s="12" t="str">
        <x:v>LEAD-00424</x:v>
      </x:c>
      <x:c r="B425" s="18" t="n">
        <x:v>46210</x:v>
      </x:c>
      <x:c r="C425" s="12" t="str">
        <x:v>DLR-013</x:v>
      </x:c>
      <x:c r="D425" s="12" t="str">
        <x:v>VinFast HTA Ninh Bình</x:v>
      </x:c>
      <x:c r="E425" s="12" t="str">
        <x:v>VinFast</x:v>
      </x:c>
      <x:c r="F425" s="12" t="str">
        <x:v>Digital</x:v>
      </x:c>
      <x:c r="G425" s="12" t="str">
        <x:v>New</x:v>
      </x:c>
      <x:c r="H425" s="34" t="n">
        <x:v>0.08</x:v>
      </x:c>
      <x:c r="I425" s="12" t="n">
        <x:v>0.43</x:v>
      </x:c>
      <x:c r="J425" s="12" t="n">
        <x:v>15</x:v>
      </x:c>
      <x:c r="K425" s="12" t="str">
        <x:v>Sales C</x:v>
      </x:c>
      <x:c r="L425" s="12" t="str">
        <x:v>Priority</x:v>
      </x:c>
    </x:row>
    <x:row r="426">
      <x:c r="A426" s="12" t="str">
        <x:v>LEAD-00425</x:v>
      </x:c>
      <x:c r="B426" s="18" t="n">
        <x:v>46207</x:v>
      </x:c>
      <x:c r="C426" s="12" t="str">
        <x:v>DLR-018</x:v>
      </x:c>
      <x:c r="D426" s="12" t="str">
        <x:v>OMODA &amp; JAECOO HTA Nam Từ Liêm</x:v>
      </x:c>
      <x:c r="E426" s="12" t="str">
        <x:v>OMODA &amp; JAECOO</x:v>
      </x:c>
      <x:c r="F426" s="12" t="str">
        <x:v>Event</x:v>
      </x:c>
      <x:c r="G426" s="12" t="str">
        <x:v>Negotiation</x:v>
      </x:c>
      <x:c r="H426" s="34" t="n">
        <x:v>0.7</x:v>
      </x:c>
      <x:c r="I426" s="12" t="n">
        <x:v>1.44</x:v>
      </x:c>
      <x:c r="J426" s="12" t="n">
        <x:v>18</x:v>
      </x:c>
      <x:c r="K426" s="12" t="str">
        <x:v>Sales B</x:v>
      </x:c>
      <x:c r="L426" s="12" t="str">
        <x:v>Priority</x:v>
      </x:c>
    </x:row>
    <x:row r="427">
      <x:c r="A427" s="12" t="str">
        <x:v>LEAD-00426</x:v>
      </x:c>
      <x:c r="B427" s="18" t="n">
        <x:v>46206</x:v>
      </x:c>
      <x:c r="C427" s="12" t="str">
        <x:v>DLR-011</x:v>
      </x:c>
      <x:c r="D427" s="12" t="str">
        <x:v>VinFast HTA Phạm Văn Đồng</x:v>
      </x:c>
      <x:c r="E427" s="12" t="str">
        <x:v>VinFast</x:v>
      </x:c>
      <x:c r="F427" s="12" t="str">
        <x:v>Corporate/Fleet</x:v>
      </x:c>
      <x:c r="G427" s="12" t="str">
        <x:v>Test Drive</x:v>
      </x:c>
      <x:c r="H427" s="34" t="n">
        <x:v>0.5</x:v>
      </x:c>
      <x:c r="I427" s="12" t="n">
        <x:v>0.51</x:v>
      </x:c>
      <x:c r="J427" s="12" t="n">
        <x:v>19</x:v>
      </x:c>
      <x:c r="K427" s="12" t="str">
        <x:v>Sales B</x:v>
      </x:c>
      <x:c r="L427" s="12" t="str">
        <x:v>Hot</x:v>
      </x:c>
    </x:row>
    <x:row r="428">
      <x:c r="A428" s="12" t="str">
        <x:v>LEAD-00427</x:v>
      </x:c>
      <x:c r="B428" s="18" t="n">
        <x:v>46219</x:v>
      </x:c>
      <x:c r="C428" s="12" t="str">
        <x:v>DLR-009</x:v>
      </x:c>
      <x:c r="D428" s="12" t="str">
        <x:v>VinFast HTA Đông Anh</x:v>
      </x:c>
      <x:c r="E428" s="12" t="str">
        <x:v>VinFast</x:v>
      </x:c>
      <x:c r="F428" s="12" t="str">
        <x:v>Corporate/Fleet</x:v>
      </x:c>
      <x:c r="G428" s="12" t="str">
        <x:v>Contacted</x:v>
      </x:c>
      <x:c r="H428" s="34" t="n">
        <x:v>0.15</x:v>
      </x:c>
      <x:c r="I428" s="12" t="n">
        <x:v>0.64</x:v>
      </x:c>
      <x:c r="J428" s="12" t="n">
        <x:v>6</x:v>
      </x:c>
      <x:c r="K428" s="12" t="str">
        <x:v>Sales A</x:v>
      </x:c>
      <x:c r="L428" s="12" t="str">
        <x:v>Hot</x:v>
      </x:c>
    </x:row>
    <x:row r="429">
      <x:c r="A429" s="12" t="str">
        <x:v>LEAD-00428</x:v>
      </x:c>
      <x:c r="B429" s="18" t="n">
        <x:v>46210</x:v>
      </x:c>
      <x:c r="C429" s="12" t="str">
        <x:v>DLR-020</x:v>
      </x:c>
      <x:c r="D429" s="12" t="str">
        <x:v>Wuling HTA Long Biên</x:v>
      </x:c>
      <x:c r="E429" s="12" t="str">
        <x:v>Wuling</x:v>
      </x:c>
      <x:c r="F429" s="12" t="str">
        <x:v>Event</x:v>
      </x:c>
      <x:c r="G429" s="12" t="str">
        <x:v>New</x:v>
      </x:c>
      <x:c r="H429" s="34" t="n">
        <x:v>0.08</x:v>
      </x:c>
      <x:c r="I429" s="12" t="n">
        <x:v>1.26</x:v>
      </x:c>
      <x:c r="J429" s="12" t="n">
        <x:v>15</x:v>
      </x:c>
      <x:c r="K429" s="12" t="str">
        <x:v>Sales D</x:v>
      </x:c>
      <x:c r="L429" s="12" t="str">
        <x:v>Hot</x:v>
      </x:c>
    </x:row>
    <x:row r="430">
      <x:c r="A430" s="12" t="str">
        <x:v>LEAD-00429</x:v>
      </x:c>
      <x:c r="B430" s="18" t="n">
        <x:v>46216</x:v>
      </x:c>
      <x:c r="C430" s="12" t="str">
        <x:v>DLR-002</x:v>
      </x:c>
      <x:c r="D430" s="12" t="str">
        <x:v>Hà Thành Ford - Mỹ Đình</x:v>
      </x:c>
      <x:c r="E430" s="12" t="str">
        <x:v>Ford</x:v>
      </x:c>
      <x:c r="F430" s="12" t="str">
        <x:v>Corporate/Fleet</x:v>
      </x:c>
      <x:c r="G430" s="12" t="str">
        <x:v>Negotiation</x:v>
      </x:c>
      <x:c r="H430" s="34" t="n">
        <x:v>0.7</x:v>
      </x:c>
      <x:c r="I430" s="12" t="n">
        <x:v>0.48</x:v>
      </x:c>
      <x:c r="J430" s="12" t="n">
        <x:v>9</x:v>
      </x:c>
      <x:c r="K430" s="12" t="str">
        <x:v>Sales C</x:v>
      </x:c>
      <x:c r="L430" s="12" t="str">
        <x:v>Priority</x:v>
      </x:c>
    </x:row>
    <x:row r="431">
      <x:c r="A431" s="12" t="str">
        <x:v>LEAD-00430</x:v>
      </x:c>
      <x:c r="B431" s="18" t="n">
        <x:v>46225</x:v>
      </x:c>
      <x:c r="C431" s="12" t="str">
        <x:v>DLR-004</x:v>
      </x:c>
      <x:c r="D431" s="12" t="str">
        <x:v>Việt Trì Ford</x:v>
      </x:c>
      <x:c r="E431" s="12" t="str">
        <x:v>Ford</x:v>
      </x:c>
      <x:c r="F431" s="12" t="str">
        <x:v>Referral</x:v>
      </x:c>
      <x:c r="G431" s="12" t="str">
        <x:v>Qualified</x:v>
      </x:c>
      <x:c r="H431" s="34" t="n">
        <x:v>0.3</x:v>
      </x:c>
      <x:c r="I431" s="12" t="n">
        <x:v>1.02</x:v>
      </x:c>
      <x:c r="J431" s="12" t="n">
        <x:v>0</x:v>
      </x:c>
      <x:c r="K431" s="12" t="str">
        <x:v>Sales A</x:v>
      </x:c>
      <x:c r="L431" s="12" t="str">
        <x:v>Normal</x:v>
      </x:c>
    </x:row>
    <x:row r="432">
      <x:c r="A432" s="12" t="str">
        <x:v>LEAD-00431</x:v>
      </x:c>
      <x:c r="B432" s="18" t="n">
        <x:v>46212</x:v>
      </x:c>
      <x:c r="C432" s="12" t="str">
        <x:v>DLR-017</x:v>
      </x:c>
      <x:c r="D432" s="12" t="str">
        <x:v>VinFast Quốc Oai</x:v>
      </x:c>
      <x:c r="E432" s="12" t="str">
        <x:v>VinFast</x:v>
      </x:c>
      <x:c r="F432" s="12" t="str">
        <x:v>Event</x:v>
      </x:c>
      <x:c r="G432" s="12" t="str">
        <x:v>Negotiation</x:v>
      </x:c>
      <x:c r="H432" s="34" t="n">
        <x:v>0.7</x:v>
      </x:c>
      <x:c r="I432" s="12" t="n">
        <x:v>1.01</x:v>
      </x:c>
      <x:c r="J432" s="12" t="n">
        <x:v>13</x:v>
      </x:c>
      <x:c r="K432" s="12" t="str">
        <x:v>Sales C</x:v>
      </x:c>
      <x:c r="L432" s="12" t="str">
        <x:v>Hot</x:v>
      </x:c>
    </x:row>
    <x:row r="433">
      <x:c r="A433" s="12" t="str">
        <x:v>LEAD-00432</x:v>
      </x:c>
      <x:c r="B433" s="18" t="n">
        <x:v>46220</x:v>
      </x:c>
      <x:c r="C433" s="12" t="str">
        <x:v>DLR-014</x:v>
      </x:c>
      <x:c r="D433" s="12" t="str">
        <x:v>VinFast HTA Nam Từ Liêm</x:v>
      </x:c>
      <x:c r="E433" s="12" t="str">
        <x:v>VinFast</x:v>
      </x:c>
      <x:c r="F433" s="12" t="str">
        <x:v>Digital</x:v>
      </x:c>
      <x:c r="G433" s="12" t="str">
        <x:v>Lost</x:v>
      </x:c>
      <x:c r="H433" s="34" t="n">
        <x:v>0</x:v>
      </x:c>
      <x:c r="I433" s="12" t="n">
        <x:v>1.41</x:v>
      </x:c>
      <x:c r="J433" s="12" t="n">
        <x:v>5</x:v>
      </x:c>
      <x:c r="K433" s="12" t="str">
        <x:v>Sales C</x:v>
      </x:c>
      <x:c r="L433" s="12" t="str">
        <x:v>Hot</x:v>
      </x:c>
    </x:row>
    <x:row r="434">
      <x:c r="A434" s="12" t="str">
        <x:v>LEAD-00433</x:v>
      </x:c>
      <x:c r="B434" s="18" t="n">
        <x:v>46220</x:v>
      </x:c>
      <x:c r="C434" s="12" t="str">
        <x:v>DLR-001</x:v>
      </x:c>
      <x:c r="D434" s="12" t="str">
        <x:v>Hà Thành Ford</x:v>
      </x:c>
      <x:c r="E434" s="12" t="str">
        <x:v>Ford</x:v>
      </x:c>
      <x:c r="F434" s="12" t="str">
        <x:v>Event</x:v>
      </x:c>
      <x:c r="G434" s="12" t="str">
        <x:v>New</x:v>
      </x:c>
      <x:c r="H434" s="34" t="n">
        <x:v>0.08</x:v>
      </x:c>
      <x:c r="I434" s="12" t="n">
        <x:v>0.91</x:v>
      </x:c>
      <x:c r="J434" s="12" t="n">
        <x:v>5</x:v>
      </x:c>
      <x:c r="K434" s="12" t="str">
        <x:v>Sales B</x:v>
      </x:c>
      <x:c r="L434" s="12" t="str">
        <x:v>Hot</x:v>
      </x:c>
    </x:row>
    <x:row r="435">
      <x:c r="A435" s="12" t="str">
        <x:v>LEAD-00434</x:v>
      </x:c>
      <x:c r="B435" s="18" t="n">
        <x:v>46224</x:v>
      </x:c>
      <x:c r="C435" s="12" t="str">
        <x:v>DLR-008</x:v>
      </x:c>
      <x:c r="D435" s="12" t="str">
        <x:v>VinFast HTA Nguyễn Văn Linh</x:v>
      </x:c>
      <x:c r="E435" s="12" t="str">
        <x:v>VinFast</x:v>
      </x:c>
      <x:c r="F435" s="12" t="str">
        <x:v>Event</x:v>
      </x:c>
      <x:c r="G435" s="12" t="str">
        <x:v>Order</x:v>
      </x:c>
      <x:c r="H435" s="34" t="n">
        <x:v>0.95</x:v>
      </x:c>
      <x:c r="I435" s="12" t="n">
        <x:v>0.55</x:v>
      </x:c>
      <x:c r="J435" s="12" t="n">
        <x:v>1</x:v>
      </x:c>
      <x:c r="K435" s="12" t="str">
        <x:v>Sales D</x:v>
      </x:c>
      <x:c r="L435" s="12" t="str">
        <x:v>Normal</x:v>
      </x:c>
    </x:row>
    <x:row r="436">
      <x:c r="A436" s="12" t="str">
        <x:v>LEAD-00435</x:v>
      </x:c>
      <x:c r="B436" s="18" t="n">
        <x:v>46209</x:v>
      </x:c>
      <x:c r="C436" s="12" t="str">
        <x:v>DLR-003</x:v>
      </x:c>
      <x:c r="D436" s="12" t="str">
        <x:v>Mỹ Đình Ford</x:v>
      </x:c>
      <x:c r="E436" s="12" t="str">
        <x:v>Ford</x:v>
      </x:c>
      <x:c r="F436" s="12" t="str">
        <x:v>Digital</x:v>
      </x:c>
      <x:c r="G436" s="12" t="str">
        <x:v>Contacted</x:v>
      </x:c>
      <x:c r="H436" s="34" t="n">
        <x:v>0.15</x:v>
      </x:c>
      <x:c r="I436" s="12" t="n">
        <x:v>0.89</x:v>
      </x:c>
      <x:c r="J436" s="12" t="n">
        <x:v>16</x:v>
      </x:c>
      <x:c r="K436" s="12" t="str">
        <x:v>Sales D</x:v>
      </x:c>
      <x:c r="L436" s="12" t="str">
        <x:v>Normal</x:v>
      </x:c>
    </x:row>
    <x:row r="437">
      <x:c r="A437" s="12" t="str">
        <x:v>LEAD-00436</x:v>
      </x:c>
      <x:c r="B437" s="18" t="n">
        <x:v>46209</x:v>
      </x:c>
      <x:c r="C437" s="12" t="str">
        <x:v>DLR-011</x:v>
      </x:c>
      <x:c r="D437" s="12" t="str">
        <x:v>VinFast HTA Phạm Văn Đồng</x:v>
      </x:c>
      <x:c r="E437" s="12" t="str">
        <x:v>VinFast</x:v>
      </x:c>
      <x:c r="F437" s="12" t="str">
        <x:v>Digital</x:v>
      </x:c>
      <x:c r="G437" s="12" t="str">
        <x:v>Contacted</x:v>
      </x:c>
      <x:c r="H437" s="34" t="n">
        <x:v>0.15</x:v>
      </x:c>
      <x:c r="I437" s="12" t="n">
        <x:v>1.09</x:v>
      </x:c>
      <x:c r="J437" s="12" t="n">
        <x:v>16</x:v>
      </x:c>
      <x:c r="K437" s="12" t="str">
        <x:v>Sales D</x:v>
      </x:c>
      <x:c r="L437" s="12" t="str">
        <x:v>Hot</x:v>
      </x:c>
    </x:row>
    <x:row r="438">
      <x:c r="A438" s="12" t="str">
        <x:v>LEAD-00437</x:v>
      </x:c>
      <x:c r="B438" s="18" t="n">
        <x:v>46217</x:v>
      </x:c>
      <x:c r="C438" s="12" t="str">
        <x:v>DLR-014</x:v>
      </x:c>
      <x:c r="D438" s="12" t="str">
        <x:v>VinFast HTA Nam Từ Liêm</x:v>
      </x:c>
      <x:c r="E438" s="12" t="str">
        <x:v>VinFast</x:v>
      </x:c>
      <x:c r="F438" s="12" t="str">
        <x:v>Referral</x:v>
      </x:c>
      <x:c r="G438" s="12" t="str">
        <x:v>Contacted</x:v>
      </x:c>
      <x:c r="H438" s="34" t="n">
        <x:v>0.15</x:v>
      </x:c>
      <x:c r="I438" s="12" t="n">
        <x:v>0.41</x:v>
      </x:c>
      <x:c r="J438" s="12" t="n">
        <x:v>8</x:v>
      </x:c>
      <x:c r="K438" s="12" t="str">
        <x:v>Sales C</x:v>
      </x:c>
      <x:c r="L438" s="12" t="str">
        <x:v>Priority</x:v>
      </x:c>
    </x:row>
    <x:row r="439">
      <x:c r="A439" s="12" t="str">
        <x:v>LEAD-00438</x:v>
      </x:c>
      <x:c r="B439" s="18" t="n">
        <x:v>46212</x:v>
      </x:c>
      <x:c r="C439" s="12" t="str">
        <x:v>DLR-006</x:v>
      </x:c>
      <x:c r="D439" s="12" t="str">
        <x:v>BYD HTA Hoàn Kiếm</x:v>
      </x:c>
      <x:c r="E439" s="12" t="str">
        <x:v>BYD</x:v>
      </x:c>
      <x:c r="F439" s="12" t="str">
        <x:v>Digital</x:v>
      </x:c>
      <x:c r="G439" s="12" t="str">
        <x:v>Contacted</x:v>
      </x:c>
      <x:c r="H439" s="34" t="n">
        <x:v>0.15</x:v>
      </x:c>
      <x:c r="I439" s="12" t="n">
        <x:v>0.88</x:v>
      </x:c>
      <x:c r="J439" s="12" t="n">
        <x:v>13</x:v>
      </x:c>
      <x:c r="K439" s="12" t="str">
        <x:v>Sales C</x:v>
      </x:c>
      <x:c r="L439" s="12" t="str">
        <x:v>Priority</x:v>
      </x:c>
    </x:row>
    <x:row r="440">
      <x:c r="A440" s="12" t="str">
        <x:v>LEAD-00439</x:v>
      </x:c>
      <x:c r="B440" s="18" t="n">
        <x:v>46211</x:v>
      </x:c>
      <x:c r="C440" s="12" t="str">
        <x:v>DLR-020</x:v>
      </x:c>
      <x:c r="D440" s="12" t="str">
        <x:v>Wuling HTA Long Biên</x:v>
      </x:c>
      <x:c r="E440" s="12" t="str">
        <x:v>Wuling</x:v>
      </x:c>
      <x:c r="F440" s="12" t="str">
        <x:v>Corporate/Fleet</x:v>
      </x:c>
      <x:c r="G440" s="12" t="str">
        <x:v>New</x:v>
      </x:c>
      <x:c r="H440" s="34" t="n">
        <x:v>0.08</x:v>
      </x:c>
      <x:c r="I440" s="12" t="n">
        <x:v>1.14</x:v>
      </x:c>
      <x:c r="J440" s="12" t="n">
        <x:v>14</x:v>
      </x:c>
      <x:c r="K440" s="12" t="str">
        <x:v>Sales B</x:v>
      </x:c>
      <x:c r="L440" s="12" t="str">
        <x:v>Priority</x:v>
      </x:c>
    </x:row>
    <x:row r="441">
      <x:c r="A441" s="12" t="str">
        <x:v>LEAD-00440</x:v>
      </x:c>
      <x:c r="B441" s="18" t="n">
        <x:v>46214</x:v>
      </x:c>
      <x:c r="C441" s="12" t="str">
        <x:v>DLR-006</x:v>
      </x:c>
      <x:c r="D441" s="12" t="str">
        <x:v>BYD HTA Hoàn Kiếm</x:v>
      </x:c>
      <x:c r="E441" s="12" t="str">
        <x:v>BYD</x:v>
      </x:c>
      <x:c r="F441" s="12" t="str">
        <x:v>Referral</x:v>
      </x:c>
      <x:c r="G441" s="12" t="str">
        <x:v>Negotiation</x:v>
      </x:c>
      <x:c r="H441" s="34" t="n">
        <x:v>0.7</x:v>
      </x:c>
      <x:c r="I441" s="12" t="n">
        <x:v>0.34</x:v>
      </x:c>
      <x:c r="J441" s="12" t="n">
        <x:v>11</x:v>
      </x:c>
      <x:c r="K441" s="12" t="str">
        <x:v>Sales B</x:v>
      </x:c>
      <x:c r="L441" s="12" t="str">
        <x:v>Normal</x:v>
      </x:c>
    </x:row>
    <x:row r="442">
      <x:c r="A442" s="12" t="str">
        <x:v>LEAD-00441</x:v>
      </x:c>
      <x:c r="B442" s="18" t="n">
        <x:v>46220</x:v>
      </x:c>
      <x:c r="C442" s="12" t="str">
        <x:v>DLR-001</x:v>
      </x:c>
      <x:c r="D442" s="12" t="str">
        <x:v>Hà Thành Ford</x:v>
      </x:c>
      <x:c r="E442" s="12" t="str">
        <x:v>Ford</x:v>
      </x:c>
      <x:c r="F442" s="12" t="str">
        <x:v>Digital</x:v>
      </x:c>
      <x:c r="G442" s="12" t="str">
        <x:v>Qualified</x:v>
      </x:c>
      <x:c r="H442" s="34" t="n">
        <x:v>0.3</x:v>
      </x:c>
      <x:c r="I442" s="12" t="n">
        <x:v>1.08</x:v>
      </x:c>
      <x:c r="J442" s="12" t="n">
        <x:v>5</x:v>
      </x:c>
      <x:c r="K442" s="12" t="str">
        <x:v>Sales C</x:v>
      </x:c>
      <x:c r="L442" s="12" t="str">
        <x:v>Normal</x:v>
      </x:c>
    </x:row>
    <x:row r="443">
      <x:c r="A443" s="12" t="str">
        <x:v>LEAD-00442</x:v>
      </x:c>
      <x:c r="B443" s="18" t="n">
        <x:v>46213</x:v>
      </x:c>
      <x:c r="C443" s="12" t="str">
        <x:v>DLR-007</x:v>
      </x:c>
      <x:c r="D443" s="12" t="str">
        <x:v>BYD Hà Đông</x:v>
      </x:c>
      <x:c r="E443" s="12" t="str">
        <x:v>BYD</x:v>
      </x:c>
      <x:c r="F443" s="12" t="str">
        <x:v>Corporate/Fleet</x:v>
      </x:c>
      <x:c r="G443" s="12" t="str">
        <x:v>Contacted</x:v>
      </x:c>
      <x:c r="H443" s="34" t="n">
        <x:v>0.15</x:v>
      </x:c>
      <x:c r="I443" s="12" t="n">
        <x:v>0.82</x:v>
      </x:c>
      <x:c r="J443" s="12" t="n">
        <x:v>12</x:v>
      </x:c>
      <x:c r="K443" s="12" t="str">
        <x:v>Sales D</x:v>
      </x:c>
      <x:c r="L443" s="12" t="str">
        <x:v>Priority</x:v>
      </x:c>
    </x:row>
    <x:row r="444">
      <x:c r="A444" s="12" t="str">
        <x:v>LEAD-00443</x:v>
      </x:c>
      <x:c r="B444" s="18" t="n">
        <x:v>46208</x:v>
      </x:c>
      <x:c r="C444" s="12" t="str">
        <x:v>DLR-012</x:v>
      </x:c>
      <x:c r="D444" s="12" t="str">
        <x:v>VinFast HTA Võ Chí Công</x:v>
      </x:c>
      <x:c r="E444" s="12" t="str">
        <x:v>VinFast</x:v>
      </x:c>
      <x:c r="F444" s="12" t="str">
        <x:v>Digital</x:v>
      </x:c>
      <x:c r="G444" s="12" t="str">
        <x:v>New</x:v>
      </x:c>
      <x:c r="H444" s="34" t="n">
        <x:v>0.08</x:v>
      </x:c>
      <x:c r="I444" s="12" t="n">
        <x:v>0.53</x:v>
      </x:c>
      <x:c r="J444" s="12" t="n">
        <x:v>17</x:v>
      </x:c>
      <x:c r="K444" s="12" t="str">
        <x:v>Sales D</x:v>
      </x:c>
      <x:c r="L444" s="12" t="str">
        <x:v>Priority</x:v>
      </x:c>
    </x:row>
    <x:row r="445">
      <x:c r="A445" s="12" t="str">
        <x:v>LEAD-00444</x:v>
      </x:c>
      <x:c r="B445" s="18" t="n">
        <x:v>46214</x:v>
      </x:c>
      <x:c r="C445" s="12" t="str">
        <x:v>DLR-020</x:v>
      </x:c>
      <x:c r="D445" s="12" t="str">
        <x:v>Wuling HTA Long Biên</x:v>
      </x:c>
      <x:c r="E445" s="12" t="str">
        <x:v>Wuling</x:v>
      </x:c>
      <x:c r="F445" s="12" t="str">
        <x:v>Walk-in</x:v>
      </x:c>
      <x:c r="G445" s="12" t="str">
        <x:v>Contacted</x:v>
      </x:c>
      <x:c r="H445" s="34" t="n">
        <x:v>0.15</x:v>
      </x:c>
      <x:c r="I445" s="12" t="n">
        <x:v>0.81</x:v>
      </x:c>
      <x:c r="J445" s="12" t="n">
        <x:v>11</x:v>
      </x:c>
      <x:c r="K445" s="12" t="str">
        <x:v>Sales C</x:v>
      </x:c>
      <x:c r="L445" s="12" t="str">
        <x:v>Normal</x:v>
      </x:c>
    </x:row>
    <x:row r="446">
      <x:c r="A446" s="12" t="str">
        <x:v>LEAD-00445</x:v>
      </x:c>
      <x:c r="B446" s="18" t="n">
        <x:v>46210</x:v>
      </x:c>
      <x:c r="C446" s="12" t="str">
        <x:v>DLR-013</x:v>
      </x:c>
      <x:c r="D446" s="12" t="str">
        <x:v>VinFast HTA Ninh Bình</x:v>
      </x:c>
      <x:c r="E446" s="12" t="str">
        <x:v>VinFast</x:v>
      </x:c>
      <x:c r="F446" s="12" t="str">
        <x:v>Walk-in</x:v>
      </x:c>
      <x:c r="G446" s="12" t="str">
        <x:v>Order</x:v>
      </x:c>
      <x:c r="H446" s="34" t="n">
        <x:v>0.95</x:v>
      </x:c>
      <x:c r="I446" s="12" t="n">
        <x:v>0.64</x:v>
      </x:c>
      <x:c r="J446" s="12" t="n">
        <x:v>15</x:v>
      </x:c>
      <x:c r="K446" s="12" t="str">
        <x:v>Sales B</x:v>
      </x:c>
      <x:c r="L446" s="12" t="str">
        <x:v>Priority</x:v>
      </x:c>
    </x:row>
    <x:row r="447">
      <x:c r="A447" s="12" t="str">
        <x:v>LEAD-00446</x:v>
      </x:c>
      <x:c r="B447" s="18" t="n">
        <x:v>46204</x:v>
      </x:c>
      <x:c r="C447" s="12" t="str">
        <x:v>DLR-019</x:v>
      </x:c>
      <x:c r="D447" s="12" t="str">
        <x:v>OMODA &amp; JAECOO HTA Việt Trì</x:v>
      </x:c>
      <x:c r="E447" s="12" t="str">
        <x:v>OMODA &amp; JAECOO</x:v>
      </x:c>
      <x:c r="F447" s="12" t="str">
        <x:v>Walk-in</x:v>
      </x:c>
      <x:c r="G447" s="12" t="str">
        <x:v>Negotiation</x:v>
      </x:c>
      <x:c r="H447" s="34" t="n">
        <x:v>0.7</x:v>
      </x:c>
      <x:c r="I447" s="12" t="n">
        <x:v>0.36</x:v>
      </x:c>
      <x:c r="J447" s="12" t="n">
        <x:v>21</x:v>
      </x:c>
      <x:c r="K447" s="12" t="str">
        <x:v>Sales C</x:v>
      </x:c>
      <x:c r="L447" s="12" t="str">
        <x:v>Priority</x:v>
      </x:c>
    </x:row>
    <x:row r="448">
      <x:c r="A448" s="12" t="str">
        <x:v>LEAD-00447</x:v>
      </x:c>
      <x:c r="B448" s="18" t="n">
        <x:v>46220</x:v>
      </x:c>
      <x:c r="C448" s="12" t="str">
        <x:v>DLR-010</x:v>
      </x:c>
      <x:c r="D448" s="12" t="str">
        <x:v>VinFast HTA Đàm Quang Trung</x:v>
      </x:c>
      <x:c r="E448" s="12" t="str">
        <x:v>VinFast</x:v>
      </x:c>
      <x:c r="F448" s="12" t="str">
        <x:v>Digital</x:v>
      </x:c>
      <x:c r="G448" s="12" t="str">
        <x:v>Order</x:v>
      </x:c>
      <x:c r="H448" s="34" t="n">
        <x:v>0.95</x:v>
      </x:c>
      <x:c r="I448" s="12" t="n">
        <x:v>0.88</x:v>
      </x:c>
      <x:c r="J448" s="12" t="n">
        <x:v>5</x:v>
      </x:c>
      <x:c r="K448" s="12" t="str">
        <x:v>Sales B</x:v>
      </x:c>
      <x:c r="L448" s="12" t="str">
        <x:v>Priority</x:v>
      </x:c>
    </x:row>
    <x:row r="449">
      <x:c r="A449" s="12" t="str">
        <x:v>LEAD-00448</x:v>
      </x:c>
      <x:c r="B449" s="18" t="n">
        <x:v>46222</x:v>
      </x:c>
      <x:c r="C449" s="12" t="str">
        <x:v>DLR-019</x:v>
      </x:c>
      <x:c r="D449" s="12" t="str">
        <x:v>OMODA &amp; JAECOO HTA Việt Trì</x:v>
      </x:c>
      <x:c r="E449" s="12" t="str">
        <x:v>OMODA &amp; JAECOO</x:v>
      </x:c>
      <x:c r="F449" s="12" t="str">
        <x:v>Referral</x:v>
      </x:c>
      <x:c r="G449" s="12" t="str">
        <x:v>Test Drive</x:v>
      </x:c>
      <x:c r="H449" s="34" t="n">
        <x:v>0.5</x:v>
      </x:c>
      <x:c r="I449" s="12" t="n">
        <x:v>1.44</x:v>
      </x:c>
      <x:c r="J449" s="12" t="n">
        <x:v>3</x:v>
      </x:c>
      <x:c r="K449" s="12" t="str">
        <x:v>Sales D</x:v>
      </x:c>
      <x:c r="L449" s="12" t="str">
        <x:v>Hot</x:v>
      </x:c>
    </x:row>
    <x:row r="450">
      <x:c r="A450" s="12" t="str">
        <x:v>LEAD-00449</x:v>
      </x:c>
      <x:c r="B450" s="18" t="n">
        <x:v>46213</x:v>
      </x:c>
      <x:c r="C450" s="12" t="str">
        <x:v>DLR-006</x:v>
      </x:c>
      <x:c r="D450" s="12" t="str">
        <x:v>BYD HTA Hoàn Kiếm</x:v>
      </x:c>
      <x:c r="E450" s="12" t="str">
        <x:v>BYD</x:v>
      </x:c>
      <x:c r="F450" s="12" t="str">
        <x:v>Walk-in</x:v>
      </x:c>
      <x:c r="G450" s="12" t="str">
        <x:v>Order</x:v>
      </x:c>
      <x:c r="H450" s="34" t="n">
        <x:v>0.95</x:v>
      </x:c>
      <x:c r="I450" s="12" t="n">
        <x:v>0.99</x:v>
      </x:c>
      <x:c r="J450" s="12" t="n">
        <x:v>12</x:v>
      </x:c>
      <x:c r="K450" s="12" t="str">
        <x:v>Sales C</x:v>
      </x:c>
      <x:c r="L450" s="12" t="str">
        <x:v>Priority</x:v>
      </x:c>
    </x:row>
    <x:row r="451">
      <x:c r="A451" s="12" t="str">
        <x:v>LEAD-00450</x:v>
      </x:c>
      <x:c r="B451" s="18" t="n">
        <x:v>46208</x:v>
      </x:c>
      <x:c r="C451" s="12" t="str">
        <x:v>DLR-019</x:v>
      </x:c>
      <x:c r="D451" s="12" t="str">
        <x:v>OMODA &amp; JAECOO HTA Việt Trì</x:v>
      </x:c>
      <x:c r="E451" s="12" t="str">
        <x:v>OMODA &amp; JAECOO</x:v>
      </x:c>
      <x:c r="F451" s="12" t="str">
        <x:v>Corporate/Fleet</x:v>
      </x:c>
      <x:c r="G451" s="12" t="str">
        <x:v>Contacted</x:v>
      </x:c>
      <x:c r="H451" s="34" t="n">
        <x:v>0.15</x:v>
      </x:c>
      <x:c r="I451" s="12" t="n">
        <x:v>0.39</x:v>
      </x:c>
      <x:c r="J451" s="12" t="n">
        <x:v>17</x:v>
      </x:c>
      <x:c r="K451" s="12" t="str">
        <x:v>Sales B</x:v>
      </x:c>
      <x:c r="L451" s="12" t="str">
        <x:v>Priority</x:v>
      </x:c>
    </x:row>
    <x:row r="452">
      <x:c r="A452" s="12" t="str">
        <x:v>LEAD-00451</x:v>
      </x:c>
      <x:c r="B452" s="18" t="n">
        <x:v>46219</x:v>
      </x:c>
      <x:c r="C452" s="12" t="str">
        <x:v>DLR-004</x:v>
      </x:c>
      <x:c r="D452" s="12" t="str">
        <x:v>Việt Trì Ford</x:v>
      </x:c>
      <x:c r="E452" s="12" t="str">
        <x:v>Ford</x:v>
      </x:c>
      <x:c r="F452" s="12" t="str">
        <x:v>Corporate/Fleet</x:v>
      </x:c>
      <x:c r="G452" s="12" t="str">
        <x:v>Negotiation</x:v>
      </x:c>
      <x:c r="H452" s="34" t="n">
        <x:v>0.7</x:v>
      </x:c>
      <x:c r="I452" s="12" t="n">
        <x:v>0.33</x:v>
      </x:c>
      <x:c r="J452" s="12" t="n">
        <x:v>6</x:v>
      </x:c>
      <x:c r="K452" s="12" t="str">
        <x:v>Sales B</x:v>
      </x:c>
      <x:c r="L452" s="12" t="str">
        <x:v>Hot</x:v>
      </x:c>
    </x:row>
    <x:row r="453">
      <x:c r="A453" s="12" t="str">
        <x:v>LEAD-00452</x:v>
      </x:c>
      <x:c r="B453" s="18" t="n">
        <x:v>46222</x:v>
      </x:c>
      <x:c r="C453" s="12" t="str">
        <x:v>DLR-010</x:v>
      </x:c>
      <x:c r="D453" s="12" t="str">
        <x:v>VinFast HTA Đàm Quang Trung</x:v>
      </x:c>
      <x:c r="E453" s="12" t="str">
        <x:v>VinFast</x:v>
      </x:c>
      <x:c r="F453" s="12" t="str">
        <x:v>Corporate/Fleet</x:v>
      </x:c>
      <x:c r="G453" s="12" t="str">
        <x:v>Contacted</x:v>
      </x:c>
      <x:c r="H453" s="34" t="n">
        <x:v>0.15</x:v>
      </x:c>
      <x:c r="I453" s="12" t="n">
        <x:v>1.36</x:v>
      </x:c>
      <x:c r="J453" s="12" t="n">
        <x:v>3</x:v>
      </x:c>
      <x:c r="K453" s="12" t="str">
        <x:v>Sales B</x:v>
      </x:c>
      <x:c r="L453" s="12" t="str">
        <x:v>Hot</x:v>
      </x:c>
    </x:row>
    <x:row r="454">
      <x:c r="A454" s="12" t="str">
        <x:v>LEAD-00453</x:v>
      </x:c>
      <x:c r="B454" s="18" t="n">
        <x:v>46215</x:v>
      </x:c>
      <x:c r="C454" s="12" t="str">
        <x:v>DLR-007</x:v>
      </x:c>
      <x:c r="D454" s="12" t="str">
        <x:v>BYD Hà Đông</x:v>
      </x:c>
      <x:c r="E454" s="12" t="str">
        <x:v>BYD</x:v>
      </x:c>
      <x:c r="F454" s="12" t="str">
        <x:v>Digital</x:v>
      </x:c>
      <x:c r="G454" s="12" t="str">
        <x:v>Test Drive</x:v>
      </x:c>
      <x:c r="H454" s="34" t="n">
        <x:v>0.5</x:v>
      </x:c>
      <x:c r="I454" s="12" t="n">
        <x:v>1.33</x:v>
      </x:c>
      <x:c r="J454" s="12" t="n">
        <x:v>10</x:v>
      </x:c>
      <x:c r="K454" s="12" t="str">
        <x:v>Sales C</x:v>
      </x:c>
      <x:c r="L454" s="12" t="str">
        <x:v>Normal</x:v>
      </x:c>
    </x:row>
    <x:row r="455">
      <x:c r="A455" s="12" t="str">
        <x:v>LEAD-00454</x:v>
      </x:c>
      <x:c r="B455" s="18" t="n">
        <x:v>46224</x:v>
      </x:c>
      <x:c r="C455" s="12" t="str">
        <x:v>DLR-017</x:v>
      </x:c>
      <x:c r="D455" s="12" t="str">
        <x:v>VinFast Quốc Oai</x:v>
      </x:c>
      <x:c r="E455" s="12" t="str">
        <x:v>VinFast</x:v>
      </x:c>
      <x:c r="F455" s="12" t="str">
        <x:v>Digital</x:v>
      </x:c>
      <x:c r="G455" s="12" t="str">
        <x:v>Qualified</x:v>
      </x:c>
      <x:c r="H455" s="34" t="n">
        <x:v>0.3</x:v>
      </x:c>
      <x:c r="I455" s="12" t="n">
        <x:v>1.42</x:v>
      </x:c>
      <x:c r="J455" s="12" t="n">
        <x:v>1</x:v>
      </x:c>
      <x:c r="K455" s="12" t="str">
        <x:v>Sales B</x:v>
      </x:c>
      <x:c r="L455" s="12" t="str">
        <x:v>Hot</x:v>
      </x:c>
    </x:row>
    <x:row r="456">
      <x:c r="A456" s="12" t="str">
        <x:v>LEAD-00455</x:v>
      </x:c>
      <x:c r="B456" s="18" t="n">
        <x:v>46224</x:v>
      </x:c>
      <x:c r="C456" s="12" t="str">
        <x:v>DLR-016</x:v>
      </x:c>
      <x:c r="D456" s="12" t="str">
        <x:v>VinFast HTA Mỹ Đình</x:v>
      </x:c>
      <x:c r="E456" s="12" t="str">
        <x:v>VinFast</x:v>
      </x:c>
      <x:c r="F456" s="12" t="str">
        <x:v>Digital</x:v>
      </x:c>
      <x:c r="G456" s="12" t="str">
        <x:v>Lost</x:v>
      </x:c>
      <x:c r="H456" s="34" t="n">
        <x:v>0</x:v>
      </x:c>
      <x:c r="I456" s="12" t="n">
        <x:v>0.51</x:v>
      </x:c>
      <x:c r="J456" s="12" t="n">
        <x:v>1</x:v>
      </x:c>
      <x:c r="K456" s="12" t="str">
        <x:v>Sales A</x:v>
      </x:c>
      <x:c r="L456" s="12" t="str">
        <x:v>Priority</x:v>
      </x:c>
    </x:row>
    <x:row r="457">
      <x:c r="A457" s="12" t="str">
        <x:v>LEAD-00456</x:v>
      </x:c>
      <x:c r="B457" s="18" t="n">
        <x:v>46212</x:v>
      </x:c>
      <x:c r="C457" s="12" t="str">
        <x:v>DLR-019</x:v>
      </x:c>
      <x:c r="D457" s="12" t="str">
        <x:v>OMODA &amp; JAECOO HTA Việt Trì</x:v>
      </x:c>
      <x:c r="E457" s="12" t="str">
        <x:v>OMODA &amp; JAECOO</x:v>
      </x:c>
      <x:c r="F457" s="12" t="str">
        <x:v>Event</x:v>
      </x:c>
      <x:c r="G457" s="12" t="str">
        <x:v>Negotiation</x:v>
      </x:c>
      <x:c r="H457" s="34" t="n">
        <x:v>0.7</x:v>
      </x:c>
      <x:c r="I457" s="12" t="n">
        <x:v>1.03</x:v>
      </x:c>
      <x:c r="J457" s="12" t="n">
        <x:v>13</x:v>
      </x:c>
      <x:c r="K457" s="12" t="str">
        <x:v>Sales A</x:v>
      </x:c>
      <x:c r="L457" s="12" t="str">
        <x:v>Priority</x:v>
      </x:c>
    </x:row>
    <x:row r="458">
      <x:c r="A458" s="12" t="str">
        <x:v>LEAD-00457</x:v>
      </x:c>
      <x:c r="B458" s="18" t="n">
        <x:v>46222</x:v>
      </x:c>
      <x:c r="C458" s="12" t="str">
        <x:v>DLR-015</x:v>
      </x:c>
      <x:c r="D458" s="12" t="str">
        <x:v>VinFast HTA Văn Phú</x:v>
      </x:c>
      <x:c r="E458" s="12" t="str">
        <x:v>VinFast</x:v>
      </x:c>
      <x:c r="F458" s="12" t="str">
        <x:v>Walk-in</x:v>
      </x:c>
      <x:c r="G458" s="12" t="str">
        <x:v>Negotiation</x:v>
      </x:c>
      <x:c r="H458" s="34" t="n">
        <x:v>0.7</x:v>
      </x:c>
      <x:c r="I458" s="12" t="n">
        <x:v>1.13</x:v>
      </x:c>
      <x:c r="J458" s="12" t="n">
        <x:v>3</x:v>
      </x:c>
      <x:c r="K458" s="12" t="str">
        <x:v>Sales C</x:v>
      </x:c>
      <x:c r="L458" s="12" t="str">
        <x:v>Hot</x:v>
      </x:c>
    </x:row>
    <x:row r="459">
      <x:c r="A459" s="12" t="str">
        <x:v>LEAD-00458</x:v>
      </x:c>
      <x:c r="B459" s="18" t="n">
        <x:v>46225</x:v>
      </x:c>
      <x:c r="C459" s="12" t="str">
        <x:v>DLR-013</x:v>
      </x:c>
      <x:c r="D459" s="12" t="str">
        <x:v>VinFast HTA Ninh Bình</x:v>
      </x:c>
      <x:c r="E459" s="12" t="str">
        <x:v>VinFast</x:v>
      </x:c>
      <x:c r="F459" s="12" t="str">
        <x:v>Event</x:v>
      </x:c>
      <x:c r="G459" s="12" t="str">
        <x:v>Test Drive</x:v>
      </x:c>
      <x:c r="H459" s="34" t="n">
        <x:v>0.5</x:v>
      </x:c>
      <x:c r="I459" s="12" t="n">
        <x:v>1.09</x:v>
      </x:c>
      <x:c r="J459" s="12" t="n">
        <x:v>0</x:v>
      </x:c>
      <x:c r="K459" s="12" t="str">
        <x:v>Sales D</x:v>
      </x:c>
      <x:c r="L459" s="12" t="str">
        <x:v>Hot</x:v>
      </x:c>
    </x:row>
    <x:row r="460">
      <x:c r="A460" s="12" t="str">
        <x:v>LEAD-00459</x:v>
      </x:c>
      <x:c r="B460" s="18" t="n">
        <x:v>46210</x:v>
      </x:c>
      <x:c r="C460" s="12" t="str">
        <x:v>DLR-012</x:v>
      </x:c>
      <x:c r="D460" s="12" t="str">
        <x:v>VinFast HTA Võ Chí Công</x:v>
      </x:c>
      <x:c r="E460" s="12" t="str">
        <x:v>VinFast</x:v>
      </x:c>
      <x:c r="F460" s="12" t="str">
        <x:v>Referral</x:v>
      </x:c>
      <x:c r="G460" s="12" t="str">
        <x:v>Negotiation</x:v>
      </x:c>
      <x:c r="H460" s="34" t="n">
        <x:v>0.7</x:v>
      </x:c>
      <x:c r="I460" s="12" t="n">
        <x:v>1.04</x:v>
      </x:c>
      <x:c r="J460" s="12" t="n">
        <x:v>15</x:v>
      </x:c>
      <x:c r="K460" s="12" t="str">
        <x:v>Sales B</x:v>
      </x:c>
      <x:c r="L460" s="12" t="str">
        <x:v>Priority</x:v>
      </x:c>
    </x:row>
    <x:row r="461">
      <x:c r="A461" s="12" t="str">
        <x:v>LEAD-00460</x:v>
      </x:c>
      <x:c r="B461" s="18" t="n">
        <x:v>46212</x:v>
      </x:c>
      <x:c r="C461" s="12" t="str">
        <x:v>DLR-011</x:v>
      </x:c>
      <x:c r="D461" s="12" t="str">
        <x:v>VinFast HTA Phạm Văn Đồng</x:v>
      </x:c>
      <x:c r="E461" s="12" t="str">
        <x:v>VinFast</x:v>
      </x:c>
      <x:c r="F461" s="12" t="str">
        <x:v>Corporate/Fleet</x:v>
      </x:c>
      <x:c r="G461" s="12" t="str">
        <x:v>Order</x:v>
      </x:c>
      <x:c r="H461" s="34" t="n">
        <x:v>0.95</x:v>
      </x:c>
      <x:c r="I461" s="12" t="n">
        <x:v>1.21</x:v>
      </x:c>
      <x:c r="J461" s="12" t="n">
        <x:v>13</x:v>
      </x:c>
      <x:c r="K461" s="12" t="str">
        <x:v>Sales D</x:v>
      </x:c>
      <x:c r="L461" s="12" t="str">
        <x:v>Normal</x:v>
      </x:c>
    </x:row>
    <x:row r="462">
      <x:c r="A462" s="12" t="str">
        <x:v>LEAD-00461</x:v>
      </x:c>
      <x:c r="B462" s="18" t="n">
        <x:v>46222</x:v>
      </x:c>
      <x:c r="C462" s="12" t="str">
        <x:v>DLR-002</x:v>
      </x:c>
      <x:c r="D462" s="12" t="str">
        <x:v>Hà Thành Ford - Mỹ Đình</x:v>
      </x:c>
      <x:c r="E462" s="12" t="str">
        <x:v>Ford</x:v>
      </x:c>
      <x:c r="F462" s="12" t="str">
        <x:v>Corporate/Fleet</x:v>
      </x:c>
      <x:c r="G462" s="12" t="str">
        <x:v>Order</x:v>
      </x:c>
      <x:c r="H462" s="34" t="n">
        <x:v>0.95</x:v>
      </x:c>
      <x:c r="I462" s="12" t="n">
        <x:v>0.82</x:v>
      </x:c>
      <x:c r="J462" s="12" t="n">
        <x:v>3</x:v>
      </x:c>
      <x:c r="K462" s="12" t="str">
        <x:v>Sales C</x:v>
      </x:c>
      <x:c r="L462" s="12" t="str">
        <x:v>Priority</x:v>
      </x:c>
    </x:row>
    <x:row r="463">
      <x:c r="A463" s="12" t="str">
        <x:v>LEAD-00462</x:v>
      </x:c>
      <x:c r="B463" s="18" t="n">
        <x:v>46207</x:v>
      </x:c>
      <x:c r="C463" s="12" t="str">
        <x:v>DLR-015</x:v>
      </x:c>
      <x:c r="D463" s="12" t="str">
        <x:v>VinFast HTA Văn Phú</x:v>
      </x:c>
      <x:c r="E463" s="12" t="str">
        <x:v>VinFast</x:v>
      </x:c>
      <x:c r="F463" s="12" t="str">
        <x:v>Corporate/Fleet</x:v>
      </x:c>
      <x:c r="G463" s="12" t="str">
        <x:v>Order</x:v>
      </x:c>
      <x:c r="H463" s="34" t="n">
        <x:v>0.95</x:v>
      </x:c>
      <x:c r="I463" s="12" t="n">
        <x:v>1.02</x:v>
      </x:c>
      <x:c r="J463" s="12" t="n">
        <x:v>18</x:v>
      </x:c>
      <x:c r="K463" s="12" t="str">
        <x:v>Sales A</x:v>
      </x:c>
      <x:c r="L463" s="12" t="str">
        <x:v>Priority</x:v>
      </x:c>
    </x:row>
    <x:row r="464">
      <x:c r="A464" s="12" t="str">
        <x:v>LEAD-00463</x:v>
      </x:c>
      <x:c r="B464" s="18" t="n">
        <x:v>46215</x:v>
      </x:c>
      <x:c r="C464" s="12" t="str">
        <x:v>DLR-014</x:v>
      </x:c>
      <x:c r="D464" s="12" t="str">
        <x:v>VinFast HTA Nam Từ Liêm</x:v>
      </x:c>
      <x:c r="E464" s="12" t="str">
        <x:v>VinFast</x:v>
      </x:c>
      <x:c r="F464" s="12" t="str">
        <x:v>Event</x:v>
      </x:c>
      <x:c r="G464" s="12" t="str">
        <x:v>Test Drive</x:v>
      </x:c>
      <x:c r="H464" s="34" t="n">
        <x:v>0.5</x:v>
      </x:c>
      <x:c r="I464" s="12" t="n">
        <x:v>1.37</x:v>
      </x:c>
      <x:c r="J464" s="12" t="n">
        <x:v>10</x:v>
      </x:c>
      <x:c r="K464" s="12" t="str">
        <x:v>Sales C</x:v>
      </x:c>
      <x:c r="L464" s="12" t="str">
        <x:v>Hot</x:v>
      </x:c>
    </x:row>
    <x:row r="465">
      <x:c r="A465" s="12" t="str">
        <x:v>LEAD-00464</x:v>
      </x:c>
      <x:c r="B465" s="18" t="n">
        <x:v>46222</x:v>
      </x:c>
      <x:c r="C465" s="12" t="str">
        <x:v>DLR-020</x:v>
      </x:c>
      <x:c r="D465" s="12" t="str">
        <x:v>Wuling HTA Long Biên</x:v>
      </x:c>
      <x:c r="E465" s="12" t="str">
        <x:v>Wuling</x:v>
      </x:c>
      <x:c r="F465" s="12" t="str">
        <x:v>Event</x:v>
      </x:c>
      <x:c r="G465" s="12" t="str">
        <x:v>Order</x:v>
      </x:c>
      <x:c r="H465" s="34" t="n">
        <x:v>0.95</x:v>
      </x:c>
      <x:c r="I465" s="12" t="n">
        <x:v>0.45</x:v>
      </x:c>
      <x:c r="J465" s="12" t="n">
        <x:v>3</x:v>
      </x:c>
      <x:c r="K465" s="12" t="str">
        <x:v>Sales D</x:v>
      </x:c>
      <x:c r="L465" s="12" t="str">
        <x:v>Normal</x:v>
      </x:c>
    </x:row>
    <x:row r="466">
      <x:c r="A466" s="12" t="str">
        <x:v>LEAD-00465</x:v>
      </x:c>
      <x:c r="B466" s="18" t="n">
        <x:v>46209</x:v>
      </x:c>
      <x:c r="C466" s="12" t="str">
        <x:v>DLR-005</x:v>
      </x:c>
      <x:c r="D466" s="12" t="str">
        <x:v>BYD HTA Tây Hồ</x:v>
      </x:c>
      <x:c r="E466" s="12" t="str">
        <x:v>BYD</x:v>
      </x:c>
      <x:c r="F466" s="12" t="str">
        <x:v>Referral</x:v>
      </x:c>
      <x:c r="G466" s="12" t="str">
        <x:v>Qualified</x:v>
      </x:c>
      <x:c r="H466" s="34" t="n">
        <x:v>0.3</x:v>
      </x:c>
      <x:c r="I466" s="12" t="n">
        <x:v>1.07</x:v>
      </x:c>
      <x:c r="J466" s="12" t="n">
        <x:v>16</x:v>
      </x:c>
      <x:c r="K466" s="12" t="str">
        <x:v>Sales D</x:v>
      </x:c>
      <x:c r="L466" s="12" t="str">
        <x:v>Hot</x:v>
      </x:c>
    </x:row>
    <x:row r="467">
      <x:c r="A467" s="12" t="str">
        <x:v>LEAD-00466</x:v>
      </x:c>
      <x:c r="B467" s="18" t="n">
        <x:v>46213</x:v>
      </x:c>
      <x:c r="C467" s="12" t="str">
        <x:v>DLR-016</x:v>
      </x:c>
      <x:c r="D467" s="12" t="str">
        <x:v>VinFast HTA Mỹ Đình</x:v>
      </x:c>
      <x:c r="E467" s="12" t="str">
        <x:v>VinFast</x:v>
      </x:c>
      <x:c r="F467" s="12" t="str">
        <x:v>Digital</x:v>
      </x:c>
      <x:c r="G467" s="12" t="str">
        <x:v>Negotiation</x:v>
      </x:c>
      <x:c r="H467" s="34" t="n">
        <x:v>0.7</x:v>
      </x:c>
      <x:c r="I467" s="12" t="n">
        <x:v>1.26</x:v>
      </x:c>
      <x:c r="J467" s="12" t="n">
        <x:v>12</x:v>
      </x:c>
      <x:c r="K467" s="12" t="str">
        <x:v>Sales A</x:v>
      </x:c>
      <x:c r="L467" s="12" t="str">
        <x:v>Priority</x:v>
      </x:c>
    </x:row>
    <x:row r="468">
      <x:c r="A468" s="12" t="str">
        <x:v>LEAD-00467</x:v>
      </x:c>
      <x:c r="B468" s="18" t="n">
        <x:v>46215</x:v>
      </x:c>
      <x:c r="C468" s="12" t="str">
        <x:v>DLR-005</x:v>
      </x:c>
      <x:c r="D468" s="12" t="str">
        <x:v>BYD HTA Tây Hồ</x:v>
      </x:c>
      <x:c r="E468" s="12" t="str">
        <x:v>BYD</x:v>
      </x:c>
      <x:c r="F468" s="12" t="str">
        <x:v>Referral</x:v>
      </x:c>
      <x:c r="G468" s="12" t="str">
        <x:v>Qualified</x:v>
      </x:c>
      <x:c r="H468" s="34" t="n">
        <x:v>0.3</x:v>
      </x:c>
      <x:c r="I468" s="12" t="n">
        <x:v>0.32</x:v>
      </x:c>
      <x:c r="J468" s="12" t="n">
        <x:v>10</x:v>
      </x:c>
      <x:c r="K468" s="12" t="str">
        <x:v>Sales C</x:v>
      </x:c>
      <x:c r="L468" s="12" t="str">
        <x:v>Priority</x:v>
      </x:c>
    </x:row>
    <x:row r="469">
      <x:c r="A469" s="12" t="str">
        <x:v>LEAD-00468</x:v>
      </x:c>
      <x:c r="B469" s="18" t="n">
        <x:v>46217</x:v>
      </x:c>
      <x:c r="C469" s="12" t="str">
        <x:v>DLR-011</x:v>
      </x:c>
      <x:c r="D469" s="12" t="str">
        <x:v>VinFast HTA Phạm Văn Đồng</x:v>
      </x:c>
      <x:c r="E469" s="12" t="str">
        <x:v>VinFast</x:v>
      </x:c>
      <x:c r="F469" s="12" t="str">
        <x:v>Referral</x:v>
      </x:c>
      <x:c r="G469" s="12" t="str">
        <x:v>New</x:v>
      </x:c>
      <x:c r="H469" s="34" t="n">
        <x:v>0.08</x:v>
      </x:c>
      <x:c r="I469" s="12" t="n">
        <x:v>0.36</x:v>
      </x:c>
      <x:c r="J469" s="12" t="n">
        <x:v>8</x:v>
      </x:c>
      <x:c r="K469" s="12" t="str">
        <x:v>Sales C</x:v>
      </x:c>
      <x:c r="L469" s="12" t="str">
        <x:v>Priority</x:v>
      </x:c>
    </x:row>
    <x:row r="470">
      <x:c r="A470" s="12" t="str">
        <x:v>LEAD-00469</x:v>
      </x:c>
      <x:c r="B470" s="18" t="n">
        <x:v>46208</x:v>
      </x:c>
      <x:c r="C470" s="12" t="str">
        <x:v>DLR-008</x:v>
      </x:c>
      <x:c r="D470" s="12" t="str">
        <x:v>VinFast HTA Nguyễn Văn Linh</x:v>
      </x:c>
      <x:c r="E470" s="12" t="str">
        <x:v>VinFast</x:v>
      </x:c>
      <x:c r="F470" s="12" t="str">
        <x:v>Digital</x:v>
      </x:c>
      <x:c r="G470" s="12" t="str">
        <x:v>Negotiation</x:v>
      </x:c>
      <x:c r="H470" s="34" t="n">
        <x:v>0.7</x:v>
      </x:c>
      <x:c r="I470" s="12" t="n">
        <x:v>0.85</x:v>
      </x:c>
      <x:c r="J470" s="12" t="n">
        <x:v>17</x:v>
      </x:c>
      <x:c r="K470" s="12" t="str">
        <x:v>Sales C</x:v>
      </x:c>
      <x:c r="L470" s="12" t="str">
        <x:v>Hot</x:v>
      </x:c>
    </x:row>
    <x:row r="471">
      <x:c r="A471" s="12" t="str">
        <x:v>LEAD-00470</x:v>
      </x:c>
      <x:c r="B471" s="18" t="n">
        <x:v>46213</x:v>
      </x:c>
      <x:c r="C471" s="12" t="str">
        <x:v>DLR-011</x:v>
      </x:c>
      <x:c r="D471" s="12" t="str">
        <x:v>VinFast HTA Phạm Văn Đồng</x:v>
      </x:c>
      <x:c r="E471" s="12" t="str">
        <x:v>VinFast</x:v>
      </x:c>
      <x:c r="F471" s="12" t="str">
        <x:v>Event</x:v>
      </x:c>
      <x:c r="G471" s="12" t="str">
        <x:v>Negotiation</x:v>
      </x:c>
      <x:c r="H471" s="34" t="n">
        <x:v>0.7</x:v>
      </x:c>
      <x:c r="I471" s="12" t="n">
        <x:v>0.89</x:v>
      </x:c>
      <x:c r="J471" s="12" t="n">
        <x:v>12</x:v>
      </x:c>
      <x:c r="K471" s="12" t="str">
        <x:v>Sales B</x:v>
      </x:c>
      <x:c r="L471" s="12" t="str">
        <x:v>Hot</x:v>
      </x:c>
    </x:row>
    <x:row r="472">
      <x:c r="A472" s="12" t="str">
        <x:v>LEAD-00471</x:v>
      </x:c>
      <x:c r="B472" s="18" t="n">
        <x:v>46204</x:v>
      </x:c>
      <x:c r="C472" s="12" t="str">
        <x:v>DLR-015</x:v>
      </x:c>
      <x:c r="D472" s="12" t="str">
        <x:v>VinFast HTA Văn Phú</x:v>
      </x:c>
      <x:c r="E472" s="12" t="str">
        <x:v>VinFast</x:v>
      </x:c>
      <x:c r="F472" s="12" t="str">
        <x:v>Walk-in</x:v>
      </x:c>
      <x:c r="G472" s="12" t="str">
        <x:v>New</x:v>
      </x:c>
      <x:c r="H472" s="34" t="n">
        <x:v>0.08</x:v>
      </x:c>
      <x:c r="I472" s="12" t="n">
        <x:v>0.87</x:v>
      </x:c>
      <x:c r="J472" s="12" t="n">
        <x:v>21</x:v>
      </x:c>
      <x:c r="K472" s="12" t="str">
        <x:v>Sales B</x:v>
      </x:c>
      <x:c r="L472" s="12" t="str">
        <x:v>Normal</x:v>
      </x:c>
    </x:row>
    <x:row r="473">
      <x:c r="A473" s="12" t="str">
        <x:v>LEAD-00472</x:v>
      </x:c>
      <x:c r="B473" s="18" t="n">
        <x:v>46212</x:v>
      </x:c>
      <x:c r="C473" s="12" t="str">
        <x:v>DLR-019</x:v>
      </x:c>
      <x:c r="D473" s="12" t="str">
        <x:v>OMODA &amp; JAECOO HTA Việt Trì</x:v>
      </x:c>
      <x:c r="E473" s="12" t="str">
        <x:v>OMODA &amp; JAECOO</x:v>
      </x:c>
      <x:c r="F473" s="12" t="str">
        <x:v>Event</x:v>
      </x:c>
      <x:c r="G473" s="12" t="str">
        <x:v>New</x:v>
      </x:c>
      <x:c r="H473" s="34" t="n">
        <x:v>0.08</x:v>
      </x:c>
      <x:c r="I473" s="12" t="n">
        <x:v>1.42</x:v>
      </x:c>
      <x:c r="J473" s="12" t="n">
        <x:v>13</x:v>
      </x:c>
      <x:c r="K473" s="12" t="str">
        <x:v>Sales C</x:v>
      </x:c>
      <x:c r="L473" s="12" t="str">
        <x:v>Hot</x:v>
      </x:c>
    </x:row>
    <x:row r="474">
      <x:c r="A474" s="12" t="str">
        <x:v>LEAD-00473</x:v>
      </x:c>
      <x:c r="B474" s="18" t="n">
        <x:v>46213</x:v>
      </x:c>
      <x:c r="C474" s="12" t="str">
        <x:v>DLR-006</x:v>
      </x:c>
      <x:c r="D474" s="12" t="str">
        <x:v>BYD HTA Hoàn Kiếm</x:v>
      </x:c>
      <x:c r="E474" s="12" t="str">
        <x:v>BYD</x:v>
      </x:c>
      <x:c r="F474" s="12" t="str">
        <x:v>Event</x:v>
      </x:c>
      <x:c r="G474" s="12" t="str">
        <x:v>Test Drive</x:v>
      </x:c>
      <x:c r="H474" s="34" t="n">
        <x:v>0.5</x:v>
      </x:c>
      <x:c r="I474" s="12" t="n">
        <x:v>1.23</x:v>
      </x:c>
      <x:c r="J474" s="12" t="n">
        <x:v>12</x:v>
      </x:c>
      <x:c r="K474" s="12" t="str">
        <x:v>Sales C</x:v>
      </x:c>
      <x:c r="L474" s="12" t="str">
        <x:v>Hot</x:v>
      </x:c>
    </x:row>
    <x:row r="475">
      <x:c r="A475" s="12" t="str">
        <x:v>LEAD-00474</x:v>
      </x:c>
      <x:c r="B475" s="18" t="n">
        <x:v>46219</x:v>
      </x:c>
      <x:c r="C475" s="12" t="str">
        <x:v>DLR-006</x:v>
      </x:c>
      <x:c r="D475" s="12" t="str">
        <x:v>BYD HTA Hoàn Kiếm</x:v>
      </x:c>
      <x:c r="E475" s="12" t="str">
        <x:v>BYD</x:v>
      </x:c>
      <x:c r="F475" s="12" t="str">
        <x:v>Referral</x:v>
      </x:c>
      <x:c r="G475" s="12" t="str">
        <x:v>Qualified</x:v>
      </x:c>
      <x:c r="H475" s="34" t="n">
        <x:v>0.3</x:v>
      </x:c>
      <x:c r="I475" s="12" t="n">
        <x:v>0.46</x:v>
      </x:c>
      <x:c r="J475" s="12" t="n">
        <x:v>6</x:v>
      </x:c>
      <x:c r="K475" s="12" t="str">
        <x:v>Sales B</x:v>
      </x:c>
      <x:c r="L475" s="12" t="str">
        <x:v>Priority</x:v>
      </x:c>
    </x:row>
    <x:row r="476">
      <x:c r="A476" s="12" t="str">
        <x:v>LEAD-00475</x:v>
      </x:c>
      <x:c r="B476" s="18" t="n">
        <x:v>46205</x:v>
      </x:c>
      <x:c r="C476" s="12" t="str">
        <x:v>DLR-001</x:v>
      </x:c>
      <x:c r="D476" s="12" t="str">
        <x:v>Hà Thành Ford</x:v>
      </x:c>
      <x:c r="E476" s="12" t="str">
        <x:v>Ford</x:v>
      </x:c>
      <x:c r="F476" s="12" t="str">
        <x:v>Walk-in</x:v>
      </x:c>
      <x:c r="G476" s="12" t="str">
        <x:v>Order</x:v>
      </x:c>
      <x:c r="H476" s="34" t="n">
        <x:v>0.95</x:v>
      </x:c>
      <x:c r="I476" s="12" t="n">
        <x:v>0.55</x:v>
      </x:c>
      <x:c r="J476" s="12" t="n">
        <x:v>20</x:v>
      </x:c>
      <x:c r="K476" s="12" t="str">
        <x:v>Sales C</x:v>
      </x:c>
      <x:c r="L476" s="12" t="str">
        <x:v>Hot</x:v>
      </x:c>
    </x:row>
    <x:row r="477">
      <x:c r="A477" s="12" t="str">
        <x:v>LEAD-00476</x:v>
      </x:c>
      <x:c r="B477" s="18" t="n">
        <x:v>46224</x:v>
      </x:c>
      <x:c r="C477" s="12" t="str">
        <x:v>DLR-004</x:v>
      </x:c>
      <x:c r="D477" s="12" t="str">
        <x:v>Việt Trì Ford</x:v>
      </x:c>
      <x:c r="E477" s="12" t="str">
        <x:v>Ford</x:v>
      </x:c>
      <x:c r="F477" s="12" t="str">
        <x:v>Referral</x:v>
      </x:c>
      <x:c r="G477" s="12" t="str">
        <x:v>Test Drive</x:v>
      </x:c>
      <x:c r="H477" s="34" t="n">
        <x:v>0.5</x:v>
      </x:c>
      <x:c r="I477" s="12" t="n">
        <x:v>1.28</x:v>
      </x:c>
      <x:c r="J477" s="12" t="n">
        <x:v>1</x:v>
      </x:c>
      <x:c r="K477" s="12" t="str">
        <x:v>Sales B</x:v>
      </x:c>
      <x:c r="L477" s="12" t="str">
        <x:v>Normal</x:v>
      </x:c>
    </x:row>
    <x:row r="478">
      <x:c r="A478" s="12" t="str">
        <x:v>LEAD-00477</x:v>
      </x:c>
      <x:c r="B478" s="18" t="n">
        <x:v>46207</x:v>
      </x:c>
      <x:c r="C478" s="12" t="str">
        <x:v>DLR-008</x:v>
      </x:c>
      <x:c r="D478" s="12" t="str">
        <x:v>VinFast HTA Nguyễn Văn Linh</x:v>
      </x:c>
      <x:c r="E478" s="12" t="str">
        <x:v>VinFast</x:v>
      </x:c>
      <x:c r="F478" s="12" t="str">
        <x:v>Event</x:v>
      </x:c>
      <x:c r="G478" s="12" t="str">
        <x:v>Order</x:v>
      </x:c>
      <x:c r="H478" s="34" t="n">
        <x:v>0.95</x:v>
      </x:c>
      <x:c r="I478" s="12" t="n">
        <x:v>0.3</x:v>
      </x:c>
      <x:c r="J478" s="12" t="n">
        <x:v>18</x:v>
      </x:c>
      <x:c r="K478" s="12" t="str">
        <x:v>Sales B</x:v>
      </x:c>
      <x:c r="L478" s="12" t="str">
        <x:v>Priority</x:v>
      </x:c>
    </x:row>
    <x:row r="479">
      <x:c r="A479" s="12" t="str">
        <x:v>LEAD-00478</x:v>
      </x:c>
      <x:c r="B479" s="18" t="n">
        <x:v>46206</x:v>
      </x:c>
      <x:c r="C479" s="12" t="str">
        <x:v>DLR-014</x:v>
      </x:c>
      <x:c r="D479" s="12" t="str">
        <x:v>VinFast HTA Nam Từ Liêm</x:v>
      </x:c>
      <x:c r="E479" s="12" t="str">
        <x:v>VinFast</x:v>
      </x:c>
      <x:c r="F479" s="12" t="str">
        <x:v>Digital</x:v>
      </x:c>
      <x:c r="G479" s="12" t="str">
        <x:v>Order</x:v>
      </x:c>
      <x:c r="H479" s="34" t="n">
        <x:v>0.95</x:v>
      </x:c>
      <x:c r="I479" s="12" t="n">
        <x:v>1.39</x:v>
      </x:c>
      <x:c r="J479" s="12" t="n">
        <x:v>19</x:v>
      </x:c>
      <x:c r="K479" s="12" t="str">
        <x:v>Sales A</x:v>
      </x:c>
      <x:c r="L479" s="12" t="str">
        <x:v>Hot</x:v>
      </x:c>
    </x:row>
    <x:row r="480">
      <x:c r="A480" s="12" t="str">
        <x:v>LEAD-00479</x:v>
      </x:c>
      <x:c r="B480" s="18" t="n">
        <x:v>46218</x:v>
      </x:c>
      <x:c r="C480" s="12" t="str">
        <x:v>DLR-001</x:v>
      </x:c>
      <x:c r="D480" s="12" t="str">
        <x:v>Hà Thành Ford</x:v>
      </x:c>
      <x:c r="E480" s="12" t="str">
        <x:v>Ford</x:v>
      </x:c>
      <x:c r="F480" s="12" t="str">
        <x:v>Walk-in</x:v>
      </x:c>
      <x:c r="G480" s="12" t="str">
        <x:v>Order</x:v>
      </x:c>
      <x:c r="H480" s="34" t="n">
        <x:v>0.95</x:v>
      </x:c>
      <x:c r="I480" s="12" t="n">
        <x:v>1.09</x:v>
      </x:c>
      <x:c r="J480" s="12" t="n">
        <x:v>7</x:v>
      </x:c>
      <x:c r="K480" s="12" t="str">
        <x:v>Sales B</x:v>
      </x:c>
      <x:c r="L480" s="12" t="str">
        <x:v>Hot</x:v>
      </x:c>
    </x:row>
    <x:row r="481">
      <x:c r="A481" s="12" t="str">
        <x:v>LEAD-00480</x:v>
      </x:c>
      <x:c r="B481" s="18" t="n">
        <x:v>46220</x:v>
      </x:c>
      <x:c r="C481" s="12" t="str">
        <x:v>DLR-014</x:v>
      </x:c>
      <x:c r="D481" s="12" t="str">
        <x:v>VinFast HTA Nam Từ Liêm</x:v>
      </x:c>
      <x:c r="E481" s="12" t="str">
        <x:v>VinFast</x:v>
      </x:c>
      <x:c r="F481" s="12" t="str">
        <x:v>Digital</x:v>
      </x:c>
      <x:c r="G481" s="12" t="str">
        <x:v>Order</x:v>
      </x:c>
      <x:c r="H481" s="34" t="n">
        <x:v>0.95</x:v>
      </x:c>
      <x:c r="I481" s="12" t="n">
        <x:v>1.42</x:v>
      </x:c>
      <x:c r="J481" s="12" t="n">
        <x:v>5</x:v>
      </x:c>
      <x:c r="K481" s="12" t="str">
        <x:v>Sales D</x:v>
      </x:c>
      <x:c r="L481" s="12" t="str">
        <x:v>Normal</x:v>
      </x:c>
    </x:row>
    <x:row r="482">
      <x:c r="A482" s="12" t="str">
        <x:v>LEAD-00481</x:v>
      </x:c>
      <x:c r="B482" s="18" t="n">
        <x:v>46214</x:v>
      </x:c>
      <x:c r="C482" s="12" t="str">
        <x:v>DLR-003</x:v>
      </x:c>
      <x:c r="D482" s="12" t="str">
        <x:v>Mỹ Đình Ford</x:v>
      </x:c>
      <x:c r="E482" s="12" t="str">
        <x:v>Ford</x:v>
      </x:c>
      <x:c r="F482" s="12" t="str">
        <x:v>Referral</x:v>
      </x:c>
      <x:c r="G482" s="12" t="str">
        <x:v>New</x:v>
      </x:c>
      <x:c r="H482" s="34" t="n">
        <x:v>0.08</x:v>
      </x:c>
      <x:c r="I482" s="12" t="n">
        <x:v>1.37</x:v>
      </x:c>
      <x:c r="J482" s="12" t="n">
        <x:v>11</x:v>
      </x:c>
      <x:c r="K482" s="12" t="str">
        <x:v>Sales A</x:v>
      </x:c>
      <x:c r="L482" s="12" t="str">
        <x:v>Hot</x:v>
      </x:c>
    </x:row>
    <x:row r="483">
      <x:c r="A483" s="12" t="str">
        <x:v>LEAD-00482</x:v>
      </x:c>
      <x:c r="B483" s="18" t="n">
        <x:v>46225</x:v>
      </x:c>
      <x:c r="C483" s="12" t="str">
        <x:v>DLR-017</x:v>
      </x:c>
      <x:c r="D483" s="12" t="str">
        <x:v>VinFast Quốc Oai</x:v>
      </x:c>
      <x:c r="E483" s="12" t="str">
        <x:v>VinFast</x:v>
      </x:c>
      <x:c r="F483" s="12" t="str">
        <x:v>Event</x:v>
      </x:c>
      <x:c r="G483" s="12" t="str">
        <x:v>Test Drive</x:v>
      </x:c>
      <x:c r="H483" s="34" t="n">
        <x:v>0.5</x:v>
      </x:c>
      <x:c r="I483" s="12" t="n">
        <x:v>0.83</x:v>
      </x:c>
      <x:c r="J483" s="12" t="n">
        <x:v>0</x:v>
      </x:c>
      <x:c r="K483" s="12" t="str">
        <x:v>Sales B</x:v>
      </x:c>
      <x:c r="L483" s="12" t="str">
        <x:v>Normal</x:v>
      </x:c>
    </x:row>
    <x:row r="484">
      <x:c r="A484" s="12" t="str">
        <x:v>LEAD-00483</x:v>
      </x:c>
      <x:c r="B484" s="18" t="n">
        <x:v>46214</x:v>
      </x:c>
      <x:c r="C484" s="12" t="str">
        <x:v>DLR-011</x:v>
      </x:c>
      <x:c r="D484" s="12" t="str">
        <x:v>VinFast HTA Phạm Văn Đồng</x:v>
      </x:c>
      <x:c r="E484" s="12" t="str">
        <x:v>VinFast</x:v>
      </x:c>
      <x:c r="F484" s="12" t="str">
        <x:v>Walk-in</x:v>
      </x:c>
      <x:c r="G484" s="12" t="str">
        <x:v>Contacted</x:v>
      </x:c>
      <x:c r="H484" s="34" t="n">
        <x:v>0.15</x:v>
      </x:c>
      <x:c r="I484" s="12" t="n">
        <x:v>1.44</x:v>
      </x:c>
      <x:c r="J484" s="12" t="n">
        <x:v>11</x:v>
      </x:c>
      <x:c r="K484" s="12" t="str">
        <x:v>Sales C</x:v>
      </x:c>
      <x:c r="L484" s="12" t="str">
        <x:v>Hot</x:v>
      </x:c>
    </x:row>
    <x:row r="485">
      <x:c r="A485" s="12" t="str">
        <x:v>LEAD-00484</x:v>
      </x:c>
      <x:c r="B485" s="18" t="n">
        <x:v>46205</x:v>
      </x:c>
      <x:c r="C485" s="12" t="str">
        <x:v>DLR-015</x:v>
      </x:c>
      <x:c r="D485" s="12" t="str">
        <x:v>VinFast HTA Văn Phú</x:v>
      </x:c>
      <x:c r="E485" s="12" t="str">
        <x:v>VinFast</x:v>
      </x:c>
      <x:c r="F485" s="12" t="str">
        <x:v>Event</x:v>
      </x:c>
      <x:c r="G485" s="12" t="str">
        <x:v>Test Drive</x:v>
      </x:c>
      <x:c r="H485" s="34" t="n">
        <x:v>0.5</x:v>
      </x:c>
      <x:c r="I485" s="12" t="n">
        <x:v>1.09</x:v>
      </x:c>
      <x:c r="J485" s="12" t="n">
        <x:v>20</x:v>
      </x:c>
      <x:c r="K485" s="12" t="str">
        <x:v>Sales A</x:v>
      </x:c>
      <x:c r="L485" s="12" t="str">
        <x:v>Normal</x:v>
      </x:c>
    </x:row>
    <x:row r="486">
      <x:c r="A486" s="12" t="str">
        <x:v>LEAD-00485</x:v>
      </x:c>
      <x:c r="B486" s="18" t="n">
        <x:v>46205</x:v>
      </x:c>
      <x:c r="C486" s="12" t="str">
        <x:v>DLR-014</x:v>
      </x:c>
      <x:c r="D486" s="12" t="str">
        <x:v>VinFast HTA Nam Từ Liêm</x:v>
      </x:c>
      <x:c r="E486" s="12" t="str">
        <x:v>VinFast</x:v>
      </x:c>
      <x:c r="F486" s="12" t="str">
        <x:v>Walk-in</x:v>
      </x:c>
      <x:c r="G486" s="12" t="str">
        <x:v>Qualified</x:v>
      </x:c>
      <x:c r="H486" s="34" t="n">
        <x:v>0.3</x:v>
      </x:c>
      <x:c r="I486" s="12" t="n">
        <x:v>0.31</x:v>
      </x:c>
      <x:c r="J486" s="12" t="n">
        <x:v>20</x:v>
      </x:c>
      <x:c r="K486" s="12" t="str">
        <x:v>Sales A</x:v>
      </x:c>
      <x:c r="L486" s="12" t="str">
        <x:v>Hot</x:v>
      </x:c>
    </x:row>
    <x:row r="487">
      <x:c r="A487" s="12" t="str">
        <x:v>LEAD-00486</x:v>
      </x:c>
      <x:c r="B487" s="18" t="n">
        <x:v>46219</x:v>
      </x:c>
      <x:c r="C487" s="12" t="str">
        <x:v>DLR-017</x:v>
      </x:c>
      <x:c r="D487" s="12" t="str">
        <x:v>VinFast Quốc Oai</x:v>
      </x:c>
      <x:c r="E487" s="12" t="str">
        <x:v>VinFast</x:v>
      </x:c>
      <x:c r="F487" s="12" t="str">
        <x:v>Digital</x:v>
      </x:c>
      <x:c r="G487" s="12" t="str">
        <x:v>Order</x:v>
      </x:c>
      <x:c r="H487" s="34" t="n">
        <x:v>0.95</x:v>
      </x:c>
      <x:c r="I487" s="12" t="n">
        <x:v>0.61</x:v>
      </x:c>
      <x:c r="J487" s="12" t="n">
        <x:v>6</x:v>
      </x:c>
      <x:c r="K487" s="12" t="str">
        <x:v>Sales D</x:v>
      </x:c>
      <x:c r="L487" s="12" t="str">
        <x:v>Hot</x:v>
      </x:c>
    </x:row>
    <x:row r="488">
      <x:c r="A488" s="12" t="str">
        <x:v>LEAD-00487</x:v>
      </x:c>
      <x:c r="B488" s="18" t="n">
        <x:v>46225</x:v>
      </x:c>
      <x:c r="C488" s="12" t="str">
        <x:v>DLR-014</x:v>
      </x:c>
      <x:c r="D488" s="12" t="str">
        <x:v>VinFast HTA Nam Từ Liêm</x:v>
      </x:c>
      <x:c r="E488" s="12" t="str">
        <x:v>VinFast</x:v>
      </x:c>
      <x:c r="F488" s="12" t="str">
        <x:v>Referral</x:v>
      </x:c>
      <x:c r="G488" s="12" t="str">
        <x:v>Qualified</x:v>
      </x:c>
      <x:c r="H488" s="34" t="n">
        <x:v>0.3</x:v>
      </x:c>
      <x:c r="I488" s="12" t="n">
        <x:v>0.59</x:v>
      </x:c>
      <x:c r="J488" s="12" t="n">
        <x:v>0</x:v>
      </x:c>
      <x:c r="K488" s="12" t="str">
        <x:v>Sales B</x:v>
      </x:c>
      <x:c r="L488" s="12" t="str">
        <x:v>Normal</x:v>
      </x:c>
    </x:row>
    <x:row r="489">
      <x:c r="A489" s="12" t="str">
        <x:v>LEAD-00488</x:v>
      </x:c>
      <x:c r="B489" s="18" t="n">
        <x:v>46224</x:v>
      </x:c>
      <x:c r="C489" s="12" t="str">
        <x:v>DLR-011</x:v>
      </x:c>
      <x:c r="D489" s="12" t="str">
        <x:v>VinFast HTA Phạm Văn Đồng</x:v>
      </x:c>
      <x:c r="E489" s="12" t="str">
        <x:v>VinFast</x:v>
      </x:c>
      <x:c r="F489" s="12" t="str">
        <x:v>Event</x:v>
      </x:c>
      <x:c r="G489" s="12" t="str">
        <x:v>Contacted</x:v>
      </x:c>
      <x:c r="H489" s="34" t="n">
        <x:v>0.15</x:v>
      </x:c>
      <x:c r="I489" s="12" t="n">
        <x:v>0.88</x:v>
      </x:c>
      <x:c r="J489" s="12" t="n">
        <x:v>1</x:v>
      </x:c>
      <x:c r="K489" s="12" t="str">
        <x:v>Sales C</x:v>
      </x:c>
      <x:c r="L489" s="12" t="str">
        <x:v>Normal</x:v>
      </x:c>
    </x:row>
    <x:row r="490">
      <x:c r="A490" s="12" t="str">
        <x:v>LEAD-00489</x:v>
      </x:c>
      <x:c r="B490" s="18" t="n">
        <x:v>46216</x:v>
      </x:c>
      <x:c r="C490" s="12" t="str">
        <x:v>DLR-007</x:v>
      </x:c>
      <x:c r="D490" s="12" t="str">
        <x:v>BYD Hà Đông</x:v>
      </x:c>
      <x:c r="E490" s="12" t="str">
        <x:v>BYD</x:v>
      </x:c>
      <x:c r="F490" s="12" t="str">
        <x:v>Walk-in</x:v>
      </x:c>
      <x:c r="G490" s="12" t="str">
        <x:v>Test Drive</x:v>
      </x:c>
      <x:c r="H490" s="34" t="n">
        <x:v>0.5</x:v>
      </x:c>
      <x:c r="I490" s="12" t="n">
        <x:v>1.42</x:v>
      </x:c>
      <x:c r="J490" s="12" t="n">
        <x:v>9</x:v>
      </x:c>
      <x:c r="K490" s="12" t="str">
        <x:v>Sales D</x:v>
      </x:c>
      <x:c r="L490" s="12" t="str">
        <x:v>Priority</x:v>
      </x:c>
    </x:row>
    <x:row r="491">
      <x:c r="A491" s="12" t="str">
        <x:v>LEAD-00490</x:v>
      </x:c>
      <x:c r="B491" s="18" t="n">
        <x:v>46214</x:v>
      </x:c>
      <x:c r="C491" s="12" t="str">
        <x:v>DLR-016</x:v>
      </x:c>
      <x:c r="D491" s="12" t="str">
        <x:v>VinFast HTA Mỹ Đình</x:v>
      </x:c>
      <x:c r="E491" s="12" t="str">
        <x:v>VinFast</x:v>
      </x:c>
      <x:c r="F491" s="12" t="str">
        <x:v>Event</x:v>
      </x:c>
      <x:c r="G491" s="12" t="str">
        <x:v>Contacted</x:v>
      </x:c>
      <x:c r="H491" s="34" t="n">
        <x:v>0.15</x:v>
      </x:c>
      <x:c r="I491" s="12" t="n">
        <x:v>1.13</x:v>
      </x:c>
      <x:c r="J491" s="12" t="n">
        <x:v>11</x:v>
      </x:c>
      <x:c r="K491" s="12" t="str">
        <x:v>Sales D</x:v>
      </x:c>
      <x:c r="L491" s="12" t="str">
        <x:v>Normal</x:v>
      </x:c>
    </x:row>
    <x:row r="492">
      <x:c r="A492" s="12" t="str">
        <x:v>LEAD-00491</x:v>
      </x:c>
      <x:c r="B492" s="18" t="n">
        <x:v>46214</x:v>
      </x:c>
      <x:c r="C492" s="12" t="str">
        <x:v>DLR-019</x:v>
      </x:c>
      <x:c r="D492" s="12" t="str">
        <x:v>OMODA &amp; JAECOO HTA Việt Trì</x:v>
      </x:c>
      <x:c r="E492" s="12" t="str">
        <x:v>OMODA &amp; JAECOO</x:v>
      </x:c>
      <x:c r="F492" s="12" t="str">
        <x:v>Digital</x:v>
      </x:c>
      <x:c r="G492" s="12" t="str">
        <x:v>Test Drive</x:v>
      </x:c>
      <x:c r="H492" s="34" t="n">
        <x:v>0.5</x:v>
      </x:c>
      <x:c r="I492" s="12" t="n">
        <x:v>0.5</x:v>
      </x:c>
      <x:c r="J492" s="12" t="n">
        <x:v>11</x:v>
      </x:c>
      <x:c r="K492" s="12" t="str">
        <x:v>Sales B</x:v>
      </x:c>
      <x:c r="L492" s="12" t="str">
        <x:v>Normal</x:v>
      </x:c>
    </x:row>
    <x:row r="493">
      <x:c r="A493" s="12" t="str">
        <x:v>LEAD-00492</x:v>
      </x:c>
      <x:c r="B493" s="18" t="n">
        <x:v>46208</x:v>
      </x:c>
      <x:c r="C493" s="12" t="str">
        <x:v>DLR-009</x:v>
      </x:c>
      <x:c r="D493" s="12" t="str">
        <x:v>VinFast HTA Đông Anh</x:v>
      </x:c>
      <x:c r="E493" s="12" t="str">
        <x:v>VinFast</x:v>
      </x:c>
      <x:c r="F493" s="12" t="str">
        <x:v>Corporate/Fleet</x:v>
      </x:c>
      <x:c r="G493" s="12" t="str">
        <x:v>Qualified</x:v>
      </x:c>
      <x:c r="H493" s="34" t="n">
        <x:v>0.3</x:v>
      </x:c>
      <x:c r="I493" s="12" t="n">
        <x:v>1.48</x:v>
      </x:c>
      <x:c r="J493" s="12" t="n">
        <x:v>17</x:v>
      </x:c>
      <x:c r="K493" s="12" t="str">
        <x:v>Sales C</x:v>
      </x:c>
      <x:c r="L493" s="12" t="str">
        <x:v>Hot</x:v>
      </x:c>
    </x:row>
    <x:row r="494">
      <x:c r="A494" s="12" t="str">
        <x:v>LEAD-00493</x:v>
      </x:c>
      <x:c r="B494" s="18" t="n">
        <x:v>46204</x:v>
      </x:c>
      <x:c r="C494" s="12" t="str">
        <x:v>DLR-012</x:v>
      </x:c>
      <x:c r="D494" s="12" t="str">
        <x:v>VinFast HTA Võ Chí Công</x:v>
      </x:c>
      <x:c r="E494" s="12" t="str">
        <x:v>VinFast</x:v>
      </x:c>
      <x:c r="F494" s="12" t="str">
        <x:v>Walk-in</x:v>
      </x:c>
      <x:c r="G494" s="12" t="str">
        <x:v>Contacted</x:v>
      </x:c>
      <x:c r="H494" s="34" t="n">
        <x:v>0.15</x:v>
      </x:c>
      <x:c r="I494" s="12" t="n">
        <x:v>0.51</x:v>
      </x:c>
      <x:c r="J494" s="12" t="n">
        <x:v>21</x:v>
      </x:c>
      <x:c r="K494" s="12" t="str">
        <x:v>Sales D</x:v>
      </x:c>
      <x:c r="L494" s="12" t="str">
        <x:v>Hot</x:v>
      </x:c>
    </x:row>
    <x:row r="495">
      <x:c r="A495" s="12" t="str">
        <x:v>LEAD-00494</x:v>
      </x:c>
      <x:c r="B495" s="18" t="n">
        <x:v>46216</x:v>
      </x:c>
      <x:c r="C495" s="12" t="str">
        <x:v>DLR-007</x:v>
      </x:c>
      <x:c r="D495" s="12" t="str">
        <x:v>BYD Hà Đông</x:v>
      </x:c>
      <x:c r="E495" s="12" t="str">
        <x:v>BYD</x:v>
      </x:c>
      <x:c r="F495" s="12" t="str">
        <x:v>Corporate/Fleet</x:v>
      </x:c>
      <x:c r="G495" s="12" t="str">
        <x:v>Lost</x:v>
      </x:c>
      <x:c r="H495" s="34" t="n">
        <x:v>0</x:v>
      </x:c>
      <x:c r="I495" s="12" t="n">
        <x:v>0.43</x:v>
      </x:c>
      <x:c r="J495" s="12" t="n">
        <x:v>9</x:v>
      </x:c>
      <x:c r="K495" s="12" t="str">
        <x:v>Sales B</x:v>
      </x:c>
      <x:c r="L495" s="12" t="str">
        <x:v>Hot</x:v>
      </x:c>
    </x:row>
    <x:row r="496">
      <x:c r="A496" s="12" t="str">
        <x:v>LEAD-00495</x:v>
      </x:c>
      <x:c r="B496" s="18" t="n">
        <x:v>46223</x:v>
      </x:c>
      <x:c r="C496" s="12" t="str">
        <x:v>DLR-018</x:v>
      </x:c>
      <x:c r="D496" s="12" t="str">
        <x:v>OMODA &amp; JAECOO HTA Nam Từ Liêm</x:v>
      </x:c>
      <x:c r="E496" s="12" t="str">
        <x:v>OMODA &amp; JAECOO</x:v>
      </x:c>
      <x:c r="F496" s="12" t="str">
        <x:v>Walk-in</x:v>
      </x:c>
      <x:c r="G496" s="12" t="str">
        <x:v>Qualified</x:v>
      </x:c>
      <x:c r="H496" s="34" t="n">
        <x:v>0.3</x:v>
      </x:c>
      <x:c r="I496" s="12" t="n">
        <x:v>0.71</x:v>
      </x:c>
      <x:c r="J496" s="12" t="n">
        <x:v>2</x:v>
      </x:c>
      <x:c r="K496" s="12" t="str">
        <x:v>Sales B</x:v>
      </x:c>
      <x:c r="L496" s="12" t="str">
        <x:v>Hot</x:v>
      </x:c>
    </x:row>
    <x:row r="497">
      <x:c r="A497" s="12" t="str">
        <x:v>LEAD-00496</x:v>
      </x:c>
      <x:c r="B497" s="18" t="n">
        <x:v>46223</x:v>
      </x:c>
      <x:c r="C497" s="12" t="str">
        <x:v>DLR-005</x:v>
      </x:c>
      <x:c r="D497" s="12" t="str">
        <x:v>BYD HTA Tây Hồ</x:v>
      </x:c>
      <x:c r="E497" s="12" t="str">
        <x:v>BYD</x:v>
      </x:c>
      <x:c r="F497" s="12" t="str">
        <x:v>Referral</x:v>
      </x:c>
      <x:c r="G497" s="12" t="str">
        <x:v>Test Drive</x:v>
      </x:c>
      <x:c r="H497" s="34" t="n">
        <x:v>0.5</x:v>
      </x:c>
      <x:c r="I497" s="12" t="n">
        <x:v>0.81</x:v>
      </x:c>
      <x:c r="J497" s="12" t="n">
        <x:v>2</x:v>
      </x:c>
      <x:c r="K497" s="12" t="str">
        <x:v>Sales C</x:v>
      </x:c>
      <x:c r="L497" s="12" t="str">
        <x:v>Hot</x:v>
      </x:c>
    </x:row>
    <x:row r="498">
      <x:c r="A498" s="12" t="str">
        <x:v>LEAD-00497</x:v>
      </x:c>
      <x:c r="B498" s="18" t="n">
        <x:v>46208</x:v>
      </x:c>
      <x:c r="C498" s="12" t="str">
        <x:v>DLR-002</x:v>
      </x:c>
      <x:c r="D498" s="12" t="str">
        <x:v>Hà Thành Ford - Mỹ Đình</x:v>
      </x:c>
      <x:c r="E498" s="12" t="str">
        <x:v>Ford</x:v>
      </x:c>
      <x:c r="F498" s="12" t="str">
        <x:v>Walk-in</x:v>
      </x:c>
      <x:c r="G498" s="12" t="str">
        <x:v>Negotiation</x:v>
      </x:c>
      <x:c r="H498" s="34" t="n">
        <x:v>0.7</x:v>
      </x:c>
      <x:c r="I498" s="12" t="n">
        <x:v>0.27</x:v>
      </x:c>
      <x:c r="J498" s="12" t="n">
        <x:v>17</x:v>
      </x:c>
      <x:c r="K498" s="12" t="str">
        <x:v>Sales D</x:v>
      </x:c>
      <x:c r="L498" s="12" t="str">
        <x:v>Hot</x:v>
      </x:c>
    </x:row>
    <x:row r="499">
      <x:c r="A499" s="12" t="str">
        <x:v>LEAD-00498</x:v>
      </x:c>
      <x:c r="B499" s="18" t="n">
        <x:v>46207</x:v>
      </x:c>
      <x:c r="C499" s="12" t="str">
        <x:v>DLR-017</x:v>
      </x:c>
      <x:c r="D499" s="12" t="str">
        <x:v>VinFast Quốc Oai</x:v>
      </x:c>
      <x:c r="E499" s="12" t="str">
        <x:v>VinFast</x:v>
      </x:c>
      <x:c r="F499" s="12" t="str">
        <x:v>Walk-in</x:v>
      </x:c>
      <x:c r="G499" s="12" t="str">
        <x:v>Test Drive</x:v>
      </x:c>
      <x:c r="H499" s="34" t="n">
        <x:v>0.5</x:v>
      </x:c>
      <x:c r="I499" s="12" t="n">
        <x:v>0.6</x:v>
      </x:c>
      <x:c r="J499" s="12" t="n">
        <x:v>18</x:v>
      </x:c>
      <x:c r="K499" s="12" t="str">
        <x:v>Sales B</x:v>
      </x:c>
      <x:c r="L499" s="12" t="str">
        <x:v>Priority</x:v>
      </x:c>
    </x:row>
    <x:row r="500">
      <x:c r="A500" s="12" t="str">
        <x:v>LEAD-00499</x:v>
      </x:c>
      <x:c r="B500" s="18" t="n">
        <x:v>46211</x:v>
      </x:c>
      <x:c r="C500" s="12" t="str">
        <x:v>DLR-015</x:v>
      </x:c>
      <x:c r="D500" s="12" t="str">
        <x:v>VinFast HTA Văn Phú</x:v>
      </x:c>
      <x:c r="E500" s="12" t="str">
        <x:v>VinFast</x:v>
      </x:c>
      <x:c r="F500" s="12" t="str">
        <x:v>Walk-in</x:v>
      </x:c>
      <x:c r="G500" s="12" t="str">
        <x:v>Test Drive</x:v>
      </x:c>
      <x:c r="H500" s="34" t="n">
        <x:v>0.5</x:v>
      </x:c>
      <x:c r="I500" s="12" t="n">
        <x:v>1.28</x:v>
      </x:c>
      <x:c r="J500" s="12" t="n">
        <x:v>14</x:v>
      </x:c>
      <x:c r="K500" s="12" t="str">
        <x:v>Sales C</x:v>
      </x:c>
      <x:c r="L500" s="12" t="str">
        <x:v>Normal</x:v>
      </x:c>
    </x:row>
    <x:row r="501">
      <x:c r="A501" s="12" t="str">
        <x:v>LEAD-00500</x:v>
      </x:c>
      <x:c r="B501" s="18" t="n">
        <x:v>46217</x:v>
      </x:c>
      <x:c r="C501" s="12" t="str">
        <x:v>DLR-013</x:v>
      </x:c>
      <x:c r="D501" s="12" t="str">
        <x:v>VinFast HTA Ninh Bình</x:v>
      </x:c>
      <x:c r="E501" s="12" t="str">
        <x:v>VinFast</x:v>
      </x:c>
      <x:c r="F501" s="12" t="str">
        <x:v>Corporate/Fleet</x:v>
      </x:c>
      <x:c r="G501" s="12" t="str">
        <x:v>Contacted</x:v>
      </x:c>
      <x:c r="H501" s="34" t="n">
        <x:v>0.15</x:v>
      </x:c>
      <x:c r="I501" s="12" t="n">
        <x:v>1.27</x:v>
      </x:c>
      <x:c r="J501" s="12" t="n">
        <x:v>8</x:v>
      </x:c>
      <x:c r="K501" s="12" t="str">
        <x:v>Sales A</x:v>
      </x:c>
      <x:c r="L501" s="12" t="str">
        <x:v>Normal</x:v>
      </x:c>
    </x:row>
  </x:sheetData>
  <x:conditionalFormatting sqref="J2:J50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05d799c2be14e8a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34" hidden="0" customWidth="1"/>
    <x:col min="4" max="4" width="20" hidden="0" customWidth="1"/>
    <x:col min="5" max="5" width="14" hidden="0" customWidth="1"/>
    <x:col min="6" max="6" width="16" hidden="0" customWidth="1"/>
    <x:col min="7" max="7" width="22" hidden="0" customWidth="1"/>
    <x:col min="8" max="8" width="20" hidden="0" customWidth="1"/>
    <x:col min="9" max="9" width="18" hidden="0" customWidth="1"/>
    <x:col min="10" max="10" width="14" hidden="0" customWidth="1"/>
    <x:col min="11" max="11" width="20" hidden="0" customWidth="1"/>
  </x:cols>
  <x:sheetData>
    <x:row r="1">
      <x:c r="A1" s="29" t="str">
        <x:v>Order ID</x:v>
      </x:c>
      <x:c r="B1" s="29" t="str">
        <x:v>Mã đại lý</x:v>
      </x:c>
      <x:c r="C1" s="29" t="str">
        <x:v>Đại lý</x:v>
      </x:c>
      <x:c r="D1" s="29" t="str">
        <x:v>Thương hiệu</x:v>
      </x:c>
      <x:c r="E1" s="29" t="str">
        <x:v>Ngày đặt</x:v>
      </x:c>
      <x:c r="F1" s="29" t="str">
        <x:v>Ngày hứa giao</x:v>
      </x:c>
      <x:c r="G1" s="29" t="str">
        <x:v>Ngày giao dự kiến/thực tế</x:v>
      </x:c>
      <x:c r="H1" s="29" t="str">
        <x:v>Trạng thái</x:v>
      </x:c>
      <x:c r="I1" s="29" t="str">
        <x:v>Chậm giao (ngày)</x:v>
      </x:c>
      <x:c r="J1" s="29" t="str">
        <x:v>Đúng hạn</x:v>
      </x:c>
      <x:c r="K1" s="29" t="str">
        <x:v>Hình thức thanh toán</x:v>
      </x:c>
    </x:row>
    <x:row r="2">
      <x:c r="A2" s="12" t="str">
        <x:v>ORD-00001</x:v>
      </x:c>
      <x:c r="B2" s="12" t="str">
        <x:v>DLR-015</x:v>
      </x:c>
      <x:c r="C2" s="12" t="str">
        <x:v>VinFast HTA Văn Phú</x:v>
      </x:c>
      <x:c r="D2" s="12" t="str">
        <x:v>VinFast</x:v>
      </x:c>
      <x:c r="E2" s="18" t="n">
        <x:v>46210</x:v>
      </x:c>
      <x:c r="F2" s="18" t="n">
        <x:v>46217</x:v>
      </x:c>
      <x:c r="G2" s="18" t="n">
        <x:v>46214</x:v>
      </x:c>
      <x:c r="H2" s="12" t="str">
        <x:v>Delivered</x:v>
      </x:c>
      <x:c r="I2" s="12" t="n">
        <x:v>-3</x:v>
      </x:c>
      <x:c r="J2" s="12" t="str">
        <x:f>IF(H2="Delivered",IF(I2&lt;=0,"Yes","No"),"Pending")</x:f>
        <x:v>Yes</x:v>
      </x:c>
      <x:c r="K2" s="12" t="str">
        <x:v>Bank Loan</x:v>
      </x:c>
    </x:row>
    <x:row r="3">
      <x:c r="A3" s="12" t="str">
        <x:v>ORD-00002</x:v>
      </x:c>
      <x:c r="B3" s="12" t="str">
        <x:v>DLR-018</x:v>
      </x:c>
      <x:c r="C3" s="12" t="str">
        <x:v>OMODA &amp; JAECOO HTA Nam Từ Liêm</x:v>
      </x:c>
      <x:c r="D3" s="12" t="str">
        <x:v>OMODA &amp; JAECOO</x:v>
      </x:c>
      <x:c r="E3" s="18" t="n">
        <x:v>46219</x:v>
      </x:c>
      <x:c r="F3" s="18" t="n">
        <x:v>46225</x:v>
      </x:c>
      <x:c r="G3" s="18" t="n">
        <x:v>46227</x:v>
      </x:c>
      <x:c r="H3" s="12" t="str">
        <x:v>Awaiting Registration</x:v>
      </x:c>
      <x:c r="I3" s="12" t="n">
        <x:v>2</x:v>
      </x:c>
      <x:c r="J3" s="12" t="str">
        <x:f>IF(H3="Delivered",IF(I3&lt;=0,"Yes","No"),"Pending")</x:f>
        <x:v>Pending</x:v>
      </x:c>
      <x:c r="K3" s="12" t="str">
        <x:v>Leasing</x:v>
      </x:c>
    </x:row>
    <x:row r="4">
      <x:c r="A4" s="12" t="str">
        <x:v>ORD-00003</x:v>
      </x:c>
      <x:c r="B4" s="12" t="str">
        <x:v>DLR-004</x:v>
      </x:c>
      <x:c r="C4" s="12" t="str">
        <x:v>Việt Trì Ford</x:v>
      </x:c>
      <x:c r="D4" s="12" t="str">
        <x:v>Ford</x:v>
      </x:c>
      <x:c r="E4" s="18" t="n">
        <x:v>46197</x:v>
      </x:c>
      <x:c r="F4" s="18" t="n">
        <x:v>46213</x:v>
      </x:c>
      <x:c r="G4" s="18" t="n">
        <x:v>46219</x:v>
      </x:c>
      <x:c r="H4" s="12" t="str">
        <x:v>Delivered</x:v>
      </x:c>
      <x:c r="I4" s="12" t="n">
        <x:v>6</x:v>
      </x:c>
      <x:c r="J4" s="12" t="str">
        <x:f>IF(H4="Delivered",IF(I4&lt;=0,"Yes","No"),"Pending")</x:f>
        <x:v>No</x:v>
      </x:c>
      <x:c r="K4" s="12" t="str">
        <x:v>Leasing</x:v>
      </x:c>
    </x:row>
    <x:row r="5">
      <x:c r="A5" s="12" t="str">
        <x:v>ORD-00004</x:v>
      </x:c>
      <x:c r="B5" s="12" t="str">
        <x:v>DLR-006</x:v>
      </x:c>
      <x:c r="C5" s="12" t="str">
        <x:v>BYD HTA Hoàn Kiếm</x:v>
      </x:c>
      <x:c r="D5" s="12" t="str">
        <x:v>BYD</x:v>
      </x:c>
      <x:c r="E5" s="18" t="n">
        <x:v>46198</x:v>
      </x:c>
      <x:c r="F5" s="18" t="n">
        <x:v>46211</x:v>
      </x:c>
      <x:c r="G5" s="18" t="n">
        <x:v>46217</x:v>
      </x:c>
      <x:c r="H5" s="12" t="str">
        <x:v>Delivered</x:v>
      </x:c>
      <x:c r="I5" s="12" t="n">
        <x:v>6</x:v>
      </x:c>
      <x:c r="J5" s="12" t="str">
        <x:f>IF(H5="Delivered",IF(I5&lt;=0,"Yes","No"),"Pending")</x:f>
        <x:v>No</x:v>
      </x:c>
      <x:c r="K5" s="12" t="str">
        <x:v>Leasing</x:v>
      </x:c>
    </x:row>
    <x:row r="6">
      <x:c r="A6" s="12" t="str">
        <x:v>ORD-00005</x:v>
      </x:c>
      <x:c r="B6" s="12" t="str">
        <x:v>DLR-002</x:v>
      </x:c>
      <x:c r="C6" s="12" t="str">
        <x:v>Hà Thành Ford - Mỹ Đình</x:v>
      </x:c>
      <x:c r="D6" s="12" t="str">
        <x:v>Ford</x:v>
      </x:c>
      <x:c r="E6" s="18" t="n">
        <x:v>46211</x:v>
      </x:c>
      <x:c r="F6" s="18" t="n">
        <x:v>46216</x:v>
      </x:c>
      <x:c r="G6" s="18" t="n">
        <x:v>46218</x:v>
      </x:c>
      <x:c r="H6" s="12" t="str">
        <x:v>Delivered</x:v>
      </x:c>
      <x:c r="I6" s="12" t="n">
        <x:v>2</x:v>
      </x:c>
      <x:c r="J6" s="12" t="str">
        <x:f>IF(H6="Delivered",IF(I6&lt;=0,"Yes","No"),"Pending")</x:f>
        <x:v>No</x:v>
      </x:c>
      <x:c r="K6" s="12" t="str">
        <x:v>Cash</x:v>
      </x:c>
    </x:row>
    <x:row r="7">
      <x:c r="A7" s="12" t="str">
        <x:v>ORD-00006</x:v>
      </x:c>
      <x:c r="B7" s="12" t="str">
        <x:v>DLR-011</x:v>
      </x:c>
      <x:c r="C7" s="12" t="str">
        <x:v>VinFast HTA Phạm Văn Đồng</x:v>
      </x:c>
      <x:c r="D7" s="12" t="str">
        <x:v>VinFast</x:v>
      </x:c>
      <x:c r="E7" s="18" t="n">
        <x:v>46192</x:v>
      </x:c>
      <x:c r="F7" s="18" t="n">
        <x:v>46211</x:v>
      </x:c>
      <x:c r="G7" s="18" t="n">
        <x:v>46212</x:v>
      </x:c>
      <x:c r="H7" s="12" t="str">
        <x:v>Delivered</x:v>
      </x:c>
      <x:c r="I7" s="12" t="n">
        <x:v>1</x:v>
      </x:c>
      <x:c r="J7" s="12" t="str">
        <x:f>IF(H7="Delivered",IF(I7&lt;=0,"Yes","No"),"Pending")</x:f>
        <x:v>No</x:v>
      </x:c>
      <x:c r="K7" s="12" t="str">
        <x:v>Bank Loan</x:v>
      </x:c>
    </x:row>
    <x:row r="8">
      <x:c r="A8" s="12" t="str">
        <x:v>ORD-00007</x:v>
      </x:c>
      <x:c r="B8" s="12" t="str">
        <x:v>DLR-003</x:v>
      </x:c>
      <x:c r="C8" s="12" t="str">
        <x:v>Mỹ Đình Ford</x:v>
      </x:c>
      <x:c r="D8" s="12" t="str">
        <x:v>Ford</x:v>
      </x:c>
      <x:c r="E8" s="18" t="n">
        <x:v>46214</x:v>
      </x:c>
      <x:c r="F8" s="18" t="n">
        <x:v>46234</x:v>
      </x:c>
      <x:c r="G8" s="18" t="n">
        <x:v>46241</x:v>
      </x:c>
      <x:c r="H8" s="12" t="str">
        <x:v>In Transit</x:v>
      </x:c>
      <x:c r="I8" s="12" t="n">
        <x:v>7</x:v>
      </x:c>
      <x:c r="J8" s="12" t="str">
        <x:f>IF(H8="Delivered",IF(I8&lt;=0,"Yes","No"),"Pending")</x:f>
        <x:v>Pending</x:v>
      </x:c>
      <x:c r="K8" s="12" t="str">
        <x:v>Cash</x:v>
      </x:c>
    </x:row>
    <x:row r="9">
      <x:c r="A9" s="12" t="str">
        <x:v>ORD-00008</x:v>
      </x:c>
      <x:c r="B9" s="12" t="str">
        <x:v>DLR-020</x:v>
      </x:c>
      <x:c r="C9" s="12" t="str">
        <x:v>Wuling HTA Long Biên</x:v>
      </x:c>
      <x:c r="D9" s="12" t="str">
        <x:v>Wuling</x:v>
      </x:c>
      <x:c r="E9" s="18" t="n">
        <x:v>46193</x:v>
      </x:c>
      <x:c r="F9" s="18" t="n">
        <x:v>46205</x:v>
      </x:c>
      <x:c r="G9" s="18" t="n">
        <x:v>46214</x:v>
      </x:c>
      <x:c r="H9" s="12" t="str">
        <x:v>Delivered</x:v>
      </x:c>
      <x:c r="I9" s="12" t="n">
        <x:v>9</x:v>
      </x:c>
      <x:c r="J9" s="12" t="str">
        <x:f>IF(H9="Delivered",IF(I9&lt;=0,"Yes","No"),"Pending")</x:f>
        <x:v>No</x:v>
      </x:c>
      <x:c r="K9" s="12" t="str">
        <x:v>Cash</x:v>
      </x:c>
    </x:row>
    <x:row r="10">
      <x:c r="A10" s="12" t="str">
        <x:v>ORD-00009</x:v>
      </x:c>
      <x:c r="B10" s="12" t="str">
        <x:v>DLR-020</x:v>
      </x:c>
      <x:c r="C10" s="12" t="str">
        <x:v>Wuling HTA Long Biên</x:v>
      </x:c>
      <x:c r="D10" s="12" t="str">
        <x:v>Wuling</x:v>
      </x:c>
      <x:c r="E10" s="18" t="n">
        <x:v>46204</x:v>
      </x:c>
      <x:c r="F10" s="18" t="n">
        <x:v>46212</x:v>
      </x:c>
      <x:c r="G10" s="18" t="n">
        <x:v>46215</x:v>
      </x:c>
      <x:c r="H10" s="12" t="str">
        <x:v>Delivered</x:v>
      </x:c>
      <x:c r="I10" s="12" t="n">
        <x:v>3</x:v>
      </x:c>
      <x:c r="J10" s="12" t="str">
        <x:f>IF(H10="Delivered",IF(I10&lt;=0,"Yes","No"),"Pending")</x:f>
        <x:v>No</x:v>
      </x:c>
      <x:c r="K10" s="12" t="str">
        <x:v>Leasing</x:v>
      </x:c>
    </x:row>
    <x:row r="11">
      <x:c r="A11" s="12" t="str">
        <x:v>ORD-00010</x:v>
      </x:c>
      <x:c r="B11" s="12" t="str">
        <x:v>DLR-006</x:v>
      </x:c>
      <x:c r="C11" s="12" t="str">
        <x:v>BYD HTA Hoàn Kiếm</x:v>
      </x:c>
      <x:c r="D11" s="12" t="str">
        <x:v>BYD</x:v>
      </x:c>
      <x:c r="E11" s="18" t="n">
        <x:v>46204</x:v>
      </x:c>
      <x:c r="F11" s="18" t="n">
        <x:v>46212</x:v>
      </x:c>
      <x:c r="G11" s="18" t="n">
        <x:v>46219</x:v>
      </x:c>
      <x:c r="H11" s="12" t="str">
        <x:v>Delivered</x:v>
      </x:c>
      <x:c r="I11" s="12" t="n">
        <x:v>7</x:v>
      </x:c>
      <x:c r="J11" s="12" t="str">
        <x:f>IF(H11="Delivered",IF(I11&lt;=0,"Yes","No"),"Pending")</x:f>
        <x:v>No</x:v>
      </x:c>
      <x:c r="K11" s="12" t="str">
        <x:v>Leasing</x:v>
      </x:c>
    </x:row>
    <x:row r="12">
      <x:c r="A12" s="12" t="str">
        <x:v>ORD-00011</x:v>
      </x:c>
      <x:c r="B12" s="12" t="str">
        <x:v>DLR-018</x:v>
      </x:c>
      <x:c r="C12" s="12" t="str">
        <x:v>OMODA &amp; JAECOO HTA Nam Từ Liêm</x:v>
      </x:c>
      <x:c r="D12" s="12" t="str">
        <x:v>OMODA &amp; JAECOO</x:v>
      </x:c>
      <x:c r="E12" s="18" t="n">
        <x:v>46174</x:v>
      </x:c>
      <x:c r="F12" s="18" t="n">
        <x:v>46182</x:v>
      </x:c>
      <x:c r="G12" s="18" t="n">
        <x:v>46179</x:v>
      </x:c>
      <x:c r="H12" s="12" t="str">
        <x:v>Delivered</x:v>
      </x:c>
      <x:c r="I12" s="12" t="n">
        <x:v>-3</x:v>
      </x:c>
      <x:c r="J12" s="12" t="str">
        <x:f>IF(H12="Delivered",IF(I12&lt;=0,"Yes","No"),"Pending")</x:f>
        <x:v>Yes</x:v>
      </x:c>
      <x:c r="K12" s="12" t="str">
        <x:v>Bank Loan</x:v>
      </x:c>
    </x:row>
    <x:row r="13">
      <x:c r="A13" s="12" t="str">
        <x:v>ORD-00012</x:v>
      </x:c>
      <x:c r="B13" s="12" t="str">
        <x:v>DLR-012</x:v>
      </x:c>
      <x:c r="C13" s="12" t="str">
        <x:v>VinFast HTA Võ Chí Công</x:v>
      </x:c>
      <x:c r="D13" s="12" t="str">
        <x:v>VinFast</x:v>
      </x:c>
      <x:c r="E13" s="18" t="n">
        <x:v>46196</x:v>
      </x:c>
      <x:c r="F13" s="18" t="n">
        <x:v>46209</x:v>
      </x:c>
      <x:c r="G13" s="18" t="n">
        <x:v>46218</x:v>
      </x:c>
      <x:c r="H13" s="12" t="str">
        <x:v>Delivered</x:v>
      </x:c>
      <x:c r="I13" s="12" t="n">
        <x:v>9</x:v>
      </x:c>
      <x:c r="J13" s="12" t="str">
        <x:f>IF(H13="Delivered",IF(I13&lt;=0,"Yes","No"),"Pending")</x:f>
        <x:v>No</x:v>
      </x:c>
      <x:c r="K13" s="12" t="str">
        <x:v>Bank Loan</x:v>
      </x:c>
    </x:row>
    <x:row r="14">
      <x:c r="A14" s="12" t="str">
        <x:v>ORD-00013</x:v>
      </x:c>
      <x:c r="B14" s="12" t="str">
        <x:v>DLR-002</x:v>
      </x:c>
      <x:c r="C14" s="12" t="str">
        <x:v>Hà Thành Ford - Mỹ Đình</x:v>
      </x:c>
      <x:c r="D14" s="12" t="str">
        <x:v>Ford</x:v>
      </x:c>
      <x:c r="E14" s="18" t="n">
        <x:v>46194</x:v>
      </x:c>
      <x:c r="F14" s="18" t="n">
        <x:v>46202</x:v>
      </x:c>
      <x:c r="G14" s="18" t="n">
        <x:v>46209</x:v>
      </x:c>
      <x:c r="H14" s="12" t="str">
        <x:v>Delivered</x:v>
      </x:c>
      <x:c r="I14" s="12" t="n">
        <x:v>7</x:v>
      </x:c>
      <x:c r="J14" s="12" t="str">
        <x:f>IF(H14="Delivered",IF(I14&lt;=0,"Yes","No"),"Pending")</x:f>
        <x:v>No</x:v>
      </x:c>
      <x:c r="K14" s="12" t="str">
        <x:v>Bank Loan</x:v>
      </x:c>
    </x:row>
    <x:row r="15">
      <x:c r="A15" s="12" t="str">
        <x:v>ORD-00014</x:v>
      </x:c>
      <x:c r="B15" s="12" t="str">
        <x:v>DLR-017</x:v>
      </x:c>
      <x:c r="C15" s="12" t="str">
        <x:v>VinFast Quốc Oai</x:v>
      </x:c>
      <x:c r="D15" s="12" t="str">
        <x:v>VinFast</x:v>
      </x:c>
      <x:c r="E15" s="18" t="n">
        <x:v>46199</x:v>
      </x:c>
      <x:c r="F15" s="18" t="n">
        <x:v>46219</x:v>
      </x:c>
      <x:c r="G15" s="18" t="n">
        <x:v>46219</x:v>
      </x:c>
      <x:c r="H15" s="12" t="str">
        <x:v>Delivered</x:v>
      </x:c>
      <x:c r="I15" s="12" t="n">
        <x:v>0</x:v>
      </x:c>
      <x:c r="J15" s="12" t="str">
        <x:f>IF(H15="Delivered",IF(I15&lt;=0,"Yes","No"),"Pending")</x:f>
        <x:v>Yes</x:v>
      </x:c>
      <x:c r="K15" s="12" t="str">
        <x:v>Cash</x:v>
      </x:c>
    </x:row>
    <x:row r="16">
      <x:c r="A16" s="12" t="str">
        <x:v>ORD-00015</x:v>
      </x:c>
      <x:c r="B16" s="12" t="str">
        <x:v>DLR-007</x:v>
      </x:c>
      <x:c r="C16" s="12" t="str">
        <x:v>BYD Hà Đông</x:v>
      </x:c>
      <x:c r="D16" s="12" t="str">
        <x:v>BYD</x:v>
      </x:c>
      <x:c r="E16" s="18" t="n">
        <x:v>46200</x:v>
      </x:c>
      <x:c r="F16" s="18" t="n">
        <x:v>46215</x:v>
      </x:c>
      <x:c r="G16" s="18" t="n">
        <x:v>46218</x:v>
      </x:c>
      <x:c r="H16" s="12" t="str">
        <x:v>Delivered</x:v>
      </x:c>
      <x:c r="I16" s="12" t="n">
        <x:v>3</x:v>
      </x:c>
      <x:c r="J16" s="12" t="str">
        <x:f>IF(H16="Delivered",IF(I16&lt;=0,"Yes","No"),"Pending")</x:f>
        <x:v>No</x:v>
      </x:c>
      <x:c r="K16" s="12" t="str">
        <x:v>Cash</x:v>
      </x:c>
    </x:row>
    <x:row r="17">
      <x:c r="A17" s="12" t="str">
        <x:v>ORD-00016</x:v>
      </x:c>
      <x:c r="B17" s="12" t="str">
        <x:v>DLR-018</x:v>
      </x:c>
      <x:c r="C17" s="12" t="str">
        <x:v>OMODA &amp; JAECOO HTA Nam Từ Liêm</x:v>
      </x:c>
      <x:c r="D17" s="12" t="str">
        <x:v>OMODA &amp; JAECOO</x:v>
      </x:c>
      <x:c r="E17" s="18" t="n">
        <x:v>46210</x:v>
      </x:c>
      <x:c r="F17" s="18" t="n">
        <x:v>46218</x:v>
      </x:c>
      <x:c r="G17" s="18" t="n">
        <x:v>46219</x:v>
      </x:c>
      <x:c r="H17" s="12" t="str">
        <x:v>Delivered</x:v>
      </x:c>
      <x:c r="I17" s="12" t="n">
        <x:v>1</x:v>
      </x:c>
      <x:c r="J17" s="12" t="str">
        <x:f>IF(H17="Delivered",IF(I17&lt;=0,"Yes","No"),"Pending")</x:f>
        <x:v>No</x:v>
      </x:c>
      <x:c r="K17" s="12" t="str">
        <x:v>Bank Loan</x:v>
      </x:c>
    </x:row>
    <x:row r="18">
      <x:c r="A18" s="12" t="str">
        <x:v>ORD-00017</x:v>
      </x:c>
      <x:c r="B18" s="12" t="str">
        <x:v>DLR-014</x:v>
      </x:c>
      <x:c r="C18" s="12" t="str">
        <x:v>VinFast HTA Nam Từ Liêm</x:v>
      </x:c>
      <x:c r="D18" s="12" t="str">
        <x:v>VinFast</x:v>
      </x:c>
      <x:c r="E18" s="18" t="n">
        <x:v>46222</x:v>
      </x:c>
      <x:c r="F18" s="18" t="n">
        <x:v>46232</x:v>
      </x:c>
      <x:c r="G18" s="18" t="n">
        <x:v>46234</x:v>
      </x:c>
      <x:c r="H18" s="12" t="str">
        <x:v>In Transit</x:v>
      </x:c>
      <x:c r="I18" s="12" t="n">
        <x:v>2</x:v>
      </x:c>
      <x:c r="J18" s="12" t="str">
        <x:f>IF(H18="Delivered",IF(I18&lt;=0,"Yes","No"),"Pending")</x:f>
        <x:v>Pending</x:v>
      </x:c>
      <x:c r="K18" s="12" t="str">
        <x:v>Cash</x:v>
      </x:c>
    </x:row>
    <x:row r="19">
      <x:c r="A19" s="12" t="str">
        <x:v>ORD-00018</x:v>
      </x:c>
      <x:c r="B19" s="12" t="str">
        <x:v>DLR-008</x:v>
      </x:c>
      <x:c r="C19" s="12" t="str">
        <x:v>VinFast HTA Nguyễn Văn Linh</x:v>
      </x:c>
      <x:c r="D19" s="12" t="str">
        <x:v>VinFast</x:v>
      </x:c>
      <x:c r="E19" s="18" t="n">
        <x:v>46207</x:v>
      </x:c>
      <x:c r="F19" s="18" t="n">
        <x:v>46222</x:v>
      </x:c>
      <x:c r="G19" s="18" t="n">
        <x:v>46222</x:v>
      </x:c>
      <x:c r="H19" s="12" t="str">
        <x:v>Delivered</x:v>
      </x:c>
      <x:c r="I19" s="12" t="n">
        <x:v>0</x:v>
      </x:c>
      <x:c r="J19" s="12" t="str">
        <x:f>IF(H19="Delivered",IF(I19&lt;=0,"Yes","No"),"Pending")</x:f>
        <x:v>Yes</x:v>
      </x:c>
      <x:c r="K19" s="12" t="str">
        <x:v>Leasing</x:v>
      </x:c>
    </x:row>
    <x:row r="20">
      <x:c r="A20" s="12" t="str">
        <x:v>ORD-00019</x:v>
      </x:c>
      <x:c r="B20" s="12" t="str">
        <x:v>DLR-004</x:v>
      </x:c>
      <x:c r="C20" s="12" t="str">
        <x:v>Việt Trì Ford</x:v>
      </x:c>
      <x:c r="D20" s="12" t="str">
        <x:v>Ford</x:v>
      </x:c>
      <x:c r="E20" s="18" t="n">
        <x:v>46194</x:v>
      </x:c>
      <x:c r="F20" s="18" t="n">
        <x:v>46203</x:v>
      </x:c>
      <x:c r="G20" s="18" t="n">
        <x:v>46204</x:v>
      </x:c>
      <x:c r="H20" s="12" t="str">
        <x:v>Delivered</x:v>
      </x:c>
      <x:c r="I20" s="12" t="n">
        <x:v>1</x:v>
      </x:c>
      <x:c r="J20" s="12" t="str">
        <x:f>IF(H20="Delivered",IF(I20&lt;=0,"Yes","No"),"Pending")</x:f>
        <x:v>No</x:v>
      </x:c>
      <x:c r="K20" s="12" t="str">
        <x:v>Cash</x:v>
      </x:c>
    </x:row>
    <x:row r="21">
      <x:c r="A21" s="12" t="str">
        <x:v>ORD-00020</x:v>
      </x:c>
      <x:c r="B21" s="12" t="str">
        <x:v>DLR-018</x:v>
      </x:c>
      <x:c r="C21" s="12" t="str">
        <x:v>OMODA &amp; JAECOO HTA Nam Từ Liêm</x:v>
      </x:c>
      <x:c r="D21" s="12" t="str">
        <x:v>OMODA &amp; JAECOO</x:v>
      </x:c>
      <x:c r="E21" s="18" t="n">
        <x:v>46195</x:v>
      </x:c>
      <x:c r="F21" s="18" t="n">
        <x:v>46206</x:v>
      </x:c>
      <x:c r="G21" s="18" t="n">
        <x:v>46203</x:v>
      </x:c>
      <x:c r="H21" s="12" t="str">
        <x:v>Delivered</x:v>
      </x:c>
      <x:c r="I21" s="12" t="n">
        <x:v>-3</x:v>
      </x:c>
      <x:c r="J21" s="12" t="str">
        <x:f>IF(H21="Delivered",IF(I21&lt;=0,"Yes","No"),"Pending")</x:f>
        <x:v>Yes</x:v>
      </x:c>
      <x:c r="K21" s="12" t="str">
        <x:v>Bank Loan</x:v>
      </x:c>
    </x:row>
    <x:row r="22">
      <x:c r="A22" s="12" t="str">
        <x:v>ORD-00021</x:v>
      </x:c>
      <x:c r="B22" s="12" t="str">
        <x:v>DLR-020</x:v>
      </x:c>
      <x:c r="C22" s="12" t="str">
        <x:v>Wuling HTA Long Biên</x:v>
      </x:c>
      <x:c r="D22" s="12" t="str">
        <x:v>Wuling</x:v>
      </x:c>
      <x:c r="E22" s="18" t="n">
        <x:v>46204</x:v>
      </x:c>
      <x:c r="F22" s="18" t="n">
        <x:v>46218</x:v>
      </x:c>
      <x:c r="G22" s="18" t="n">
        <x:v>46221</x:v>
      </x:c>
      <x:c r="H22" s="12" t="str">
        <x:v>Delivered</x:v>
      </x:c>
      <x:c r="I22" s="12" t="n">
        <x:v>3</x:v>
      </x:c>
      <x:c r="J22" s="12" t="str">
        <x:f>IF(H22="Delivered",IF(I22&lt;=0,"Yes","No"),"Pending")</x:f>
        <x:v>No</x:v>
      </x:c>
      <x:c r="K22" s="12" t="str">
        <x:v>Cash</x:v>
      </x:c>
    </x:row>
    <x:row r="23">
      <x:c r="A23" s="12" t="str">
        <x:v>ORD-00022</x:v>
      </x:c>
      <x:c r="B23" s="12" t="str">
        <x:v>DLR-011</x:v>
      </x:c>
      <x:c r="C23" s="12" t="str">
        <x:v>VinFast HTA Phạm Văn Đồng</x:v>
      </x:c>
      <x:c r="D23" s="12" t="str">
        <x:v>VinFast</x:v>
      </x:c>
      <x:c r="E23" s="18" t="n">
        <x:v>46175</x:v>
      </x:c>
      <x:c r="F23" s="18" t="n">
        <x:v>46193</x:v>
      </x:c>
      <x:c r="G23" s="18" t="n">
        <x:v>46199</x:v>
      </x:c>
      <x:c r="H23" s="12" t="str">
        <x:v>Delivered</x:v>
      </x:c>
      <x:c r="I23" s="12" t="n">
        <x:v>6</x:v>
      </x:c>
      <x:c r="J23" s="12" t="str">
        <x:f>IF(H23="Delivered",IF(I23&lt;=0,"Yes","No"),"Pending")</x:f>
        <x:v>No</x:v>
      </x:c>
      <x:c r="K23" s="12" t="str">
        <x:v>Cash</x:v>
      </x:c>
    </x:row>
    <x:row r="24">
      <x:c r="A24" s="12" t="str">
        <x:v>ORD-00023</x:v>
      </x:c>
      <x:c r="B24" s="12" t="str">
        <x:v>DLR-001</x:v>
      </x:c>
      <x:c r="C24" s="12" t="str">
        <x:v>Hà Thành Ford</x:v>
      </x:c>
      <x:c r="D24" s="12" t="str">
        <x:v>Ford</x:v>
      </x:c>
      <x:c r="E24" s="18" t="n">
        <x:v>46210</x:v>
      </x:c>
      <x:c r="F24" s="18" t="n">
        <x:v>46217</x:v>
      </x:c>
      <x:c r="G24" s="18" t="n">
        <x:v>46214</x:v>
      </x:c>
      <x:c r="H24" s="12" t="str">
        <x:v>Delivered</x:v>
      </x:c>
      <x:c r="I24" s="12" t="n">
        <x:v>-3</x:v>
      </x:c>
      <x:c r="J24" s="12" t="str">
        <x:f>IF(H24="Delivered",IF(I24&lt;=0,"Yes","No"),"Pending")</x:f>
        <x:v>Yes</x:v>
      </x:c>
      <x:c r="K24" s="12" t="str">
        <x:v>Bank Loan</x:v>
      </x:c>
    </x:row>
    <x:row r="25">
      <x:c r="A25" s="12" t="str">
        <x:v>ORD-00024</x:v>
      </x:c>
      <x:c r="B25" s="12" t="str">
        <x:v>DLR-002</x:v>
      </x:c>
      <x:c r="C25" s="12" t="str">
        <x:v>Hà Thành Ford - Mỹ Đình</x:v>
      </x:c>
      <x:c r="D25" s="12" t="str">
        <x:v>Ford</x:v>
      </x:c>
      <x:c r="E25" s="18" t="n">
        <x:v>46198</x:v>
      </x:c>
      <x:c r="F25" s="18" t="n">
        <x:v>46211</x:v>
      </x:c>
      <x:c r="G25" s="18" t="n">
        <x:v>46210</x:v>
      </x:c>
      <x:c r="H25" s="12" t="str">
        <x:v>Delivered</x:v>
      </x:c>
      <x:c r="I25" s="12" t="n">
        <x:v>-1</x:v>
      </x:c>
      <x:c r="J25" s="12" t="str">
        <x:f>IF(H25="Delivered",IF(I25&lt;=0,"Yes","No"),"Pending")</x:f>
        <x:v>Yes</x:v>
      </x:c>
      <x:c r="K25" s="12" t="str">
        <x:v>Bank Loan</x:v>
      </x:c>
    </x:row>
    <x:row r="26">
      <x:c r="A26" s="12" t="str">
        <x:v>ORD-00025</x:v>
      </x:c>
      <x:c r="B26" s="12" t="str">
        <x:v>DLR-003</x:v>
      </x:c>
      <x:c r="C26" s="12" t="str">
        <x:v>Mỹ Đình Ford</x:v>
      </x:c>
      <x:c r="D26" s="12" t="str">
        <x:v>Ford</x:v>
      </x:c>
      <x:c r="E26" s="18" t="n">
        <x:v>46204</x:v>
      </x:c>
      <x:c r="F26" s="18" t="n">
        <x:v>46210</x:v>
      </x:c>
      <x:c r="G26" s="18" t="n">
        <x:v>46213</x:v>
      </x:c>
      <x:c r="H26" s="12" t="str">
        <x:v>Delivered</x:v>
      </x:c>
      <x:c r="I26" s="12" t="n">
        <x:v>3</x:v>
      </x:c>
      <x:c r="J26" s="12" t="str">
        <x:f>IF(H26="Delivered",IF(I26&lt;=0,"Yes","No"),"Pending")</x:f>
        <x:v>No</x:v>
      </x:c>
      <x:c r="K26" s="12" t="str">
        <x:v>Bank Loan</x:v>
      </x:c>
    </x:row>
    <x:row r="27">
      <x:c r="A27" s="12" t="str">
        <x:v>ORD-00026</x:v>
      </x:c>
      <x:c r="B27" s="12" t="str">
        <x:v>DLR-014</x:v>
      </x:c>
      <x:c r="C27" s="12" t="str">
        <x:v>VinFast HTA Nam Từ Liêm</x:v>
      </x:c>
      <x:c r="D27" s="12" t="str">
        <x:v>VinFast</x:v>
      </x:c>
      <x:c r="E27" s="18" t="n">
        <x:v>46186</x:v>
      </x:c>
      <x:c r="F27" s="18" t="n">
        <x:v>46198</x:v>
      </x:c>
      <x:c r="G27" s="18" t="n">
        <x:v>46199</x:v>
      </x:c>
      <x:c r="H27" s="12" t="str">
        <x:v>Delivered</x:v>
      </x:c>
      <x:c r="I27" s="12" t="n">
        <x:v>1</x:v>
      </x:c>
      <x:c r="J27" s="12" t="str">
        <x:f>IF(H27="Delivered",IF(I27&lt;=0,"Yes","No"),"Pending")</x:f>
        <x:v>No</x:v>
      </x:c>
      <x:c r="K27" s="12" t="str">
        <x:v>Cash</x:v>
      </x:c>
    </x:row>
    <x:row r="28">
      <x:c r="A28" s="12" t="str">
        <x:v>ORD-00027</x:v>
      </x:c>
      <x:c r="B28" s="12" t="str">
        <x:v>DLR-012</x:v>
      </x:c>
      <x:c r="C28" s="12" t="str">
        <x:v>VinFast HTA Võ Chí Công</x:v>
      </x:c>
      <x:c r="D28" s="12" t="str">
        <x:v>VinFast</x:v>
      </x:c>
      <x:c r="E28" s="18" t="n">
        <x:v>46211</x:v>
      </x:c>
      <x:c r="F28" s="18" t="n">
        <x:v>46225</x:v>
      </x:c>
      <x:c r="G28" s="18" t="n">
        <x:v>46223</x:v>
      </x:c>
      <x:c r="H28" s="12" t="str">
        <x:v>Delivered</x:v>
      </x:c>
      <x:c r="I28" s="12" t="n">
        <x:v>-2</x:v>
      </x:c>
      <x:c r="J28" s="12" t="str">
        <x:f>IF(H28="Delivered",IF(I28&lt;=0,"Yes","No"),"Pending")</x:f>
        <x:v>Yes</x:v>
      </x:c>
      <x:c r="K28" s="12" t="str">
        <x:v>Cash</x:v>
      </x:c>
    </x:row>
    <x:row r="29">
      <x:c r="A29" s="12" t="str">
        <x:v>ORD-00028</x:v>
      </x:c>
      <x:c r="B29" s="12" t="str">
        <x:v>DLR-020</x:v>
      </x:c>
      <x:c r="C29" s="12" t="str">
        <x:v>Wuling HTA Long Biên</x:v>
      </x:c>
      <x:c r="D29" s="12" t="str">
        <x:v>Wuling</x:v>
      </x:c>
      <x:c r="E29" s="18" t="n">
        <x:v>46219</x:v>
      </x:c>
      <x:c r="F29" s="18" t="n">
        <x:v>46239</x:v>
      </x:c>
      <x:c r="G29" s="18" t="n">
        <x:v>46238</x:v>
      </x:c>
      <x:c r="H29" s="12" t="str">
        <x:v>Ready</x:v>
      </x:c>
      <x:c r="I29" s="12" t="n">
        <x:v>-1</x:v>
      </x:c>
      <x:c r="J29" s="12" t="str">
        <x:f>IF(H29="Delivered",IF(I29&lt;=0,"Yes","No"),"Pending")</x:f>
        <x:v>Pending</x:v>
      </x:c>
      <x:c r="K29" s="12" t="str">
        <x:v>Leasing</x:v>
      </x:c>
    </x:row>
    <x:row r="30">
      <x:c r="A30" s="12" t="str">
        <x:v>ORD-00029</x:v>
      </x:c>
      <x:c r="B30" s="12" t="str">
        <x:v>DLR-020</x:v>
      </x:c>
      <x:c r="C30" s="12" t="str">
        <x:v>Wuling HTA Long Biên</x:v>
      </x:c>
      <x:c r="D30" s="12" t="str">
        <x:v>Wuling</x:v>
      </x:c>
      <x:c r="E30" s="18" t="n">
        <x:v>46205</x:v>
      </x:c>
      <x:c r="F30" s="18" t="n">
        <x:v>46224</x:v>
      </x:c>
      <x:c r="G30" s="18" t="n">
        <x:v>46234</x:v>
      </x:c>
      <x:c r="H30" s="12" t="str">
        <x:v>Ready</x:v>
      </x:c>
      <x:c r="I30" s="12" t="n">
        <x:v>10</x:v>
      </x:c>
      <x:c r="J30" s="12" t="str">
        <x:f>IF(H30="Delivered",IF(I30&lt;=0,"Yes","No"),"Pending")</x:f>
        <x:v>Pending</x:v>
      </x:c>
      <x:c r="K30" s="12" t="str">
        <x:v>Leasing</x:v>
      </x:c>
    </x:row>
    <x:row r="31">
      <x:c r="A31" s="12" t="str">
        <x:v>ORD-00030</x:v>
      </x:c>
      <x:c r="B31" s="12" t="str">
        <x:v>DLR-020</x:v>
      </x:c>
      <x:c r="C31" s="12" t="str">
        <x:v>Wuling HTA Long Biên</x:v>
      </x:c>
      <x:c r="D31" s="12" t="str">
        <x:v>Wuling</x:v>
      </x:c>
      <x:c r="E31" s="18" t="n">
        <x:v>46192</x:v>
      </x:c>
      <x:c r="F31" s="18" t="n">
        <x:v>46206</x:v>
      </x:c>
      <x:c r="G31" s="18" t="n">
        <x:v>46213</x:v>
      </x:c>
      <x:c r="H31" s="12" t="str">
        <x:v>Delivered</x:v>
      </x:c>
      <x:c r="I31" s="12" t="n">
        <x:v>7</x:v>
      </x:c>
      <x:c r="J31" s="12" t="str">
        <x:f>IF(H31="Delivered",IF(I31&lt;=0,"Yes","No"),"Pending")</x:f>
        <x:v>No</x:v>
      </x:c>
      <x:c r="K31" s="12" t="str">
        <x:v>Bank Loan</x:v>
      </x:c>
    </x:row>
    <x:row r="32">
      <x:c r="A32" s="12" t="str">
        <x:v>ORD-00031</x:v>
      </x:c>
      <x:c r="B32" s="12" t="str">
        <x:v>DLR-020</x:v>
      </x:c>
      <x:c r="C32" s="12" t="str">
        <x:v>Wuling HTA Long Biên</x:v>
      </x:c>
      <x:c r="D32" s="12" t="str">
        <x:v>Wuling</x:v>
      </x:c>
      <x:c r="E32" s="18" t="n">
        <x:v>46205</x:v>
      </x:c>
      <x:c r="F32" s="18" t="n">
        <x:v>46225</x:v>
      </x:c>
      <x:c r="G32" s="18" t="n">
        <x:v>46227</x:v>
      </x:c>
      <x:c r="H32" s="12" t="str">
        <x:v>Ready</x:v>
      </x:c>
      <x:c r="I32" s="12" t="n">
        <x:v>2</x:v>
      </x:c>
      <x:c r="J32" s="12" t="str">
        <x:f>IF(H32="Delivered",IF(I32&lt;=0,"Yes","No"),"Pending")</x:f>
        <x:v>Pending</x:v>
      </x:c>
      <x:c r="K32" s="12" t="str">
        <x:v>Bank Loan</x:v>
      </x:c>
    </x:row>
    <x:row r="33">
      <x:c r="A33" s="12" t="str">
        <x:v>ORD-00032</x:v>
      </x:c>
      <x:c r="B33" s="12" t="str">
        <x:v>DLR-015</x:v>
      </x:c>
      <x:c r="C33" s="12" t="str">
        <x:v>VinFast HTA Văn Phú</x:v>
      </x:c>
      <x:c r="D33" s="12" t="str">
        <x:v>VinFast</x:v>
      </x:c>
      <x:c r="E33" s="18" t="n">
        <x:v>46209</x:v>
      </x:c>
      <x:c r="F33" s="18" t="n">
        <x:v>46229</x:v>
      </x:c>
      <x:c r="G33" s="18" t="n">
        <x:v>46227</x:v>
      </x:c>
      <x:c r="H33" s="12" t="str">
        <x:v>Ready</x:v>
      </x:c>
      <x:c r="I33" s="12" t="n">
        <x:v>-2</x:v>
      </x:c>
      <x:c r="J33" s="12" t="str">
        <x:f>IF(H33="Delivered",IF(I33&lt;=0,"Yes","No"),"Pending")</x:f>
        <x:v>Pending</x:v>
      </x:c>
      <x:c r="K33" s="12" t="str">
        <x:v>Bank Loan</x:v>
      </x:c>
    </x:row>
    <x:row r="34">
      <x:c r="A34" s="12" t="str">
        <x:v>ORD-00033</x:v>
      </x:c>
      <x:c r="B34" s="12" t="str">
        <x:v>DLR-017</x:v>
      </x:c>
      <x:c r="C34" s="12" t="str">
        <x:v>VinFast Quốc Oai</x:v>
      </x:c>
      <x:c r="D34" s="12" t="str">
        <x:v>VinFast</x:v>
      </x:c>
      <x:c r="E34" s="18" t="n">
        <x:v>46193</x:v>
      </x:c>
      <x:c r="F34" s="18" t="n">
        <x:v>46207</x:v>
      </x:c>
      <x:c r="G34" s="18" t="n">
        <x:v>46209</x:v>
      </x:c>
      <x:c r="H34" s="12" t="str">
        <x:v>Delivered</x:v>
      </x:c>
      <x:c r="I34" s="12" t="n">
        <x:v>2</x:v>
      </x:c>
      <x:c r="J34" s="12" t="str">
        <x:f>IF(H34="Delivered",IF(I34&lt;=0,"Yes","No"),"Pending")</x:f>
        <x:v>No</x:v>
      </x:c>
      <x:c r="K34" s="12" t="str">
        <x:v>Bank Loan</x:v>
      </x:c>
    </x:row>
    <x:row r="35">
      <x:c r="A35" s="12" t="str">
        <x:v>ORD-00034</x:v>
      </x:c>
      <x:c r="B35" s="12" t="str">
        <x:v>DLR-015</x:v>
      </x:c>
      <x:c r="C35" s="12" t="str">
        <x:v>VinFast HTA Văn Phú</x:v>
      </x:c>
      <x:c r="D35" s="12" t="str">
        <x:v>VinFast</x:v>
      </x:c>
      <x:c r="E35" s="18" t="n">
        <x:v>46191</x:v>
      </x:c>
      <x:c r="F35" s="18" t="n">
        <x:v>46199</x:v>
      </x:c>
      <x:c r="G35" s="18" t="n">
        <x:v>46207</x:v>
      </x:c>
      <x:c r="H35" s="12" t="str">
        <x:v>Delivered</x:v>
      </x:c>
      <x:c r="I35" s="12" t="n">
        <x:v>8</x:v>
      </x:c>
      <x:c r="J35" s="12" t="str">
        <x:f>IF(H35="Delivered",IF(I35&lt;=0,"Yes","No"),"Pending")</x:f>
        <x:v>No</x:v>
      </x:c>
      <x:c r="K35" s="12" t="str">
        <x:v>Leasing</x:v>
      </x:c>
    </x:row>
    <x:row r="36">
      <x:c r="A36" s="12" t="str">
        <x:v>ORD-00035</x:v>
      </x:c>
      <x:c r="B36" s="12" t="str">
        <x:v>DLR-008</x:v>
      </x:c>
      <x:c r="C36" s="12" t="str">
        <x:v>VinFast HTA Nguyễn Văn Linh</x:v>
      </x:c>
      <x:c r="D36" s="12" t="str">
        <x:v>VinFast</x:v>
      </x:c>
      <x:c r="E36" s="18" t="n">
        <x:v>46191</x:v>
      </x:c>
      <x:c r="F36" s="18" t="n">
        <x:v>46205</x:v>
      </x:c>
      <x:c r="G36" s="18" t="n">
        <x:v>46210</x:v>
      </x:c>
      <x:c r="H36" s="12" t="str">
        <x:v>Delivered</x:v>
      </x:c>
      <x:c r="I36" s="12" t="n">
        <x:v>5</x:v>
      </x:c>
      <x:c r="J36" s="12" t="str">
        <x:f>IF(H36="Delivered",IF(I36&lt;=0,"Yes","No"),"Pending")</x:f>
        <x:v>No</x:v>
      </x:c>
      <x:c r="K36" s="12" t="str">
        <x:v>Bank Loan</x:v>
      </x:c>
    </x:row>
    <x:row r="37">
      <x:c r="A37" s="12" t="str">
        <x:v>ORD-00036</x:v>
      </x:c>
      <x:c r="B37" s="12" t="str">
        <x:v>DLR-012</x:v>
      </x:c>
      <x:c r="C37" s="12" t="str">
        <x:v>VinFast HTA Võ Chí Công</x:v>
      </x:c>
      <x:c r="D37" s="12" t="str">
        <x:v>VinFast</x:v>
      </x:c>
      <x:c r="E37" s="18" t="n">
        <x:v>46193</x:v>
      </x:c>
      <x:c r="F37" s="18" t="n">
        <x:v>46205</x:v>
      </x:c>
      <x:c r="G37" s="18" t="n">
        <x:v>46206</x:v>
      </x:c>
      <x:c r="H37" s="12" t="str">
        <x:v>Delivered</x:v>
      </x:c>
      <x:c r="I37" s="12" t="n">
        <x:v>1</x:v>
      </x:c>
      <x:c r="J37" s="12" t="str">
        <x:f>IF(H37="Delivered",IF(I37&lt;=0,"Yes","No"),"Pending")</x:f>
        <x:v>No</x:v>
      </x:c>
      <x:c r="K37" s="12" t="str">
        <x:v>Cash</x:v>
      </x:c>
    </x:row>
    <x:row r="38">
      <x:c r="A38" s="12" t="str">
        <x:v>ORD-00037</x:v>
      </x:c>
      <x:c r="B38" s="12" t="str">
        <x:v>DLR-004</x:v>
      </x:c>
      <x:c r="C38" s="12" t="str">
        <x:v>Việt Trì Ford</x:v>
      </x:c>
      <x:c r="D38" s="12" t="str">
        <x:v>Ford</x:v>
      </x:c>
      <x:c r="E38" s="18" t="n">
        <x:v>46196</x:v>
      </x:c>
      <x:c r="F38" s="18" t="n">
        <x:v>46209</x:v>
      </x:c>
      <x:c r="G38" s="18" t="n">
        <x:v>46206</x:v>
      </x:c>
      <x:c r="H38" s="12" t="str">
        <x:v>Delivered</x:v>
      </x:c>
      <x:c r="I38" s="12" t="n">
        <x:v>-3</x:v>
      </x:c>
      <x:c r="J38" s="12" t="str">
        <x:f>IF(H38="Delivered",IF(I38&lt;=0,"Yes","No"),"Pending")</x:f>
        <x:v>Yes</x:v>
      </x:c>
      <x:c r="K38" s="12" t="str">
        <x:v>Leasing</x:v>
      </x:c>
    </x:row>
    <x:row r="39">
      <x:c r="A39" s="12" t="str">
        <x:v>ORD-00038</x:v>
      </x:c>
      <x:c r="B39" s="12" t="str">
        <x:v>DLR-003</x:v>
      </x:c>
      <x:c r="C39" s="12" t="str">
        <x:v>Mỹ Đình Ford</x:v>
      </x:c>
      <x:c r="D39" s="12" t="str">
        <x:v>Ford</x:v>
      </x:c>
      <x:c r="E39" s="18" t="n">
        <x:v>46202</x:v>
      </x:c>
      <x:c r="F39" s="18" t="n">
        <x:v>46220</x:v>
      </x:c>
      <x:c r="G39" s="18" t="n">
        <x:v>46219</x:v>
      </x:c>
      <x:c r="H39" s="12" t="str">
        <x:v>Delivered</x:v>
      </x:c>
      <x:c r="I39" s="12" t="n">
        <x:v>-1</x:v>
      </x:c>
      <x:c r="J39" s="12" t="str">
        <x:f>IF(H39="Delivered",IF(I39&lt;=0,"Yes","No"),"Pending")</x:f>
        <x:v>Yes</x:v>
      </x:c>
      <x:c r="K39" s="12" t="str">
        <x:v>Leasing</x:v>
      </x:c>
    </x:row>
    <x:row r="40">
      <x:c r="A40" s="12" t="str">
        <x:v>ORD-00039</x:v>
      </x:c>
      <x:c r="B40" s="12" t="str">
        <x:v>DLR-010</x:v>
      </x:c>
      <x:c r="C40" s="12" t="str">
        <x:v>VinFast HTA Đàm Quang Trung</x:v>
      </x:c>
      <x:c r="D40" s="12" t="str">
        <x:v>VinFast</x:v>
      </x:c>
      <x:c r="E40" s="18" t="n">
        <x:v>46186</x:v>
      </x:c>
      <x:c r="F40" s="18" t="n">
        <x:v>46191</x:v>
      </x:c>
      <x:c r="G40" s="18" t="n">
        <x:v>46200</x:v>
      </x:c>
      <x:c r="H40" s="12" t="str">
        <x:v>Delivered</x:v>
      </x:c>
      <x:c r="I40" s="12" t="n">
        <x:v>9</x:v>
      </x:c>
      <x:c r="J40" s="12" t="str">
        <x:f>IF(H40="Delivered",IF(I40&lt;=0,"Yes","No"),"Pending")</x:f>
        <x:v>No</x:v>
      </x:c>
      <x:c r="K40" s="12" t="str">
        <x:v>Cash</x:v>
      </x:c>
    </x:row>
    <x:row r="41">
      <x:c r="A41" s="12" t="str">
        <x:v>ORD-00040</x:v>
      </x:c>
      <x:c r="B41" s="12" t="str">
        <x:v>DLR-019</x:v>
      </x:c>
      <x:c r="C41" s="12" t="str">
        <x:v>OMODA &amp; JAECOO HTA Việt Trì</x:v>
      </x:c>
      <x:c r="D41" s="12" t="str">
        <x:v>OMODA &amp; JAECOO</x:v>
      </x:c>
      <x:c r="E41" s="18" t="n">
        <x:v>46199</x:v>
      </x:c>
      <x:c r="F41" s="18" t="n">
        <x:v>46207</x:v>
      </x:c>
      <x:c r="G41" s="18" t="n">
        <x:v>46205</x:v>
      </x:c>
      <x:c r="H41" s="12" t="str">
        <x:v>Delivered</x:v>
      </x:c>
      <x:c r="I41" s="12" t="n">
        <x:v>-2</x:v>
      </x:c>
      <x:c r="J41" s="12" t="str">
        <x:f>IF(H41="Delivered",IF(I41&lt;=0,"Yes","No"),"Pending")</x:f>
        <x:v>Yes</x:v>
      </x:c>
      <x:c r="K41" s="12" t="str">
        <x:v>Bank Loan</x:v>
      </x:c>
    </x:row>
    <x:row r="42">
      <x:c r="A42" s="12" t="str">
        <x:v>ORD-00041</x:v>
      </x:c>
      <x:c r="B42" s="12" t="str">
        <x:v>DLR-011</x:v>
      </x:c>
      <x:c r="C42" s="12" t="str">
        <x:v>VinFast HTA Phạm Văn Đồng</x:v>
      </x:c>
      <x:c r="D42" s="12" t="str">
        <x:v>VinFast</x:v>
      </x:c>
      <x:c r="E42" s="18" t="n">
        <x:v>46202</x:v>
      </x:c>
      <x:c r="F42" s="18" t="n">
        <x:v>46221</x:v>
      </x:c>
      <x:c r="G42" s="18" t="n">
        <x:v>46219</x:v>
      </x:c>
      <x:c r="H42" s="12" t="str">
        <x:v>Delivered</x:v>
      </x:c>
      <x:c r="I42" s="12" t="n">
        <x:v>-2</x:v>
      </x:c>
      <x:c r="J42" s="12" t="str">
        <x:f>IF(H42="Delivered",IF(I42&lt;=0,"Yes","No"),"Pending")</x:f>
        <x:v>Yes</x:v>
      </x:c>
      <x:c r="K42" s="12" t="str">
        <x:v>Leasing</x:v>
      </x:c>
    </x:row>
    <x:row r="43">
      <x:c r="A43" s="12" t="str">
        <x:v>ORD-00042</x:v>
      </x:c>
      <x:c r="B43" s="12" t="str">
        <x:v>DLR-020</x:v>
      </x:c>
      <x:c r="C43" s="12" t="str">
        <x:v>Wuling HTA Long Biên</x:v>
      </x:c>
      <x:c r="D43" s="12" t="str">
        <x:v>Wuling</x:v>
      </x:c>
      <x:c r="E43" s="18" t="n">
        <x:v>46178</x:v>
      </x:c>
      <x:c r="F43" s="18" t="n">
        <x:v>46184</x:v>
      </x:c>
      <x:c r="G43" s="18" t="n">
        <x:v>46193</x:v>
      </x:c>
      <x:c r="H43" s="12" t="str">
        <x:v>Delivered</x:v>
      </x:c>
      <x:c r="I43" s="12" t="n">
        <x:v>9</x:v>
      </x:c>
      <x:c r="J43" s="12" t="str">
        <x:f>IF(H43="Delivered",IF(I43&lt;=0,"Yes","No"),"Pending")</x:f>
        <x:v>No</x:v>
      </x:c>
      <x:c r="K43" s="12" t="str">
        <x:v>Leasing</x:v>
      </x:c>
    </x:row>
    <x:row r="44">
      <x:c r="A44" s="12" t="str">
        <x:v>ORD-00043</x:v>
      </x:c>
      <x:c r="B44" s="12" t="str">
        <x:v>DLR-015</x:v>
      </x:c>
      <x:c r="C44" s="12" t="str">
        <x:v>VinFast HTA Văn Phú</x:v>
      </x:c>
      <x:c r="D44" s="12" t="str">
        <x:v>VinFast</x:v>
      </x:c>
      <x:c r="E44" s="18" t="n">
        <x:v>46191</x:v>
      </x:c>
      <x:c r="F44" s="18" t="n">
        <x:v>46209</x:v>
      </x:c>
      <x:c r="G44" s="18" t="n">
        <x:v>46219</x:v>
      </x:c>
      <x:c r="H44" s="12" t="str">
        <x:v>Delivered</x:v>
      </x:c>
      <x:c r="I44" s="12" t="n">
        <x:v>10</x:v>
      </x:c>
      <x:c r="J44" s="12" t="str">
        <x:f>IF(H44="Delivered",IF(I44&lt;=0,"Yes","No"),"Pending")</x:f>
        <x:v>No</x:v>
      </x:c>
      <x:c r="K44" s="12" t="str">
        <x:v>Bank Loan</x:v>
      </x:c>
    </x:row>
    <x:row r="45">
      <x:c r="A45" s="12" t="str">
        <x:v>ORD-00044</x:v>
      </x:c>
      <x:c r="B45" s="12" t="str">
        <x:v>DLR-004</x:v>
      </x:c>
      <x:c r="C45" s="12" t="str">
        <x:v>Việt Trì Ford</x:v>
      </x:c>
      <x:c r="D45" s="12" t="str">
        <x:v>Ford</x:v>
      </x:c>
      <x:c r="E45" s="18" t="n">
        <x:v>46178</x:v>
      </x:c>
      <x:c r="F45" s="18" t="n">
        <x:v>46187</x:v>
      </x:c>
      <x:c r="G45" s="18" t="n">
        <x:v>46191</x:v>
      </x:c>
      <x:c r="H45" s="12" t="str">
        <x:v>Delivered</x:v>
      </x:c>
      <x:c r="I45" s="12" t="n">
        <x:v>4</x:v>
      </x:c>
      <x:c r="J45" s="12" t="str">
        <x:f>IF(H45="Delivered",IF(I45&lt;=0,"Yes","No"),"Pending")</x:f>
        <x:v>No</x:v>
      </x:c>
      <x:c r="K45" s="12" t="str">
        <x:v>Bank Loan</x:v>
      </x:c>
    </x:row>
    <x:row r="46">
      <x:c r="A46" s="12" t="str">
        <x:v>ORD-00045</x:v>
      </x:c>
      <x:c r="B46" s="12" t="str">
        <x:v>DLR-005</x:v>
      </x:c>
      <x:c r="C46" s="12" t="str">
        <x:v>BYD HTA Tây Hồ</x:v>
      </x:c>
      <x:c r="D46" s="12" t="str">
        <x:v>BYD</x:v>
      </x:c>
      <x:c r="E46" s="18" t="n">
        <x:v>46175</x:v>
      </x:c>
      <x:c r="F46" s="18" t="n">
        <x:v>46181</x:v>
      </x:c>
      <x:c r="G46" s="18" t="n">
        <x:v>46186</x:v>
      </x:c>
      <x:c r="H46" s="12" t="str">
        <x:v>Delivered</x:v>
      </x:c>
      <x:c r="I46" s="12" t="n">
        <x:v>5</x:v>
      </x:c>
      <x:c r="J46" s="12" t="str">
        <x:f>IF(H46="Delivered",IF(I46&lt;=0,"Yes","No"),"Pending")</x:f>
        <x:v>No</x:v>
      </x:c>
      <x:c r="K46" s="12" t="str">
        <x:v>Cash</x:v>
      </x:c>
    </x:row>
    <x:row r="47">
      <x:c r="A47" s="12" t="str">
        <x:v>ORD-00046</x:v>
      </x:c>
      <x:c r="B47" s="12" t="str">
        <x:v>DLR-018</x:v>
      </x:c>
      <x:c r="C47" s="12" t="str">
        <x:v>OMODA &amp; JAECOO HTA Nam Từ Liêm</x:v>
      </x:c>
      <x:c r="D47" s="12" t="str">
        <x:v>OMODA &amp; JAECOO</x:v>
      </x:c>
      <x:c r="E47" s="18" t="n">
        <x:v>46196</x:v>
      </x:c>
      <x:c r="F47" s="18" t="n">
        <x:v>46211</x:v>
      </x:c>
      <x:c r="G47" s="18" t="n">
        <x:v>46214</x:v>
      </x:c>
      <x:c r="H47" s="12" t="str">
        <x:v>Delivered</x:v>
      </x:c>
      <x:c r="I47" s="12" t="n">
        <x:v>3</x:v>
      </x:c>
      <x:c r="J47" s="12" t="str">
        <x:f>IF(H47="Delivered",IF(I47&lt;=0,"Yes","No"),"Pending")</x:f>
        <x:v>No</x:v>
      </x:c>
      <x:c r="K47" s="12" t="str">
        <x:v>Cash</x:v>
      </x:c>
    </x:row>
    <x:row r="48">
      <x:c r="A48" s="12" t="str">
        <x:v>ORD-00047</x:v>
      </x:c>
      <x:c r="B48" s="12" t="str">
        <x:v>DLR-002</x:v>
      </x:c>
      <x:c r="C48" s="12" t="str">
        <x:v>Hà Thành Ford - Mỹ Đình</x:v>
      </x:c>
      <x:c r="D48" s="12" t="str">
        <x:v>Ford</x:v>
      </x:c>
      <x:c r="E48" s="18" t="n">
        <x:v>46199</x:v>
      </x:c>
      <x:c r="F48" s="18" t="n">
        <x:v>46204</x:v>
      </x:c>
      <x:c r="G48" s="18" t="n">
        <x:v>46209</x:v>
      </x:c>
      <x:c r="H48" s="12" t="str">
        <x:v>Delivered</x:v>
      </x:c>
      <x:c r="I48" s="12" t="n">
        <x:v>5</x:v>
      </x:c>
      <x:c r="J48" s="12" t="str">
        <x:f>IF(H48="Delivered",IF(I48&lt;=0,"Yes","No"),"Pending")</x:f>
        <x:v>No</x:v>
      </x:c>
      <x:c r="K48" s="12" t="str">
        <x:v>Cash</x:v>
      </x:c>
    </x:row>
    <x:row r="49">
      <x:c r="A49" s="12" t="str">
        <x:v>ORD-00048</x:v>
      </x:c>
      <x:c r="B49" s="12" t="str">
        <x:v>DLR-017</x:v>
      </x:c>
      <x:c r="C49" s="12" t="str">
        <x:v>VinFast Quốc Oai</x:v>
      </x:c>
      <x:c r="D49" s="12" t="str">
        <x:v>VinFast</x:v>
      </x:c>
      <x:c r="E49" s="18" t="n">
        <x:v>46224</x:v>
      </x:c>
      <x:c r="F49" s="18" t="n">
        <x:v>46235</x:v>
      </x:c>
      <x:c r="G49" s="18" t="n">
        <x:v>46240</x:v>
      </x:c>
      <x:c r="H49" s="12" t="str">
        <x:v>Ready</x:v>
      </x:c>
      <x:c r="I49" s="12" t="n">
        <x:v>5</x:v>
      </x:c>
      <x:c r="J49" s="12" t="str">
        <x:f>IF(H49="Delivered",IF(I49&lt;=0,"Yes","No"),"Pending")</x:f>
        <x:v>Pending</x:v>
      </x:c>
      <x:c r="K49" s="12" t="str">
        <x:v>Leasing</x:v>
      </x:c>
    </x:row>
    <x:row r="50">
      <x:c r="A50" s="12" t="str">
        <x:v>ORD-00049</x:v>
      </x:c>
      <x:c r="B50" s="12" t="str">
        <x:v>DLR-004</x:v>
      </x:c>
      <x:c r="C50" s="12" t="str">
        <x:v>Việt Trì Ford</x:v>
      </x:c>
      <x:c r="D50" s="12" t="str">
        <x:v>Ford</x:v>
      </x:c>
      <x:c r="E50" s="18" t="n">
        <x:v>46212</x:v>
      </x:c>
      <x:c r="F50" s="18" t="n">
        <x:v>46223</x:v>
      </x:c>
      <x:c r="G50" s="18" t="n">
        <x:v>46221</x:v>
      </x:c>
      <x:c r="H50" s="12" t="str">
        <x:v>Delivered</x:v>
      </x:c>
      <x:c r="I50" s="12" t="n">
        <x:v>-2</x:v>
      </x:c>
      <x:c r="J50" s="12" t="str">
        <x:f>IF(H50="Delivered",IF(I50&lt;=0,"Yes","No"),"Pending")</x:f>
        <x:v>Yes</x:v>
      </x:c>
      <x:c r="K50" s="12" t="str">
        <x:v>Bank Loan</x:v>
      </x:c>
    </x:row>
    <x:row r="51">
      <x:c r="A51" s="12" t="str">
        <x:v>ORD-00050</x:v>
      </x:c>
      <x:c r="B51" s="12" t="str">
        <x:v>DLR-005</x:v>
      </x:c>
      <x:c r="C51" s="12" t="str">
        <x:v>BYD HTA Tây Hồ</x:v>
      </x:c>
      <x:c r="D51" s="12" t="str">
        <x:v>BYD</x:v>
      </x:c>
      <x:c r="E51" s="18" t="n">
        <x:v>46194</x:v>
      </x:c>
      <x:c r="F51" s="18" t="n">
        <x:v>46201</x:v>
      </x:c>
      <x:c r="G51" s="18" t="n">
        <x:v>46203</x:v>
      </x:c>
      <x:c r="H51" s="12" t="str">
        <x:v>Delivered</x:v>
      </x:c>
      <x:c r="I51" s="12" t="n">
        <x:v>2</x:v>
      </x:c>
      <x:c r="J51" s="12" t="str">
        <x:f>IF(H51="Delivered",IF(I51&lt;=0,"Yes","No"),"Pending")</x:f>
        <x:v>No</x:v>
      </x:c>
      <x:c r="K51" s="12" t="str">
        <x:v>Cash</x:v>
      </x:c>
    </x:row>
    <x:row r="52">
      <x:c r="A52" s="12" t="str">
        <x:v>ORD-00051</x:v>
      </x:c>
      <x:c r="B52" s="12" t="str">
        <x:v>DLR-018</x:v>
      </x:c>
      <x:c r="C52" s="12" t="str">
        <x:v>OMODA &amp; JAECOO HTA Nam Từ Liêm</x:v>
      </x:c>
      <x:c r="D52" s="12" t="str">
        <x:v>OMODA &amp; JAECOO</x:v>
      </x:c>
      <x:c r="E52" s="18" t="n">
        <x:v>46178</x:v>
      </x:c>
      <x:c r="F52" s="18" t="n">
        <x:v>46195</x:v>
      </x:c>
      <x:c r="G52" s="18" t="n">
        <x:v>46194</x:v>
      </x:c>
      <x:c r="H52" s="12" t="str">
        <x:v>Delivered</x:v>
      </x:c>
      <x:c r="I52" s="12" t="n">
        <x:v>-1</x:v>
      </x:c>
      <x:c r="J52" s="12" t="str">
        <x:f>IF(H52="Delivered",IF(I52&lt;=0,"Yes","No"),"Pending")</x:f>
        <x:v>Yes</x:v>
      </x:c>
      <x:c r="K52" s="12" t="str">
        <x:v>Cash</x:v>
      </x:c>
    </x:row>
    <x:row r="53">
      <x:c r="A53" s="12" t="str">
        <x:v>ORD-00052</x:v>
      </x:c>
      <x:c r="B53" s="12" t="str">
        <x:v>DLR-005</x:v>
      </x:c>
      <x:c r="C53" s="12" t="str">
        <x:v>BYD HTA Tây Hồ</x:v>
      </x:c>
      <x:c r="D53" s="12" t="str">
        <x:v>BYD</x:v>
      </x:c>
      <x:c r="E53" s="18" t="n">
        <x:v>46193</x:v>
      </x:c>
      <x:c r="F53" s="18" t="n">
        <x:v>46201</x:v>
      </x:c>
      <x:c r="G53" s="18" t="n">
        <x:v>46204</x:v>
      </x:c>
      <x:c r="H53" s="12" t="str">
        <x:v>Delivered</x:v>
      </x:c>
      <x:c r="I53" s="12" t="n">
        <x:v>3</x:v>
      </x:c>
      <x:c r="J53" s="12" t="str">
        <x:f>IF(H53="Delivered",IF(I53&lt;=0,"Yes","No"),"Pending")</x:f>
        <x:v>No</x:v>
      </x:c>
      <x:c r="K53" s="12" t="str">
        <x:v>Leasing</x:v>
      </x:c>
    </x:row>
    <x:row r="54">
      <x:c r="A54" s="12" t="str">
        <x:v>ORD-00053</x:v>
      </x:c>
      <x:c r="B54" s="12" t="str">
        <x:v>DLR-019</x:v>
      </x:c>
      <x:c r="C54" s="12" t="str">
        <x:v>OMODA &amp; JAECOO HTA Việt Trì</x:v>
      </x:c>
      <x:c r="D54" s="12" t="str">
        <x:v>OMODA &amp; JAECOO</x:v>
      </x:c>
      <x:c r="E54" s="18" t="n">
        <x:v>46208</x:v>
      </x:c>
      <x:c r="F54" s="18" t="n">
        <x:v>46227</x:v>
      </x:c>
      <x:c r="G54" s="18" t="n">
        <x:v>46232</x:v>
      </x:c>
      <x:c r="H54" s="12" t="str">
        <x:v>Awaiting Registration</x:v>
      </x:c>
      <x:c r="I54" s="12" t="n">
        <x:v>5</x:v>
      </x:c>
      <x:c r="J54" s="12" t="str">
        <x:f>IF(H54="Delivered",IF(I54&lt;=0,"Yes","No"),"Pending")</x:f>
        <x:v>Pending</x:v>
      </x:c>
      <x:c r="K54" s="12" t="str">
        <x:v>Bank Loan</x:v>
      </x:c>
    </x:row>
    <x:row r="55">
      <x:c r="A55" s="12" t="str">
        <x:v>ORD-00054</x:v>
      </x:c>
      <x:c r="B55" s="12" t="str">
        <x:v>DLR-012</x:v>
      </x:c>
      <x:c r="C55" s="12" t="str">
        <x:v>VinFast HTA Võ Chí Công</x:v>
      </x:c>
      <x:c r="D55" s="12" t="str">
        <x:v>VinFast</x:v>
      </x:c>
      <x:c r="E55" s="18" t="n">
        <x:v>46178</x:v>
      </x:c>
      <x:c r="F55" s="18" t="n">
        <x:v>46185</x:v>
      </x:c>
      <x:c r="G55" s="18" t="n">
        <x:v>46193</x:v>
      </x:c>
      <x:c r="H55" s="12" t="str">
        <x:v>Delivered</x:v>
      </x:c>
      <x:c r="I55" s="12" t="n">
        <x:v>8</x:v>
      </x:c>
      <x:c r="J55" s="12" t="str">
        <x:f>IF(H55="Delivered",IF(I55&lt;=0,"Yes","No"),"Pending")</x:f>
        <x:v>No</x:v>
      </x:c>
      <x:c r="K55" s="12" t="str">
        <x:v>Leasing</x:v>
      </x:c>
    </x:row>
    <x:row r="56">
      <x:c r="A56" s="12" t="str">
        <x:v>ORD-00055</x:v>
      </x:c>
      <x:c r="B56" s="12" t="str">
        <x:v>DLR-010</x:v>
      </x:c>
      <x:c r="C56" s="12" t="str">
        <x:v>VinFast HTA Đàm Quang Trung</x:v>
      </x:c>
      <x:c r="D56" s="12" t="str">
        <x:v>VinFast</x:v>
      </x:c>
      <x:c r="E56" s="18" t="n">
        <x:v>46200</x:v>
      </x:c>
      <x:c r="F56" s="18" t="n">
        <x:v>46219</x:v>
      </x:c>
      <x:c r="G56" s="18" t="n">
        <x:v>46226</x:v>
      </x:c>
      <x:c r="H56" s="12" t="str">
        <x:v>Awaiting Registration</x:v>
      </x:c>
      <x:c r="I56" s="12" t="n">
        <x:v>7</x:v>
      </x:c>
      <x:c r="J56" s="12" t="str">
        <x:f>IF(H56="Delivered",IF(I56&lt;=0,"Yes","No"),"Pending")</x:f>
        <x:v>Pending</x:v>
      </x:c>
      <x:c r="K56" s="12" t="str">
        <x:v>Cash</x:v>
      </x:c>
    </x:row>
    <x:row r="57">
      <x:c r="A57" s="12" t="str">
        <x:v>ORD-00056</x:v>
      </x:c>
      <x:c r="B57" s="12" t="str">
        <x:v>DLR-010</x:v>
      </x:c>
      <x:c r="C57" s="12" t="str">
        <x:v>VinFast HTA Đàm Quang Trung</x:v>
      </x:c>
      <x:c r="D57" s="12" t="str">
        <x:v>VinFast</x:v>
      </x:c>
      <x:c r="E57" s="18" t="n">
        <x:v>46211</x:v>
      </x:c>
      <x:c r="F57" s="18" t="n">
        <x:v>46217</x:v>
      </x:c>
      <x:c r="G57" s="18" t="n">
        <x:v>46219</x:v>
      </x:c>
      <x:c r="H57" s="12" t="str">
        <x:v>Delivered</x:v>
      </x:c>
      <x:c r="I57" s="12" t="n">
        <x:v>2</x:v>
      </x:c>
      <x:c r="J57" s="12" t="str">
        <x:f>IF(H57="Delivered",IF(I57&lt;=0,"Yes","No"),"Pending")</x:f>
        <x:v>No</x:v>
      </x:c>
      <x:c r="K57" s="12" t="str">
        <x:v>Bank Loan</x:v>
      </x:c>
    </x:row>
    <x:row r="58">
      <x:c r="A58" s="12" t="str">
        <x:v>ORD-00057</x:v>
      </x:c>
      <x:c r="B58" s="12" t="str">
        <x:v>DLR-001</x:v>
      </x:c>
      <x:c r="C58" s="12" t="str">
        <x:v>Hà Thành Ford</x:v>
      </x:c>
      <x:c r="D58" s="12" t="str">
        <x:v>Ford</x:v>
      </x:c>
      <x:c r="E58" s="18" t="n">
        <x:v>46193</x:v>
      </x:c>
      <x:c r="F58" s="18" t="n">
        <x:v>46198</x:v>
      </x:c>
      <x:c r="G58" s="18" t="n">
        <x:v>46196</x:v>
      </x:c>
      <x:c r="H58" s="12" t="str">
        <x:v>Delivered</x:v>
      </x:c>
      <x:c r="I58" s="12" t="n">
        <x:v>-2</x:v>
      </x:c>
      <x:c r="J58" s="12" t="str">
        <x:f>IF(H58="Delivered",IF(I58&lt;=0,"Yes","No"),"Pending")</x:f>
        <x:v>Yes</x:v>
      </x:c>
      <x:c r="K58" s="12" t="str">
        <x:v>Leasing</x:v>
      </x:c>
    </x:row>
    <x:row r="59">
      <x:c r="A59" s="12" t="str">
        <x:v>ORD-00058</x:v>
      </x:c>
      <x:c r="B59" s="12" t="str">
        <x:v>DLR-007</x:v>
      </x:c>
      <x:c r="C59" s="12" t="str">
        <x:v>BYD Hà Đông</x:v>
      </x:c>
      <x:c r="D59" s="12" t="str">
        <x:v>BYD</x:v>
      </x:c>
      <x:c r="E59" s="18" t="n">
        <x:v>46177</x:v>
      </x:c>
      <x:c r="F59" s="18" t="n">
        <x:v>46184</x:v>
      </x:c>
      <x:c r="G59" s="18" t="n">
        <x:v>46191</x:v>
      </x:c>
      <x:c r="H59" s="12" t="str">
        <x:v>Delivered</x:v>
      </x:c>
      <x:c r="I59" s="12" t="n">
        <x:v>7</x:v>
      </x:c>
      <x:c r="J59" s="12" t="str">
        <x:f>IF(H59="Delivered",IF(I59&lt;=0,"Yes","No"),"Pending")</x:f>
        <x:v>No</x:v>
      </x:c>
      <x:c r="K59" s="12" t="str">
        <x:v>Cash</x:v>
      </x:c>
    </x:row>
    <x:row r="60">
      <x:c r="A60" s="12" t="str">
        <x:v>ORD-00059</x:v>
      </x:c>
      <x:c r="B60" s="12" t="str">
        <x:v>DLR-013</x:v>
      </x:c>
      <x:c r="C60" s="12" t="str">
        <x:v>VinFast HTA Ninh Bình</x:v>
      </x:c>
      <x:c r="D60" s="12" t="str">
        <x:v>VinFast</x:v>
      </x:c>
      <x:c r="E60" s="18" t="n">
        <x:v>46199</x:v>
      </x:c>
      <x:c r="F60" s="18" t="n">
        <x:v>46214</x:v>
      </x:c>
      <x:c r="G60" s="18" t="n">
        <x:v>46223</x:v>
      </x:c>
      <x:c r="H60" s="12" t="str">
        <x:v>Delivered</x:v>
      </x:c>
      <x:c r="I60" s="12" t="n">
        <x:v>9</x:v>
      </x:c>
      <x:c r="J60" s="12" t="str">
        <x:f>IF(H60="Delivered",IF(I60&lt;=0,"Yes","No"),"Pending")</x:f>
        <x:v>No</x:v>
      </x:c>
      <x:c r="K60" s="12" t="str">
        <x:v>Bank Loan</x:v>
      </x:c>
    </x:row>
    <x:row r="61">
      <x:c r="A61" s="12" t="str">
        <x:v>ORD-00060</x:v>
      </x:c>
      <x:c r="B61" s="12" t="str">
        <x:v>DLR-004</x:v>
      </x:c>
      <x:c r="C61" s="12" t="str">
        <x:v>Việt Trì Ford</x:v>
      </x:c>
      <x:c r="D61" s="12" t="str">
        <x:v>Ford</x:v>
      </x:c>
      <x:c r="E61" s="18" t="n">
        <x:v>46174</x:v>
      </x:c>
      <x:c r="F61" s="18" t="n">
        <x:v>46194</x:v>
      </x:c>
      <x:c r="G61" s="18" t="n">
        <x:v>46196</x:v>
      </x:c>
      <x:c r="H61" s="12" t="str">
        <x:v>Delivered</x:v>
      </x:c>
      <x:c r="I61" s="12" t="n">
        <x:v>2</x:v>
      </x:c>
      <x:c r="J61" s="12" t="str">
        <x:f>IF(H61="Delivered",IF(I61&lt;=0,"Yes","No"),"Pending")</x:f>
        <x:v>No</x:v>
      </x:c>
      <x:c r="K61" s="12" t="str">
        <x:v>Cash</x:v>
      </x:c>
    </x:row>
    <x:row r="62">
      <x:c r="A62" s="12" t="str">
        <x:v>ORD-00061</x:v>
      </x:c>
      <x:c r="B62" s="12" t="str">
        <x:v>DLR-007</x:v>
      </x:c>
      <x:c r="C62" s="12" t="str">
        <x:v>BYD Hà Đông</x:v>
      </x:c>
      <x:c r="D62" s="12" t="str">
        <x:v>BYD</x:v>
      </x:c>
      <x:c r="E62" s="18" t="n">
        <x:v>46209</x:v>
      </x:c>
      <x:c r="F62" s="18" t="n">
        <x:v>46226</x:v>
      </x:c>
      <x:c r="G62" s="18" t="n">
        <x:v>46236</x:v>
      </x:c>
      <x:c r="H62" s="12" t="str">
        <x:v>Awaiting Registration</x:v>
      </x:c>
      <x:c r="I62" s="12" t="n">
        <x:v>10</x:v>
      </x:c>
      <x:c r="J62" s="12" t="str">
        <x:f>IF(H62="Delivered",IF(I62&lt;=0,"Yes","No"),"Pending")</x:f>
        <x:v>Pending</x:v>
      </x:c>
      <x:c r="K62" s="12" t="str">
        <x:v>Cash</x:v>
      </x:c>
    </x:row>
    <x:row r="63">
      <x:c r="A63" s="12" t="str">
        <x:v>ORD-00062</x:v>
      </x:c>
      <x:c r="B63" s="12" t="str">
        <x:v>DLR-019</x:v>
      </x:c>
      <x:c r="C63" s="12" t="str">
        <x:v>OMODA &amp; JAECOO HTA Việt Trì</x:v>
      </x:c>
      <x:c r="D63" s="12" t="str">
        <x:v>OMODA &amp; JAECOO</x:v>
      </x:c>
      <x:c r="E63" s="18" t="n">
        <x:v>46193</x:v>
      </x:c>
      <x:c r="F63" s="18" t="n">
        <x:v>46200</x:v>
      </x:c>
      <x:c r="G63" s="18" t="n">
        <x:v>46203</x:v>
      </x:c>
      <x:c r="H63" s="12" t="str">
        <x:v>Delivered</x:v>
      </x:c>
      <x:c r="I63" s="12" t="n">
        <x:v>3</x:v>
      </x:c>
      <x:c r="J63" s="12" t="str">
        <x:f>IF(H63="Delivered",IF(I63&lt;=0,"Yes","No"),"Pending")</x:f>
        <x:v>No</x:v>
      </x:c>
      <x:c r="K63" s="12" t="str">
        <x:v>Cash</x:v>
      </x:c>
    </x:row>
    <x:row r="64">
      <x:c r="A64" s="12" t="str">
        <x:v>ORD-00063</x:v>
      </x:c>
      <x:c r="B64" s="12" t="str">
        <x:v>DLR-019</x:v>
      </x:c>
      <x:c r="C64" s="12" t="str">
        <x:v>OMODA &amp; JAECOO HTA Việt Trì</x:v>
      </x:c>
      <x:c r="D64" s="12" t="str">
        <x:v>OMODA &amp; JAECOO</x:v>
      </x:c>
      <x:c r="E64" s="18" t="n">
        <x:v>46201</x:v>
      </x:c>
      <x:c r="F64" s="18" t="n">
        <x:v>46208</x:v>
      </x:c>
      <x:c r="G64" s="18" t="n">
        <x:v>46215</x:v>
      </x:c>
      <x:c r="H64" s="12" t="str">
        <x:v>Delivered</x:v>
      </x:c>
      <x:c r="I64" s="12" t="n">
        <x:v>7</x:v>
      </x:c>
      <x:c r="J64" s="12" t="str">
        <x:f>IF(H64="Delivered",IF(I64&lt;=0,"Yes","No"),"Pending")</x:f>
        <x:v>No</x:v>
      </x:c>
      <x:c r="K64" s="12" t="str">
        <x:v>Cash</x:v>
      </x:c>
    </x:row>
    <x:row r="65">
      <x:c r="A65" s="12" t="str">
        <x:v>ORD-00064</x:v>
      </x:c>
      <x:c r="B65" s="12" t="str">
        <x:v>DLR-010</x:v>
      </x:c>
      <x:c r="C65" s="12" t="str">
        <x:v>VinFast HTA Đàm Quang Trung</x:v>
      </x:c>
      <x:c r="D65" s="12" t="str">
        <x:v>VinFast</x:v>
      </x:c>
      <x:c r="E65" s="18" t="n">
        <x:v>46183</x:v>
      </x:c>
      <x:c r="F65" s="18" t="n">
        <x:v>46200</x:v>
      </x:c>
      <x:c r="G65" s="18" t="n">
        <x:v>46204</x:v>
      </x:c>
      <x:c r="H65" s="12" t="str">
        <x:v>Delivered</x:v>
      </x:c>
      <x:c r="I65" s="12" t="n">
        <x:v>4</x:v>
      </x:c>
      <x:c r="J65" s="12" t="str">
        <x:f>IF(H65="Delivered",IF(I65&lt;=0,"Yes","No"),"Pending")</x:f>
        <x:v>No</x:v>
      </x:c>
      <x:c r="K65" s="12" t="str">
        <x:v>Cash</x:v>
      </x:c>
    </x:row>
    <x:row r="66">
      <x:c r="A66" s="12" t="str">
        <x:v>ORD-00065</x:v>
      </x:c>
      <x:c r="B66" s="12" t="str">
        <x:v>DLR-008</x:v>
      </x:c>
      <x:c r="C66" s="12" t="str">
        <x:v>VinFast HTA Nguyễn Văn Linh</x:v>
      </x:c>
      <x:c r="D66" s="12" t="str">
        <x:v>VinFast</x:v>
      </x:c>
      <x:c r="E66" s="18" t="n">
        <x:v>46214</x:v>
      </x:c>
      <x:c r="F66" s="18" t="n">
        <x:v>46232</x:v>
      </x:c>
      <x:c r="G66" s="18" t="n">
        <x:v>46230</x:v>
      </x:c>
      <x:c r="H66" s="12" t="str">
        <x:v>In Transit</x:v>
      </x:c>
      <x:c r="I66" s="12" t="n">
        <x:v>-2</x:v>
      </x:c>
      <x:c r="J66" s="12" t="str">
        <x:f>IF(H66="Delivered",IF(I66&lt;=0,"Yes","No"),"Pending")</x:f>
        <x:v>Pending</x:v>
      </x:c>
      <x:c r="K66" s="12" t="str">
        <x:v>Leasing</x:v>
      </x:c>
    </x:row>
    <x:row r="67">
      <x:c r="A67" s="12" t="str">
        <x:v>ORD-00066</x:v>
      </x:c>
      <x:c r="B67" s="12" t="str">
        <x:v>DLR-008</x:v>
      </x:c>
      <x:c r="C67" s="12" t="str">
        <x:v>VinFast HTA Nguyễn Văn Linh</x:v>
      </x:c>
      <x:c r="D67" s="12" t="str">
        <x:v>VinFast</x:v>
      </x:c>
      <x:c r="E67" s="18" t="n">
        <x:v>46178</x:v>
      </x:c>
      <x:c r="F67" s="18" t="n">
        <x:v>46187</x:v>
      </x:c>
      <x:c r="G67" s="18" t="n">
        <x:v>46195</x:v>
      </x:c>
      <x:c r="H67" s="12" t="str">
        <x:v>Delivered</x:v>
      </x:c>
      <x:c r="I67" s="12" t="n">
        <x:v>8</x:v>
      </x:c>
      <x:c r="J67" s="12" t="str">
        <x:f>IF(H67="Delivered",IF(I67&lt;=0,"Yes","No"),"Pending")</x:f>
        <x:v>No</x:v>
      </x:c>
      <x:c r="K67" s="12" t="str">
        <x:v>Leasing</x:v>
      </x:c>
    </x:row>
    <x:row r="68">
      <x:c r="A68" s="12" t="str">
        <x:v>ORD-00067</x:v>
      </x:c>
      <x:c r="B68" s="12" t="str">
        <x:v>DLR-013</x:v>
      </x:c>
      <x:c r="C68" s="12" t="str">
        <x:v>VinFast HTA Ninh Bình</x:v>
      </x:c>
      <x:c r="D68" s="12" t="str">
        <x:v>VinFast</x:v>
      </x:c>
      <x:c r="E68" s="18" t="n">
        <x:v>46223</x:v>
      </x:c>
      <x:c r="F68" s="18" t="n">
        <x:v>46229</x:v>
      </x:c>
      <x:c r="G68" s="18" t="n">
        <x:v>46239</x:v>
      </x:c>
      <x:c r="H68" s="12" t="str">
        <x:v>In Transit</x:v>
      </x:c>
      <x:c r="I68" s="12" t="n">
        <x:v>10</x:v>
      </x:c>
      <x:c r="J68" s="12" t="str">
        <x:f>IF(H68="Delivered",IF(I68&lt;=0,"Yes","No"),"Pending")</x:f>
        <x:v>Pending</x:v>
      </x:c>
      <x:c r="K68" s="12" t="str">
        <x:v>Leasing</x:v>
      </x:c>
    </x:row>
    <x:row r="69">
      <x:c r="A69" s="12" t="str">
        <x:v>ORD-00068</x:v>
      </x:c>
      <x:c r="B69" s="12" t="str">
        <x:v>DLR-012</x:v>
      </x:c>
      <x:c r="C69" s="12" t="str">
        <x:v>VinFast HTA Võ Chí Công</x:v>
      </x:c>
      <x:c r="D69" s="12" t="str">
        <x:v>VinFast</x:v>
      </x:c>
      <x:c r="E69" s="18" t="n">
        <x:v>46207</x:v>
      </x:c>
      <x:c r="F69" s="18" t="n">
        <x:v>46215</x:v>
      </x:c>
      <x:c r="G69" s="18" t="n">
        <x:v>46215</x:v>
      </x:c>
      <x:c r="H69" s="12" t="str">
        <x:v>Delivered</x:v>
      </x:c>
      <x:c r="I69" s="12" t="n">
        <x:v>0</x:v>
      </x:c>
      <x:c r="J69" s="12" t="str">
        <x:f>IF(H69="Delivered",IF(I69&lt;=0,"Yes","No"),"Pending")</x:f>
        <x:v>Yes</x:v>
      </x:c>
      <x:c r="K69" s="12" t="str">
        <x:v>Bank Loan</x:v>
      </x:c>
    </x:row>
    <x:row r="70">
      <x:c r="A70" s="12" t="str">
        <x:v>ORD-00069</x:v>
      </x:c>
      <x:c r="B70" s="12" t="str">
        <x:v>DLR-020</x:v>
      </x:c>
      <x:c r="C70" s="12" t="str">
        <x:v>Wuling HTA Long Biên</x:v>
      </x:c>
      <x:c r="D70" s="12" t="str">
        <x:v>Wuling</x:v>
      </x:c>
      <x:c r="E70" s="18" t="n">
        <x:v>46193</x:v>
      </x:c>
      <x:c r="F70" s="18" t="n">
        <x:v>46211</x:v>
      </x:c>
      <x:c r="G70" s="18" t="n">
        <x:v>46213</x:v>
      </x:c>
      <x:c r="H70" s="12" t="str">
        <x:v>Delivered</x:v>
      </x:c>
      <x:c r="I70" s="12" t="n">
        <x:v>2</x:v>
      </x:c>
      <x:c r="J70" s="12" t="str">
        <x:f>IF(H70="Delivered",IF(I70&lt;=0,"Yes","No"),"Pending")</x:f>
        <x:v>No</x:v>
      </x:c>
      <x:c r="K70" s="12" t="str">
        <x:v>Cash</x:v>
      </x:c>
    </x:row>
    <x:row r="71">
      <x:c r="A71" s="12" t="str">
        <x:v>ORD-00070</x:v>
      </x:c>
      <x:c r="B71" s="12" t="str">
        <x:v>DLR-002</x:v>
      </x:c>
      <x:c r="C71" s="12" t="str">
        <x:v>Hà Thành Ford - Mỹ Đình</x:v>
      </x:c>
      <x:c r="D71" s="12" t="str">
        <x:v>Ford</x:v>
      </x:c>
      <x:c r="E71" s="18" t="n">
        <x:v>46180</x:v>
      </x:c>
      <x:c r="F71" s="18" t="n">
        <x:v>46185</x:v>
      </x:c>
      <x:c r="G71" s="18" t="n">
        <x:v>46184</x:v>
      </x:c>
      <x:c r="H71" s="12" t="str">
        <x:v>Delivered</x:v>
      </x:c>
      <x:c r="I71" s="12" t="n">
        <x:v>-1</x:v>
      </x:c>
      <x:c r="J71" s="12" t="str">
        <x:f>IF(H71="Delivered",IF(I71&lt;=0,"Yes","No"),"Pending")</x:f>
        <x:v>Yes</x:v>
      </x:c>
      <x:c r="K71" s="12" t="str">
        <x:v>Cash</x:v>
      </x:c>
    </x:row>
    <x:row r="72">
      <x:c r="A72" s="12" t="str">
        <x:v>ORD-00071</x:v>
      </x:c>
      <x:c r="B72" s="12" t="str">
        <x:v>DLR-013</x:v>
      </x:c>
      <x:c r="C72" s="12" t="str">
        <x:v>VinFast HTA Ninh Bình</x:v>
      </x:c>
      <x:c r="D72" s="12" t="str">
        <x:v>VinFast</x:v>
      </x:c>
      <x:c r="E72" s="18" t="n">
        <x:v>46214</x:v>
      </x:c>
      <x:c r="F72" s="18" t="n">
        <x:v>46232</x:v>
      </x:c>
      <x:c r="G72" s="18" t="n">
        <x:v>46234</x:v>
      </x:c>
      <x:c r="H72" s="12" t="str">
        <x:v>Awaiting Registration</x:v>
      </x:c>
      <x:c r="I72" s="12" t="n">
        <x:v>2</x:v>
      </x:c>
      <x:c r="J72" s="12" t="str">
        <x:f>IF(H72="Delivered",IF(I72&lt;=0,"Yes","No"),"Pending")</x:f>
        <x:v>Pending</x:v>
      </x:c>
      <x:c r="K72" s="12" t="str">
        <x:v>Leasing</x:v>
      </x:c>
    </x:row>
    <x:row r="73">
      <x:c r="A73" s="12" t="str">
        <x:v>ORD-00072</x:v>
      </x:c>
      <x:c r="B73" s="12" t="str">
        <x:v>DLR-002</x:v>
      </x:c>
      <x:c r="C73" s="12" t="str">
        <x:v>Hà Thành Ford - Mỹ Đình</x:v>
      </x:c>
      <x:c r="D73" s="12" t="str">
        <x:v>Ford</x:v>
      </x:c>
      <x:c r="E73" s="18" t="n">
        <x:v>46184</x:v>
      </x:c>
      <x:c r="F73" s="18" t="n">
        <x:v>46203</x:v>
      </x:c>
      <x:c r="G73" s="18" t="n">
        <x:v>46201</x:v>
      </x:c>
      <x:c r="H73" s="12" t="str">
        <x:v>Delivered</x:v>
      </x:c>
      <x:c r="I73" s="12" t="n">
        <x:v>-2</x:v>
      </x:c>
      <x:c r="J73" s="12" t="str">
        <x:f>IF(H73="Delivered",IF(I73&lt;=0,"Yes","No"),"Pending")</x:f>
        <x:v>Yes</x:v>
      </x:c>
      <x:c r="K73" s="12" t="str">
        <x:v>Cash</x:v>
      </x:c>
    </x:row>
    <x:row r="74">
      <x:c r="A74" s="12" t="str">
        <x:v>ORD-00073</x:v>
      </x:c>
      <x:c r="B74" s="12" t="str">
        <x:v>DLR-017</x:v>
      </x:c>
      <x:c r="C74" s="12" t="str">
        <x:v>VinFast Quốc Oai</x:v>
      </x:c>
      <x:c r="D74" s="12" t="str">
        <x:v>VinFast</x:v>
      </x:c>
      <x:c r="E74" s="18" t="n">
        <x:v>46202</x:v>
      </x:c>
      <x:c r="F74" s="18" t="n">
        <x:v>46217</x:v>
      </x:c>
      <x:c r="G74" s="18" t="n">
        <x:v>46214</x:v>
      </x:c>
      <x:c r="H74" s="12" t="str">
        <x:v>Delivered</x:v>
      </x:c>
      <x:c r="I74" s="12" t="n">
        <x:v>-3</x:v>
      </x:c>
      <x:c r="J74" s="12" t="str">
        <x:f>IF(H74="Delivered",IF(I74&lt;=0,"Yes","No"),"Pending")</x:f>
        <x:v>Yes</x:v>
      </x:c>
      <x:c r="K74" s="12" t="str">
        <x:v>Bank Loan</x:v>
      </x:c>
    </x:row>
    <x:row r="75">
      <x:c r="A75" s="12" t="str">
        <x:v>ORD-00074</x:v>
      </x:c>
      <x:c r="B75" s="12" t="str">
        <x:v>DLR-019</x:v>
      </x:c>
      <x:c r="C75" s="12" t="str">
        <x:v>OMODA &amp; JAECOO HTA Việt Trì</x:v>
      </x:c>
      <x:c r="D75" s="12" t="str">
        <x:v>OMODA &amp; JAECOO</x:v>
      </x:c>
      <x:c r="E75" s="18" t="n">
        <x:v>46211</x:v>
      </x:c>
      <x:c r="F75" s="18" t="n">
        <x:v>46221</x:v>
      </x:c>
      <x:c r="G75" s="18" t="n">
        <x:v>46231</x:v>
      </x:c>
      <x:c r="H75" s="12" t="str">
        <x:v>In Transit</x:v>
      </x:c>
      <x:c r="I75" s="12" t="n">
        <x:v>10</x:v>
      </x:c>
      <x:c r="J75" s="12" t="str">
        <x:f>IF(H75="Delivered",IF(I75&lt;=0,"Yes","No"),"Pending")</x:f>
        <x:v>Pending</x:v>
      </x:c>
      <x:c r="K75" s="12" t="str">
        <x:v>Cash</x:v>
      </x:c>
    </x:row>
    <x:row r="76">
      <x:c r="A76" s="12" t="str">
        <x:v>ORD-00075</x:v>
      </x:c>
      <x:c r="B76" s="12" t="str">
        <x:v>DLR-012</x:v>
      </x:c>
      <x:c r="C76" s="12" t="str">
        <x:v>VinFast HTA Võ Chí Công</x:v>
      </x:c>
      <x:c r="D76" s="12" t="str">
        <x:v>VinFast</x:v>
      </x:c>
      <x:c r="E76" s="18" t="n">
        <x:v>46182</x:v>
      </x:c>
      <x:c r="F76" s="18" t="n">
        <x:v>46188</x:v>
      </x:c>
      <x:c r="G76" s="18" t="n">
        <x:v>46193</x:v>
      </x:c>
      <x:c r="H76" s="12" t="str">
        <x:v>Delivered</x:v>
      </x:c>
      <x:c r="I76" s="12" t="n">
        <x:v>5</x:v>
      </x:c>
      <x:c r="J76" s="12" t="str">
        <x:f>IF(H76="Delivered",IF(I76&lt;=0,"Yes","No"),"Pending")</x:f>
        <x:v>No</x:v>
      </x:c>
      <x:c r="K76" s="12" t="str">
        <x:v>Cash</x:v>
      </x:c>
    </x:row>
    <x:row r="77">
      <x:c r="A77" s="12" t="str">
        <x:v>ORD-00076</x:v>
      </x:c>
      <x:c r="B77" s="12" t="str">
        <x:v>DLR-015</x:v>
      </x:c>
      <x:c r="C77" s="12" t="str">
        <x:v>VinFast HTA Văn Phú</x:v>
      </x:c>
      <x:c r="D77" s="12" t="str">
        <x:v>VinFast</x:v>
      </x:c>
      <x:c r="E77" s="18" t="n">
        <x:v>46221</x:v>
      </x:c>
      <x:c r="F77" s="18" t="n">
        <x:v>46239</x:v>
      </x:c>
      <x:c r="G77" s="18" t="n">
        <x:v>46239</x:v>
      </x:c>
      <x:c r="H77" s="12" t="str">
        <x:v>Ready</x:v>
      </x:c>
      <x:c r="I77" s="12" t="n">
        <x:v>0</x:v>
      </x:c>
      <x:c r="J77" s="12" t="str">
        <x:f>IF(H77="Delivered",IF(I77&lt;=0,"Yes","No"),"Pending")</x:f>
        <x:v>Pending</x:v>
      </x:c>
      <x:c r="K77" s="12" t="str">
        <x:v>Bank Loan</x:v>
      </x:c>
    </x:row>
    <x:row r="78">
      <x:c r="A78" s="12" t="str">
        <x:v>ORD-00077</x:v>
      </x:c>
      <x:c r="B78" s="12" t="str">
        <x:v>DLR-010</x:v>
      </x:c>
      <x:c r="C78" s="12" t="str">
        <x:v>VinFast HTA Đàm Quang Trung</x:v>
      </x:c>
      <x:c r="D78" s="12" t="str">
        <x:v>VinFast</x:v>
      </x:c>
      <x:c r="E78" s="18" t="n">
        <x:v>46209</x:v>
      </x:c>
      <x:c r="F78" s="18" t="n">
        <x:v>46229</x:v>
      </x:c>
      <x:c r="G78" s="18" t="n">
        <x:v>46233</x:v>
      </x:c>
      <x:c r="H78" s="12" t="str">
        <x:v>In Transit</x:v>
      </x:c>
      <x:c r="I78" s="12" t="n">
        <x:v>4</x:v>
      </x:c>
      <x:c r="J78" s="12" t="str">
        <x:f>IF(H78="Delivered",IF(I78&lt;=0,"Yes","No"),"Pending")</x:f>
        <x:v>Pending</x:v>
      </x:c>
      <x:c r="K78" s="12" t="str">
        <x:v>Leasing</x:v>
      </x:c>
    </x:row>
    <x:row r="79">
      <x:c r="A79" s="12" t="str">
        <x:v>ORD-00078</x:v>
      </x:c>
      <x:c r="B79" s="12" t="str">
        <x:v>DLR-007</x:v>
      </x:c>
      <x:c r="C79" s="12" t="str">
        <x:v>BYD Hà Đông</x:v>
      </x:c>
      <x:c r="D79" s="12" t="str">
        <x:v>BYD</x:v>
      </x:c>
      <x:c r="E79" s="18" t="n">
        <x:v>46204</x:v>
      </x:c>
      <x:c r="F79" s="18" t="n">
        <x:v>46221</x:v>
      </x:c>
      <x:c r="G79" s="18" t="n">
        <x:v>46226</x:v>
      </x:c>
      <x:c r="H79" s="12" t="str">
        <x:v>Awaiting Registration</x:v>
      </x:c>
      <x:c r="I79" s="12" t="n">
        <x:v>5</x:v>
      </x:c>
      <x:c r="J79" s="12" t="str">
        <x:f>IF(H79="Delivered",IF(I79&lt;=0,"Yes","No"),"Pending")</x:f>
        <x:v>Pending</x:v>
      </x:c>
      <x:c r="K79" s="12" t="str">
        <x:v>Cash</x:v>
      </x:c>
    </x:row>
    <x:row r="80">
      <x:c r="A80" s="12" t="str">
        <x:v>ORD-00079</x:v>
      </x:c>
      <x:c r="B80" s="12" t="str">
        <x:v>DLR-002</x:v>
      </x:c>
      <x:c r="C80" s="12" t="str">
        <x:v>Hà Thành Ford - Mỹ Đình</x:v>
      </x:c>
      <x:c r="D80" s="12" t="str">
        <x:v>Ford</x:v>
      </x:c>
      <x:c r="E80" s="18" t="n">
        <x:v>46218</x:v>
      </x:c>
      <x:c r="F80" s="18" t="n">
        <x:v>46234</x:v>
      </x:c>
      <x:c r="G80" s="18" t="n">
        <x:v>46238</x:v>
      </x:c>
      <x:c r="H80" s="12" t="str">
        <x:v>Ready</x:v>
      </x:c>
      <x:c r="I80" s="12" t="n">
        <x:v>4</x:v>
      </x:c>
      <x:c r="J80" s="12" t="str">
        <x:f>IF(H80="Delivered",IF(I80&lt;=0,"Yes","No"),"Pending")</x:f>
        <x:v>Pending</x:v>
      </x:c>
      <x:c r="K80" s="12" t="str">
        <x:v>Bank Loan</x:v>
      </x:c>
    </x:row>
    <x:row r="81">
      <x:c r="A81" s="12" t="str">
        <x:v>ORD-00080</x:v>
      </x:c>
      <x:c r="B81" s="12" t="str">
        <x:v>DLR-020</x:v>
      </x:c>
      <x:c r="C81" s="12" t="str">
        <x:v>Wuling HTA Long Biên</x:v>
      </x:c>
      <x:c r="D81" s="12" t="str">
        <x:v>Wuling</x:v>
      </x:c>
      <x:c r="E81" s="18" t="n">
        <x:v>46212</x:v>
      </x:c>
      <x:c r="F81" s="18" t="n">
        <x:v>46229</x:v>
      </x:c>
      <x:c r="G81" s="18" t="n">
        <x:v>46238</x:v>
      </x:c>
      <x:c r="H81" s="12" t="str">
        <x:v>Awaiting Registration</x:v>
      </x:c>
      <x:c r="I81" s="12" t="n">
        <x:v>9</x:v>
      </x:c>
      <x:c r="J81" s="12" t="str">
        <x:f>IF(H81="Delivered",IF(I81&lt;=0,"Yes","No"),"Pending")</x:f>
        <x:v>Pending</x:v>
      </x:c>
      <x:c r="K81" s="12" t="str">
        <x:v>Cash</x:v>
      </x:c>
    </x:row>
    <x:row r="82">
      <x:c r="A82" s="12" t="str">
        <x:v>ORD-00081</x:v>
      </x:c>
      <x:c r="B82" s="12" t="str">
        <x:v>DLR-011</x:v>
      </x:c>
      <x:c r="C82" s="12" t="str">
        <x:v>VinFast HTA Phạm Văn Đồng</x:v>
      </x:c>
      <x:c r="D82" s="12" t="str">
        <x:v>VinFast</x:v>
      </x:c>
      <x:c r="E82" s="18" t="n">
        <x:v>46175</x:v>
      </x:c>
      <x:c r="F82" s="18" t="n">
        <x:v>46183</x:v>
      </x:c>
      <x:c r="G82" s="18" t="n">
        <x:v>46187</x:v>
      </x:c>
      <x:c r="H82" s="12" t="str">
        <x:v>Delivered</x:v>
      </x:c>
      <x:c r="I82" s="12" t="n">
        <x:v>4</x:v>
      </x:c>
      <x:c r="J82" s="12" t="str">
        <x:f>IF(H82="Delivered",IF(I82&lt;=0,"Yes","No"),"Pending")</x:f>
        <x:v>No</x:v>
      </x:c>
      <x:c r="K82" s="12" t="str">
        <x:v>Cash</x:v>
      </x:c>
    </x:row>
    <x:row r="83">
      <x:c r="A83" s="12" t="str">
        <x:v>ORD-00082</x:v>
      </x:c>
      <x:c r="B83" s="12" t="str">
        <x:v>DLR-015</x:v>
      </x:c>
      <x:c r="C83" s="12" t="str">
        <x:v>VinFast HTA Văn Phú</x:v>
      </x:c>
      <x:c r="D83" s="12" t="str">
        <x:v>VinFast</x:v>
      </x:c>
      <x:c r="E83" s="18" t="n">
        <x:v>46189</x:v>
      </x:c>
      <x:c r="F83" s="18" t="n">
        <x:v>46204</x:v>
      </x:c>
      <x:c r="G83" s="18" t="n">
        <x:v>46206</x:v>
      </x:c>
      <x:c r="H83" s="12" t="str">
        <x:v>Delivered</x:v>
      </x:c>
      <x:c r="I83" s="12" t="n">
        <x:v>2</x:v>
      </x:c>
      <x:c r="J83" s="12" t="str">
        <x:f>IF(H83="Delivered",IF(I83&lt;=0,"Yes","No"),"Pending")</x:f>
        <x:v>No</x:v>
      </x:c>
      <x:c r="K83" s="12" t="str">
        <x:v>Bank Loan</x:v>
      </x:c>
    </x:row>
    <x:row r="84">
      <x:c r="A84" s="12" t="str">
        <x:v>ORD-00083</x:v>
      </x:c>
      <x:c r="B84" s="12" t="str">
        <x:v>DLR-012</x:v>
      </x:c>
      <x:c r="C84" s="12" t="str">
        <x:v>VinFast HTA Võ Chí Công</x:v>
      </x:c>
      <x:c r="D84" s="12" t="str">
        <x:v>VinFast</x:v>
      </x:c>
      <x:c r="E84" s="18" t="n">
        <x:v>46215</x:v>
      </x:c>
      <x:c r="F84" s="18" t="n">
        <x:v>46231</x:v>
      </x:c>
      <x:c r="G84" s="18" t="n">
        <x:v>46241</x:v>
      </x:c>
      <x:c r="H84" s="12" t="str">
        <x:v>Ready</x:v>
      </x:c>
      <x:c r="I84" s="12" t="n">
        <x:v>10</x:v>
      </x:c>
      <x:c r="J84" s="12" t="str">
        <x:f>IF(H84="Delivered",IF(I84&lt;=0,"Yes","No"),"Pending")</x:f>
        <x:v>Pending</x:v>
      </x:c>
      <x:c r="K84" s="12" t="str">
        <x:v>Cash</x:v>
      </x:c>
    </x:row>
    <x:row r="85">
      <x:c r="A85" s="12" t="str">
        <x:v>ORD-00084</x:v>
      </x:c>
      <x:c r="B85" s="12" t="str">
        <x:v>DLR-003</x:v>
      </x:c>
      <x:c r="C85" s="12" t="str">
        <x:v>Mỹ Đình Ford</x:v>
      </x:c>
      <x:c r="D85" s="12" t="str">
        <x:v>Ford</x:v>
      </x:c>
      <x:c r="E85" s="18" t="n">
        <x:v>46204</x:v>
      </x:c>
      <x:c r="F85" s="18" t="n">
        <x:v>46212</x:v>
      </x:c>
      <x:c r="G85" s="18" t="n">
        <x:v>46214</x:v>
      </x:c>
      <x:c r="H85" s="12" t="str">
        <x:v>Delivered</x:v>
      </x:c>
      <x:c r="I85" s="12" t="n">
        <x:v>2</x:v>
      </x:c>
      <x:c r="J85" s="12" t="str">
        <x:f>IF(H85="Delivered",IF(I85&lt;=0,"Yes","No"),"Pending")</x:f>
        <x:v>No</x:v>
      </x:c>
      <x:c r="K85" s="12" t="str">
        <x:v>Leasing</x:v>
      </x:c>
    </x:row>
    <x:row r="86">
      <x:c r="A86" s="12" t="str">
        <x:v>ORD-00085</x:v>
      </x:c>
      <x:c r="B86" s="12" t="str">
        <x:v>DLR-010</x:v>
      </x:c>
      <x:c r="C86" s="12" t="str">
        <x:v>VinFast HTA Đàm Quang Trung</x:v>
      </x:c>
      <x:c r="D86" s="12" t="str">
        <x:v>VinFast</x:v>
      </x:c>
      <x:c r="E86" s="18" t="n">
        <x:v>46219</x:v>
      </x:c>
      <x:c r="F86" s="18" t="n">
        <x:v>46229</x:v>
      </x:c>
      <x:c r="G86" s="18" t="n">
        <x:v>46228</x:v>
      </x:c>
      <x:c r="H86" s="12" t="str">
        <x:v>In Transit</x:v>
      </x:c>
      <x:c r="I86" s="12" t="n">
        <x:v>-1</x:v>
      </x:c>
      <x:c r="J86" s="12" t="str">
        <x:f>IF(H86="Delivered",IF(I86&lt;=0,"Yes","No"),"Pending")</x:f>
        <x:v>Pending</x:v>
      </x:c>
      <x:c r="K86" s="12" t="str">
        <x:v>Cash</x:v>
      </x:c>
    </x:row>
    <x:row r="87">
      <x:c r="A87" s="12" t="str">
        <x:v>ORD-00086</x:v>
      </x:c>
      <x:c r="B87" s="12" t="str">
        <x:v>DLR-019</x:v>
      </x:c>
      <x:c r="C87" s="12" t="str">
        <x:v>OMODA &amp; JAECOO HTA Việt Trì</x:v>
      </x:c>
      <x:c r="D87" s="12" t="str">
        <x:v>OMODA &amp; JAECOO</x:v>
      </x:c>
      <x:c r="E87" s="18" t="n">
        <x:v>46224</x:v>
      </x:c>
      <x:c r="F87" s="18" t="n">
        <x:v>46236</x:v>
      </x:c>
      <x:c r="G87" s="18" t="n">
        <x:v>46242</x:v>
      </x:c>
      <x:c r="H87" s="12" t="str">
        <x:v>Ready</x:v>
      </x:c>
      <x:c r="I87" s="12" t="n">
        <x:v>6</x:v>
      </x:c>
      <x:c r="J87" s="12" t="str">
        <x:f>IF(H87="Delivered",IF(I87&lt;=0,"Yes","No"),"Pending")</x:f>
        <x:v>Pending</x:v>
      </x:c>
      <x:c r="K87" s="12" t="str">
        <x:v>Cash</x:v>
      </x:c>
    </x:row>
    <x:row r="88">
      <x:c r="A88" s="12" t="str">
        <x:v>ORD-00087</x:v>
      </x:c>
      <x:c r="B88" s="12" t="str">
        <x:v>DLR-006</x:v>
      </x:c>
      <x:c r="C88" s="12" t="str">
        <x:v>BYD HTA Hoàn Kiếm</x:v>
      </x:c>
      <x:c r="D88" s="12" t="str">
        <x:v>BYD</x:v>
      </x:c>
      <x:c r="E88" s="18" t="n">
        <x:v>46183</x:v>
      </x:c>
      <x:c r="F88" s="18" t="n">
        <x:v>46189</x:v>
      </x:c>
      <x:c r="G88" s="18" t="n">
        <x:v>46198</x:v>
      </x:c>
      <x:c r="H88" s="12" t="str">
        <x:v>Delivered</x:v>
      </x:c>
      <x:c r="I88" s="12" t="n">
        <x:v>9</x:v>
      </x:c>
      <x:c r="J88" s="12" t="str">
        <x:f>IF(H88="Delivered",IF(I88&lt;=0,"Yes","No"),"Pending")</x:f>
        <x:v>No</x:v>
      </x:c>
      <x:c r="K88" s="12" t="str">
        <x:v>Leasing</x:v>
      </x:c>
    </x:row>
    <x:row r="89">
      <x:c r="A89" s="12" t="str">
        <x:v>ORD-00088</x:v>
      </x:c>
      <x:c r="B89" s="12" t="str">
        <x:v>DLR-017</x:v>
      </x:c>
      <x:c r="C89" s="12" t="str">
        <x:v>VinFast Quốc Oai</x:v>
      </x:c>
      <x:c r="D89" s="12" t="str">
        <x:v>VinFast</x:v>
      </x:c>
      <x:c r="E89" s="18" t="n">
        <x:v>46176</x:v>
      </x:c>
      <x:c r="F89" s="18" t="n">
        <x:v>46191</x:v>
      </x:c>
      <x:c r="G89" s="18" t="n">
        <x:v>46193</x:v>
      </x:c>
      <x:c r="H89" s="12" t="str">
        <x:v>Delivered</x:v>
      </x:c>
      <x:c r="I89" s="12" t="n">
        <x:v>2</x:v>
      </x:c>
      <x:c r="J89" s="12" t="str">
        <x:f>IF(H89="Delivered",IF(I89&lt;=0,"Yes","No"),"Pending")</x:f>
        <x:v>No</x:v>
      </x:c>
      <x:c r="K89" s="12" t="str">
        <x:v>Leasing</x:v>
      </x:c>
    </x:row>
    <x:row r="90">
      <x:c r="A90" s="12" t="str">
        <x:v>ORD-00089</x:v>
      </x:c>
      <x:c r="B90" s="12" t="str">
        <x:v>DLR-005</x:v>
      </x:c>
      <x:c r="C90" s="12" t="str">
        <x:v>BYD HTA Tây Hồ</x:v>
      </x:c>
      <x:c r="D90" s="12" t="str">
        <x:v>BYD</x:v>
      </x:c>
      <x:c r="E90" s="18" t="n">
        <x:v>46177</x:v>
      </x:c>
      <x:c r="F90" s="18" t="n">
        <x:v>46193</x:v>
      </x:c>
      <x:c r="G90" s="18" t="n">
        <x:v>46194</x:v>
      </x:c>
      <x:c r="H90" s="12" t="str">
        <x:v>Delivered</x:v>
      </x:c>
      <x:c r="I90" s="12" t="n">
        <x:v>1</x:v>
      </x:c>
      <x:c r="J90" s="12" t="str">
        <x:f>IF(H90="Delivered",IF(I90&lt;=0,"Yes","No"),"Pending")</x:f>
        <x:v>No</x:v>
      </x:c>
      <x:c r="K90" s="12" t="str">
        <x:v>Cash</x:v>
      </x:c>
    </x:row>
    <x:row r="91">
      <x:c r="A91" s="12" t="str">
        <x:v>ORD-00090</x:v>
      </x:c>
      <x:c r="B91" s="12" t="str">
        <x:v>DLR-016</x:v>
      </x:c>
      <x:c r="C91" s="12" t="str">
        <x:v>VinFast HTA Mỹ Đình</x:v>
      </x:c>
      <x:c r="D91" s="12" t="str">
        <x:v>VinFast</x:v>
      </x:c>
      <x:c r="E91" s="18" t="n">
        <x:v>46193</x:v>
      </x:c>
      <x:c r="F91" s="18" t="n">
        <x:v>46204</x:v>
      </x:c>
      <x:c r="G91" s="18" t="n">
        <x:v>46213</x:v>
      </x:c>
      <x:c r="H91" s="12" t="str">
        <x:v>Delivered</x:v>
      </x:c>
      <x:c r="I91" s="12" t="n">
        <x:v>9</x:v>
      </x:c>
      <x:c r="J91" s="12" t="str">
        <x:f>IF(H91="Delivered",IF(I91&lt;=0,"Yes","No"),"Pending")</x:f>
        <x:v>No</x:v>
      </x:c>
      <x:c r="K91" s="12" t="str">
        <x:v>Bank Loan</x:v>
      </x:c>
    </x:row>
    <x:row r="92">
      <x:c r="A92" s="12" t="str">
        <x:v>ORD-00091</x:v>
      </x:c>
      <x:c r="B92" s="12" t="str">
        <x:v>DLR-012</x:v>
      </x:c>
      <x:c r="C92" s="12" t="str">
        <x:v>VinFast HTA Võ Chí Công</x:v>
      </x:c>
      <x:c r="D92" s="12" t="str">
        <x:v>VinFast</x:v>
      </x:c>
      <x:c r="E92" s="18" t="n">
        <x:v>46194</x:v>
      </x:c>
      <x:c r="F92" s="18" t="n">
        <x:v>46206</x:v>
      </x:c>
      <x:c r="G92" s="18" t="n">
        <x:v>46216</x:v>
      </x:c>
      <x:c r="H92" s="12" t="str">
        <x:v>Delivered</x:v>
      </x:c>
      <x:c r="I92" s="12" t="n">
        <x:v>10</x:v>
      </x:c>
      <x:c r="J92" s="12" t="str">
        <x:f>IF(H92="Delivered",IF(I92&lt;=0,"Yes","No"),"Pending")</x:f>
        <x:v>No</x:v>
      </x:c>
      <x:c r="K92" s="12" t="str">
        <x:v>Bank Loan</x:v>
      </x:c>
    </x:row>
    <x:row r="93">
      <x:c r="A93" s="12" t="str">
        <x:v>ORD-00092</x:v>
      </x:c>
      <x:c r="B93" s="12" t="str">
        <x:v>DLR-016</x:v>
      </x:c>
      <x:c r="C93" s="12" t="str">
        <x:v>VinFast HTA Mỹ Đình</x:v>
      </x:c>
      <x:c r="D93" s="12" t="str">
        <x:v>VinFast</x:v>
      </x:c>
      <x:c r="E93" s="18" t="n">
        <x:v>46217</x:v>
      </x:c>
      <x:c r="F93" s="18" t="n">
        <x:v>46223</x:v>
      </x:c>
      <x:c r="G93" s="18" t="n">
        <x:v>46220</x:v>
      </x:c>
      <x:c r="H93" s="12" t="str">
        <x:v>Delivered</x:v>
      </x:c>
      <x:c r="I93" s="12" t="n">
        <x:v>-3</x:v>
      </x:c>
      <x:c r="J93" s="12" t="str">
        <x:f>IF(H93="Delivered",IF(I93&lt;=0,"Yes","No"),"Pending")</x:f>
        <x:v>Yes</x:v>
      </x:c>
      <x:c r="K93" s="12" t="str">
        <x:v>Leasing</x:v>
      </x:c>
    </x:row>
    <x:row r="94">
      <x:c r="A94" s="12" t="str">
        <x:v>ORD-00093</x:v>
      </x:c>
      <x:c r="B94" s="12" t="str">
        <x:v>DLR-014</x:v>
      </x:c>
      <x:c r="C94" s="12" t="str">
        <x:v>VinFast HTA Nam Từ Liêm</x:v>
      </x:c>
      <x:c r="D94" s="12" t="str">
        <x:v>VinFast</x:v>
      </x:c>
      <x:c r="E94" s="18" t="n">
        <x:v>46187</x:v>
      </x:c>
      <x:c r="F94" s="18" t="n">
        <x:v>46199</x:v>
      </x:c>
      <x:c r="G94" s="18" t="n">
        <x:v>46205</x:v>
      </x:c>
      <x:c r="H94" s="12" t="str">
        <x:v>Delivered</x:v>
      </x:c>
      <x:c r="I94" s="12" t="n">
        <x:v>6</x:v>
      </x:c>
      <x:c r="J94" s="12" t="str">
        <x:f>IF(H94="Delivered",IF(I94&lt;=0,"Yes","No"),"Pending")</x:f>
        <x:v>No</x:v>
      </x:c>
      <x:c r="K94" s="12" t="str">
        <x:v>Bank Loan</x:v>
      </x:c>
    </x:row>
    <x:row r="95">
      <x:c r="A95" s="12" t="str">
        <x:v>ORD-00094</x:v>
      </x:c>
      <x:c r="B95" s="12" t="str">
        <x:v>DLR-016</x:v>
      </x:c>
      <x:c r="C95" s="12" t="str">
        <x:v>VinFast HTA Mỹ Đình</x:v>
      </x:c>
      <x:c r="D95" s="12" t="str">
        <x:v>VinFast</x:v>
      </x:c>
      <x:c r="E95" s="18" t="n">
        <x:v>46185</x:v>
      </x:c>
      <x:c r="F95" s="18" t="n">
        <x:v>46200</x:v>
      </x:c>
      <x:c r="G95" s="18" t="n">
        <x:v>46202</x:v>
      </x:c>
      <x:c r="H95" s="12" t="str">
        <x:v>Delivered</x:v>
      </x:c>
      <x:c r="I95" s="12" t="n">
        <x:v>2</x:v>
      </x:c>
      <x:c r="J95" s="12" t="str">
        <x:f>IF(H95="Delivered",IF(I95&lt;=0,"Yes","No"),"Pending")</x:f>
        <x:v>No</x:v>
      </x:c>
      <x:c r="K95" s="12" t="str">
        <x:v>Cash</x:v>
      </x:c>
    </x:row>
    <x:row r="96">
      <x:c r="A96" s="12" t="str">
        <x:v>ORD-00095</x:v>
      </x:c>
      <x:c r="B96" s="12" t="str">
        <x:v>DLR-020</x:v>
      </x:c>
      <x:c r="C96" s="12" t="str">
        <x:v>Wuling HTA Long Biên</x:v>
      </x:c>
      <x:c r="D96" s="12" t="str">
        <x:v>Wuling</x:v>
      </x:c>
      <x:c r="E96" s="18" t="n">
        <x:v>46175</x:v>
      </x:c>
      <x:c r="F96" s="18" t="n">
        <x:v>46187</x:v>
      </x:c>
      <x:c r="G96" s="18" t="n">
        <x:v>46194</x:v>
      </x:c>
      <x:c r="H96" s="12" t="str">
        <x:v>Delivered</x:v>
      </x:c>
      <x:c r="I96" s="12" t="n">
        <x:v>7</x:v>
      </x:c>
      <x:c r="J96" s="12" t="str">
        <x:f>IF(H96="Delivered",IF(I96&lt;=0,"Yes","No"),"Pending")</x:f>
        <x:v>No</x:v>
      </x:c>
      <x:c r="K96" s="12" t="str">
        <x:v>Cash</x:v>
      </x:c>
    </x:row>
    <x:row r="97">
      <x:c r="A97" s="12" t="str">
        <x:v>ORD-00096</x:v>
      </x:c>
      <x:c r="B97" s="12" t="str">
        <x:v>DLR-008</x:v>
      </x:c>
      <x:c r="C97" s="12" t="str">
        <x:v>VinFast HTA Nguyễn Văn Linh</x:v>
      </x:c>
      <x:c r="D97" s="12" t="str">
        <x:v>VinFast</x:v>
      </x:c>
      <x:c r="E97" s="18" t="n">
        <x:v>46219</x:v>
      </x:c>
      <x:c r="F97" s="18" t="n">
        <x:v>46226</x:v>
      </x:c>
      <x:c r="G97" s="18" t="n">
        <x:v>46223</x:v>
      </x:c>
      <x:c r="H97" s="12" t="str">
        <x:v>Delivered</x:v>
      </x:c>
      <x:c r="I97" s="12" t="n">
        <x:v>-3</x:v>
      </x:c>
      <x:c r="J97" s="12" t="str">
        <x:f>IF(H97="Delivered",IF(I97&lt;=0,"Yes","No"),"Pending")</x:f>
        <x:v>Yes</x:v>
      </x:c>
      <x:c r="K97" s="12" t="str">
        <x:v>Cash</x:v>
      </x:c>
    </x:row>
    <x:row r="98">
      <x:c r="A98" s="12" t="str">
        <x:v>ORD-00097</x:v>
      </x:c>
      <x:c r="B98" s="12" t="str">
        <x:v>DLR-011</x:v>
      </x:c>
      <x:c r="C98" s="12" t="str">
        <x:v>VinFast HTA Phạm Văn Đồng</x:v>
      </x:c>
      <x:c r="D98" s="12" t="str">
        <x:v>VinFast</x:v>
      </x:c>
      <x:c r="E98" s="18" t="n">
        <x:v>46197</x:v>
      </x:c>
      <x:c r="F98" s="18" t="n">
        <x:v>46207</x:v>
      </x:c>
      <x:c r="G98" s="18" t="n">
        <x:v>46217</x:v>
      </x:c>
      <x:c r="H98" s="12" t="str">
        <x:v>Delivered</x:v>
      </x:c>
      <x:c r="I98" s="12" t="n">
        <x:v>10</x:v>
      </x:c>
      <x:c r="J98" s="12" t="str">
        <x:f>IF(H98="Delivered",IF(I98&lt;=0,"Yes","No"),"Pending")</x:f>
        <x:v>No</x:v>
      </x:c>
      <x:c r="K98" s="12" t="str">
        <x:v>Leasing</x:v>
      </x:c>
    </x:row>
    <x:row r="99">
      <x:c r="A99" s="12" t="str">
        <x:v>ORD-00098</x:v>
      </x:c>
      <x:c r="B99" s="12" t="str">
        <x:v>DLR-002</x:v>
      </x:c>
      <x:c r="C99" s="12" t="str">
        <x:v>Hà Thành Ford - Mỹ Đình</x:v>
      </x:c>
      <x:c r="D99" s="12" t="str">
        <x:v>Ford</x:v>
      </x:c>
      <x:c r="E99" s="18" t="n">
        <x:v>46211</x:v>
      </x:c>
      <x:c r="F99" s="18" t="n">
        <x:v>46225</x:v>
      </x:c>
      <x:c r="G99" s="18" t="n">
        <x:v>46230</x:v>
      </x:c>
      <x:c r="H99" s="12" t="str">
        <x:v>Ready</x:v>
      </x:c>
      <x:c r="I99" s="12" t="n">
        <x:v>5</x:v>
      </x:c>
      <x:c r="J99" s="12" t="str">
        <x:f>IF(H99="Delivered",IF(I99&lt;=0,"Yes","No"),"Pending")</x:f>
        <x:v>Pending</x:v>
      </x:c>
      <x:c r="K99" s="12" t="str">
        <x:v>Cash</x:v>
      </x:c>
    </x:row>
    <x:row r="100">
      <x:c r="A100" s="12" t="str">
        <x:v>ORD-00099</x:v>
      </x:c>
      <x:c r="B100" s="12" t="str">
        <x:v>DLR-003</x:v>
      </x:c>
      <x:c r="C100" s="12" t="str">
        <x:v>Mỹ Đình Ford</x:v>
      </x:c>
      <x:c r="D100" s="12" t="str">
        <x:v>Ford</x:v>
      </x:c>
      <x:c r="E100" s="18" t="n">
        <x:v>46184</x:v>
      </x:c>
      <x:c r="F100" s="18" t="n">
        <x:v>46190</x:v>
      </x:c>
      <x:c r="G100" s="18" t="n">
        <x:v>46190</x:v>
      </x:c>
      <x:c r="H100" s="12" t="str">
        <x:v>Delivered</x:v>
      </x:c>
      <x:c r="I100" s="12" t="n">
        <x:v>0</x:v>
      </x:c>
      <x:c r="J100" s="12" t="str">
        <x:f>IF(H100="Delivered",IF(I100&lt;=0,"Yes","No"),"Pending")</x:f>
        <x:v>Yes</x:v>
      </x:c>
      <x:c r="K100" s="12" t="str">
        <x:v>Leasing</x:v>
      </x:c>
    </x:row>
    <x:row r="101">
      <x:c r="A101" s="12" t="str">
        <x:v>ORD-00100</x:v>
      </x:c>
      <x:c r="B101" s="12" t="str">
        <x:v>DLR-019</x:v>
      </x:c>
      <x:c r="C101" s="12" t="str">
        <x:v>OMODA &amp; JAECOO HTA Việt Trì</x:v>
      </x:c>
      <x:c r="D101" s="12" t="str">
        <x:v>OMODA &amp; JAECOO</x:v>
      </x:c>
      <x:c r="E101" s="18" t="n">
        <x:v>46204</x:v>
      </x:c>
      <x:c r="F101" s="18" t="n">
        <x:v>46210</x:v>
      </x:c>
      <x:c r="G101" s="18" t="n">
        <x:v>46215</x:v>
      </x:c>
      <x:c r="H101" s="12" t="str">
        <x:v>Delivered</x:v>
      </x:c>
      <x:c r="I101" s="12" t="n">
        <x:v>5</x:v>
      </x:c>
      <x:c r="J101" s="12" t="str">
        <x:f>IF(H101="Delivered",IF(I101&lt;=0,"Yes","No"),"Pending")</x:f>
        <x:v>No</x:v>
      </x:c>
      <x:c r="K101" s="12" t="str">
        <x:v>Cash</x:v>
      </x:c>
    </x:row>
    <x:row r="102">
      <x:c r="A102" s="12" t="str">
        <x:v>ORD-00101</x:v>
      </x:c>
      <x:c r="B102" s="12" t="str">
        <x:v>DLR-014</x:v>
      </x:c>
      <x:c r="C102" s="12" t="str">
        <x:v>VinFast HTA Nam Từ Liêm</x:v>
      </x:c>
      <x:c r="D102" s="12" t="str">
        <x:v>VinFast</x:v>
      </x:c>
      <x:c r="E102" s="18" t="n">
        <x:v>46193</x:v>
      </x:c>
      <x:c r="F102" s="18" t="n">
        <x:v>46210</x:v>
      </x:c>
      <x:c r="G102" s="18" t="n">
        <x:v>46211</x:v>
      </x:c>
      <x:c r="H102" s="12" t="str">
        <x:v>Delivered</x:v>
      </x:c>
      <x:c r="I102" s="12" t="n">
        <x:v>1</x:v>
      </x:c>
      <x:c r="J102" s="12" t="str">
        <x:f>IF(H102="Delivered",IF(I102&lt;=0,"Yes","No"),"Pending")</x:f>
        <x:v>No</x:v>
      </x:c>
      <x:c r="K102" s="12" t="str">
        <x:v>Cash</x:v>
      </x:c>
    </x:row>
    <x:row r="103">
      <x:c r="A103" s="12" t="str">
        <x:v>ORD-00102</x:v>
      </x:c>
      <x:c r="B103" s="12" t="str">
        <x:v>DLR-005</x:v>
      </x:c>
      <x:c r="C103" s="12" t="str">
        <x:v>BYD HTA Tây Hồ</x:v>
      </x:c>
      <x:c r="D103" s="12" t="str">
        <x:v>BYD</x:v>
      </x:c>
      <x:c r="E103" s="18" t="n">
        <x:v>46216</x:v>
      </x:c>
      <x:c r="F103" s="18" t="n">
        <x:v>46223</x:v>
      </x:c>
      <x:c r="G103" s="18" t="n">
        <x:v>46226</x:v>
      </x:c>
      <x:c r="H103" s="12" t="str">
        <x:v>Awaiting Registration</x:v>
      </x:c>
      <x:c r="I103" s="12" t="n">
        <x:v>3</x:v>
      </x:c>
      <x:c r="J103" s="12" t="str">
        <x:f>IF(H103="Delivered",IF(I103&lt;=0,"Yes","No"),"Pending")</x:f>
        <x:v>Pending</x:v>
      </x:c>
      <x:c r="K103" s="12" t="str">
        <x:v>Leasing</x:v>
      </x:c>
    </x:row>
    <x:row r="104">
      <x:c r="A104" s="12" t="str">
        <x:v>ORD-00103</x:v>
      </x:c>
      <x:c r="B104" s="12" t="str">
        <x:v>DLR-007</x:v>
      </x:c>
      <x:c r="C104" s="12" t="str">
        <x:v>BYD Hà Đông</x:v>
      </x:c>
      <x:c r="D104" s="12" t="str">
        <x:v>BYD</x:v>
      </x:c>
      <x:c r="E104" s="18" t="n">
        <x:v>46179</x:v>
      </x:c>
      <x:c r="F104" s="18" t="n">
        <x:v>46192</x:v>
      </x:c>
      <x:c r="G104" s="18" t="n">
        <x:v>46189</x:v>
      </x:c>
      <x:c r="H104" s="12" t="str">
        <x:v>Delivered</x:v>
      </x:c>
      <x:c r="I104" s="12" t="n">
        <x:v>-3</x:v>
      </x:c>
      <x:c r="J104" s="12" t="str">
        <x:f>IF(H104="Delivered",IF(I104&lt;=0,"Yes","No"),"Pending")</x:f>
        <x:v>Yes</x:v>
      </x:c>
      <x:c r="K104" s="12" t="str">
        <x:v>Bank Loan</x:v>
      </x:c>
    </x:row>
    <x:row r="105">
      <x:c r="A105" s="12" t="str">
        <x:v>ORD-00104</x:v>
      </x:c>
      <x:c r="B105" s="12" t="str">
        <x:v>DLR-011</x:v>
      </x:c>
      <x:c r="C105" s="12" t="str">
        <x:v>VinFast HTA Phạm Văn Đồng</x:v>
      </x:c>
      <x:c r="D105" s="12" t="str">
        <x:v>VinFast</x:v>
      </x:c>
      <x:c r="E105" s="18" t="n">
        <x:v>46199</x:v>
      </x:c>
      <x:c r="F105" s="18" t="n">
        <x:v>46204</x:v>
      </x:c>
      <x:c r="G105" s="18" t="n">
        <x:v>46209</x:v>
      </x:c>
      <x:c r="H105" s="12" t="str">
        <x:v>Delivered</x:v>
      </x:c>
      <x:c r="I105" s="12" t="n">
        <x:v>5</x:v>
      </x:c>
      <x:c r="J105" s="12" t="str">
        <x:f>IF(H105="Delivered",IF(I105&lt;=0,"Yes","No"),"Pending")</x:f>
        <x:v>No</x:v>
      </x:c>
      <x:c r="K105" s="12" t="str">
        <x:v>Leasing</x:v>
      </x:c>
    </x:row>
    <x:row r="106">
      <x:c r="A106" s="12" t="str">
        <x:v>ORD-00105</x:v>
      </x:c>
      <x:c r="B106" s="12" t="str">
        <x:v>DLR-005</x:v>
      </x:c>
      <x:c r="C106" s="12" t="str">
        <x:v>BYD HTA Tây Hồ</x:v>
      </x:c>
      <x:c r="D106" s="12" t="str">
        <x:v>BYD</x:v>
      </x:c>
      <x:c r="E106" s="18" t="n">
        <x:v>46203</x:v>
      </x:c>
      <x:c r="F106" s="18" t="n">
        <x:v>46220</x:v>
      </x:c>
      <x:c r="G106" s="18" t="n">
        <x:v>46221</x:v>
      </x:c>
      <x:c r="H106" s="12" t="str">
        <x:v>Delivered</x:v>
      </x:c>
      <x:c r="I106" s="12" t="n">
        <x:v>1</x:v>
      </x:c>
      <x:c r="J106" s="12" t="str">
        <x:f>IF(H106="Delivered",IF(I106&lt;=0,"Yes","No"),"Pending")</x:f>
        <x:v>No</x:v>
      </x:c>
      <x:c r="K106" s="12" t="str">
        <x:v>Cash</x:v>
      </x:c>
    </x:row>
    <x:row r="107">
      <x:c r="A107" s="12" t="str">
        <x:v>ORD-00106</x:v>
      </x:c>
      <x:c r="B107" s="12" t="str">
        <x:v>DLR-003</x:v>
      </x:c>
      <x:c r="C107" s="12" t="str">
        <x:v>Mỹ Đình Ford</x:v>
      </x:c>
      <x:c r="D107" s="12" t="str">
        <x:v>Ford</x:v>
      </x:c>
      <x:c r="E107" s="18" t="n">
        <x:v>46190</x:v>
      </x:c>
      <x:c r="F107" s="18" t="n">
        <x:v>46210</x:v>
      </x:c>
      <x:c r="G107" s="18" t="n">
        <x:v>46208</x:v>
      </x:c>
      <x:c r="H107" s="12" t="str">
        <x:v>Delivered</x:v>
      </x:c>
      <x:c r="I107" s="12" t="n">
        <x:v>-2</x:v>
      </x:c>
      <x:c r="J107" s="12" t="str">
        <x:f>IF(H107="Delivered",IF(I107&lt;=0,"Yes","No"),"Pending")</x:f>
        <x:v>Yes</x:v>
      </x:c>
      <x:c r="K107" s="12" t="str">
        <x:v>Cash</x:v>
      </x:c>
    </x:row>
    <x:row r="108">
      <x:c r="A108" s="12" t="str">
        <x:v>ORD-00107</x:v>
      </x:c>
      <x:c r="B108" s="12" t="str">
        <x:v>DLR-006</x:v>
      </x:c>
      <x:c r="C108" s="12" t="str">
        <x:v>BYD HTA Hoàn Kiếm</x:v>
      </x:c>
      <x:c r="D108" s="12" t="str">
        <x:v>BYD</x:v>
      </x:c>
      <x:c r="E108" s="18" t="n">
        <x:v>46197</x:v>
      </x:c>
      <x:c r="F108" s="18" t="n">
        <x:v>46215</x:v>
      </x:c>
      <x:c r="G108" s="18" t="n">
        <x:v>46219</x:v>
      </x:c>
      <x:c r="H108" s="12" t="str">
        <x:v>Delivered</x:v>
      </x:c>
      <x:c r="I108" s="12" t="n">
        <x:v>4</x:v>
      </x:c>
      <x:c r="J108" s="12" t="str">
        <x:f>IF(H108="Delivered",IF(I108&lt;=0,"Yes","No"),"Pending")</x:f>
        <x:v>No</x:v>
      </x:c>
      <x:c r="K108" s="12" t="str">
        <x:v>Cash</x:v>
      </x:c>
    </x:row>
    <x:row r="109">
      <x:c r="A109" s="12" t="str">
        <x:v>ORD-00108</x:v>
      </x:c>
      <x:c r="B109" s="12" t="str">
        <x:v>DLR-003</x:v>
      </x:c>
      <x:c r="C109" s="12" t="str">
        <x:v>Mỹ Đình Ford</x:v>
      </x:c>
      <x:c r="D109" s="12" t="str">
        <x:v>Ford</x:v>
      </x:c>
      <x:c r="E109" s="18" t="n">
        <x:v>46202</x:v>
      </x:c>
      <x:c r="F109" s="18" t="n">
        <x:v>46213</x:v>
      </x:c>
      <x:c r="G109" s="18" t="n">
        <x:v>46212</x:v>
      </x:c>
      <x:c r="H109" s="12" t="str">
        <x:v>Delivered</x:v>
      </x:c>
      <x:c r="I109" s="12" t="n">
        <x:v>-1</x:v>
      </x:c>
      <x:c r="J109" s="12" t="str">
        <x:f>IF(H109="Delivered",IF(I109&lt;=0,"Yes","No"),"Pending")</x:f>
        <x:v>Yes</x:v>
      </x:c>
      <x:c r="K109" s="12" t="str">
        <x:v>Leasing</x:v>
      </x:c>
    </x:row>
    <x:row r="110">
      <x:c r="A110" s="12" t="str">
        <x:v>ORD-00109</x:v>
      </x:c>
      <x:c r="B110" s="12" t="str">
        <x:v>DLR-017</x:v>
      </x:c>
      <x:c r="C110" s="12" t="str">
        <x:v>VinFast Quốc Oai</x:v>
      </x:c>
      <x:c r="D110" s="12" t="str">
        <x:v>VinFast</x:v>
      </x:c>
      <x:c r="E110" s="18" t="n">
        <x:v>46194</x:v>
      </x:c>
      <x:c r="F110" s="18" t="n">
        <x:v>46212</x:v>
      </x:c>
      <x:c r="G110" s="18" t="n">
        <x:v>46212</x:v>
      </x:c>
      <x:c r="H110" s="12" t="str">
        <x:v>Delivered</x:v>
      </x:c>
      <x:c r="I110" s="12" t="n">
        <x:v>0</x:v>
      </x:c>
      <x:c r="J110" s="12" t="str">
        <x:f>IF(H110="Delivered",IF(I110&lt;=0,"Yes","No"),"Pending")</x:f>
        <x:v>Yes</x:v>
      </x:c>
      <x:c r="K110" s="12" t="str">
        <x:v>Bank Loan</x:v>
      </x:c>
    </x:row>
    <x:row r="111">
      <x:c r="A111" s="12" t="str">
        <x:v>ORD-00110</x:v>
      </x:c>
      <x:c r="B111" s="12" t="str">
        <x:v>DLR-020</x:v>
      </x:c>
      <x:c r="C111" s="12" t="str">
        <x:v>Wuling HTA Long Biên</x:v>
      </x:c>
      <x:c r="D111" s="12" t="str">
        <x:v>Wuling</x:v>
      </x:c>
      <x:c r="E111" s="18" t="n">
        <x:v>46190</x:v>
      </x:c>
      <x:c r="F111" s="18" t="n">
        <x:v>46209</x:v>
      </x:c>
      <x:c r="G111" s="18" t="n">
        <x:v>46213</x:v>
      </x:c>
      <x:c r="H111" s="12" t="str">
        <x:v>Delivered</x:v>
      </x:c>
      <x:c r="I111" s="12" t="n">
        <x:v>4</x:v>
      </x:c>
      <x:c r="J111" s="12" t="str">
        <x:f>IF(H111="Delivered",IF(I111&lt;=0,"Yes","No"),"Pending")</x:f>
        <x:v>No</x:v>
      </x:c>
      <x:c r="K111" s="12" t="str">
        <x:v>Leasing</x:v>
      </x:c>
    </x:row>
    <x:row r="112">
      <x:c r="A112" s="12" t="str">
        <x:v>ORD-00111</x:v>
      </x:c>
      <x:c r="B112" s="12" t="str">
        <x:v>DLR-005</x:v>
      </x:c>
      <x:c r="C112" s="12" t="str">
        <x:v>BYD HTA Tây Hồ</x:v>
      </x:c>
      <x:c r="D112" s="12" t="str">
        <x:v>BYD</x:v>
      </x:c>
      <x:c r="E112" s="18" t="n">
        <x:v>46202</x:v>
      </x:c>
      <x:c r="F112" s="18" t="n">
        <x:v>46218</x:v>
      </x:c>
      <x:c r="G112" s="18" t="n">
        <x:v>46216</x:v>
      </x:c>
      <x:c r="H112" s="12" t="str">
        <x:v>Delivered</x:v>
      </x:c>
      <x:c r="I112" s="12" t="n">
        <x:v>-2</x:v>
      </x:c>
      <x:c r="J112" s="12" t="str">
        <x:f>IF(H112="Delivered",IF(I112&lt;=0,"Yes","No"),"Pending")</x:f>
        <x:v>Yes</x:v>
      </x:c>
      <x:c r="K112" s="12" t="str">
        <x:v>Cash</x:v>
      </x:c>
    </x:row>
    <x:row r="113">
      <x:c r="A113" s="12" t="str">
        <x:v>ORD-00112</x:v>
      </x:c>
      <x:c r="B113" s="12" t="str">
        <x:v>DLR-016</x:v>
      </x:c>
      <x:c r="C113" s="12" t="str">
        <x:v>VinFast HTA Mỹ Đình</x:v>
      </x:c>
      <x:c r="D113" s="12" t="str">
        <x:v>VinFast</x:v>
      </x:c>
      <x:c r="E113" s="18" t="n">
        <x:v>46196</x:v>
      </x:c>
      <x:c r="F113" s="18" t="n">
        <x:v>46202</x:v>
      </x:c>
      <x:c r="G113" s="18" t="n">
        <x:v>46207</x:v>
      </x:c>
      <x:c r="H113" s="12" t="str">
        <x:v>Delivered</x:v>
      </x:c>
      <x:c r="I113" s="12" t="n">
        <x:v>5</x:v>
      </x:c>
      <x:c r="J113" s="12" t="str">
        <x:f>IF(H113="Delivered",IF(I113&lt;=0,"Yes","No"),"Pending")</x:f>
        <x:v>No</x:v>
      </x:c>
      <x:c r="K113" s="12" t="str">
        <x:v>Cash</x:v>
      </x:c>
    </x:row>
    <x:row r="114">
      <x:c r="A114" s="12" t="str">
        <x:v>ORD-00113</x:v>
      </x:c>
      <x:c r="B114" s="12" t="str">
        <x:v>DLR-009</x:v>
      </x:c>
      <x:c r="C114" s="12" t="str">
        <x:v>VinFast HTA Đông Anh</x:v>
      </x:c>
      <x:c r="D114" s="12" t="str">
        <x:v>VinFast</x:v>
      </x:c>
      <x:c r="E114" s="18" t="n">
        <x:v>46182</x:v>
      </x:c>
      <x:c r="F114" s="18" t="n">
        <x:v>46201</x:v>
      </x:c>
      <x:c r="G114" s="18" t="n">
        <x:v>46200</x:v>
      </x:c>
      <x:c r="H114" s="12" t="str">
        <x:v>Delivered</x:v>
      </x:c>
      <x:c r="I114" s="12" t="n">
        <x:v>-1</x:v>
      </x:c>
      <x:c r="J114" s="12" t="str">
        <x:f>IF(H114="Delivered",IF(I114&lt;=0,"Yes","No"),"Pending")</x:f>
        <x:v>Yes</x:v>
      </x:c>
      <x:c r="K114" s="12" t="str">
        <x:v>Cash</x:v>
      </x:c>
    </x:row>
    <x:row r="115">
      <x:c r="A115" s="12" t="str">
        <x:v>ORD-00114</x:v>
      </x:c>
      <x:c r="B115" s="12" t="str">
        <x:v>DLR-005</x:v>
      </x:c>
      <x:c r="C115" s="12" t="str">
        <x:v>BYD HTA Tây Hồ</x:v>
      </x:c>
      <x:c r="D115" s="12" t="str">
        <x:v>BYD</x:v>
      </x:c>
      <x:c r="E115" s="18" t="n">
        <x:v>46188</x:v>
      </x:c>
      <x:c r="F115" s="18" t="n">
        <x:v>46199</x:v>
      </x:c>
      <x:c r="G115" s="18" t="n">
        <x:v>46198</x:v>
      </x:c>
      <x:c r="H115" s="12" t="str">
        <x:v>Delivered</x:v>
      </x:c>
      <x:c r="I115" s="12" t="n">
        <x:v>-1</x:v>
      </x:c>
      <x:c r="J115" s="12" t="str">
        <x:f>IF(H115="Delivered",IF(I115&lt;=0,"Yes","No"),"Pending")</x:f>
        <x:v>Yes</x:v>
      </x:c>
      <x:c r="K115" s="12" t="str">
        <x:v>Cash</x:v>
      </x:c>
    </x:row>
    <x:row r="116">
      <x:c r="A116" s="12" t="str">
        <x:v>ORD-00115</x:v>
      </x:c>
      <x:c r="B116" s="12" t="str">
        <x:v>DLR-009</x:v>
      </x:c>
      <x:c r="C116" s="12" t="str">
        <x:v>VinFast HTA Đông Anh</x:v>
      </x:c>
      <x:c r="D116" s="12" t="str">
        <x:v>VinFast</x:v>
      </x:c>
      <x:c r="E116" s="18" t="n">
        <x:v>46192</x:v>
      </x:c>
      <x:c r="F116" s="18" t="n">
        <x:v>46208</x:v>
      </x:c>
      <x:c r="G116" s="18" t="n">
        <x:v>46209</x:v>
      </x:c>
      <x:c r="H116" s="12" t="str">
        <x:v>Delivered</x:v>
      </x:c>
      <x:c r="I116" s="12" t="n">
        <x:v>1</x:v>
      </x:c>
      <x:c r="J116" s="12" t="str">
        <x:f>IF(H116="Delivered",IF(I116&lt;=0,"Yes","No"),"Pending")</x:f>
        <x:v>No</x:v>
      </x:c>
      <x:c r="K116" s="12" t="str">
        <x:v>Cash</x:v>
      </x:c>
    </x:row>
    <x:row r="117">
      <x:c r="A117" s="12" t="str">
        <x:v>ORD-00116</x:v>
      </x:c>
      <x:c r="B117" s="12" t="str">
        <x:v>DLR-010</x:v>
      </x:c>
      <x:c r="C117" s="12" t="str">
        <x:v>VinFast HTA Đàm Quang Trung</x:v>
      </x:c>
      <x:c r="D117" s="12" t="str">
        <x:v>VinFast</x:v>
      </x:c>
      <x:c r="E117" s="18" t="n">
        <x:v>46207</x:v>
      </x:c>
      <x:c r="F117" s="18" t="n">
        <x:v>46222</x:v>
      </x:c>
      <x:c r="G117" s="18" t="n">
        <x:v>46232</x:v>
      </x:c>
      <x:c r="H117" s="12" t="str">
        <x:v>Awaiting Registration</x:v>
      </x:c>
      <x:c r="I117" s="12" t="n">
        <x:v>10</x:v>
      </x:c>
      <x:c r="J117" s="12" t="str">
        <x:f>IF(H117="Delivered",IF(I117&lt;=0,"Yes","No"),"Pending")</x:f>
        <x:v>Pending</x:v>
      </x:c>
      <x:c r="K117" s="12" t="str">
        <x:v>Bank Loan</x:v>
      </x:c>
    </x:row>
    <x:row r="118">
      <x:c r="A118" s="12" t="str">
        <x:v>ORD-00117</x:v>
      </x:c>
      <x:c r="B118" s="12" t="str">
        <x:v>DLR-007</x:v>
      </x:c>
      <x:c r="C118" s="12" t="str">
        <x:v>BYD Hà Đông</x:v>
      </x:c>
      <x:c r="D118" s="12" t="str">
        <x:v>BYD</x:v>
      </x:c>
      <x:c r="E118" s="18" t="n">
        <x:v>46207</x:v>
      </x:c>
      <x:c r="F118" s="18" t="n">
        <x:v>46222</x:v>
      </x:c>
      <x:c r="G118" s="18" t="n">
        <x:v>46219</x:v>
      </x:c>
      <x:c r="H118" s="12" t="str">
        <x:v>Delivered</x:v>
      </x:c>
      <x:c r="I118" s="12" t="n">
        <x:v>-3</x:v>
      </x:c>
      <x:c r="J118" s="12" t="str">
        <x:f>IF(H118="Delivered",IF(I118&lt;=0,"Yes","No"),"Pending")</x:f>
        <x:v>Yes</x:v>
      </x:c>
      <x:c r="K118" s="12" t="str">
        <x:v>Bank Loan</x:v>
      </x:c>
    </x:row>
    <x:row r="119">
      <x:c r="A119" s="12" t="str">
        <x:v>ORD-00118</x:v>
      </x:c>
      <x:c r="B119" s="12" t="str">
        <x:v>DLR-007</x:v>
      </x:c>
      <x:c r="C119" s="12" t="str">
        <x:v>BYD Hà Đông</x:v>
      </x:c>
      <x:c r="D119" s="12" t="str">
        <x:v>BYD</x:v>
      </x:c>
      <x:c r="E119" s="18" t="n">
        <x:v>46219</x:v>
      </x:c>
      <x:c r="F119" s="18" t="n">
        <x:v>46231</x:v>
      </x:c>
      <x:c r="G119" s="18" t="n">
        <x:v>46230</x:v>
      </x:c>
      <x:c r="H119" s="12" t="str">
        <x:v>Ready</x:v>
      </x:c>
      <x:c r="I119" s="12" t="n">
        <x:v>-1</x:v>
      </x:c>
      <x:c r="J119" s="12" t="str">
        <x:f>IF(H119="Delivered",IF(I119&lt;=0,"Yes","No"),"Pending")</x:f>
        <x:v>Pending</x:v>
      </x:c>
      <x:c r="K119" s="12" t="str">
        <x:v>Bank Loan</x:v>
      </x:c>
    </x:row>
    <x:row r="120">
      <x:c r="A120" s="12" t="str">
        <x:v>ORD-00119</x:v>
      </x:c>
      <x:c r="B120" s="12" t="str">
        <x:v>DLR-005</x:v>
      </x:c>
      <x:c r="C120" s="12" t="str">
        <x:v>BYD HTA Tây Hồ</x:v>
      </x:c>
      <x:c r="D120" s="12" t="str">
        <x:v>BYD</x:v>
      </x:c>
      <x:c r="E120" s="18" t="n">
        <x:v>46175</x:v>
      </x:c>
      <x:c r="F120" s="18" t="n">
        <x:v>46188</x:v>
      </x:c>
      <x:c r="G120" s="18" t="n">
        <x:v>46194</x:v>
      </x:c>
      <x:c r="H120" s="12" t="str">
        <x:v>Delivered</x:v>
      </x:c>
      <x:c r="I120" s="12" t="n">
        <x:v>6</x:v>
      </x:c>
      <x:c r="J120" s="12" t="str">
        <x:f>IF(H120="Delivered",IF(I120&lt;=0,"Yes","No"),"Pending")</x:f>
        <x:v>No</x:v>
      </x:c>
      <x:c r="K120" s="12" t="str">
        <x:v>Bank Loan</x:v>
      </x:c>
    </x:row>
    <x:row r="121">
      <x:c r="A121" s="12" t="str">
        <x:v>ORD-00120</x:v>
      </x:c>
      <x:c r="B121" s="12" t="str">
        <x:v>DLR-002</x:v>
      </x:c>
      <x:c r="C121" s="12" t="str">
        <x:v>Hà Thành Ford - Mỹ Đình</x:v>
      </x:c>
      <x:c r="D121" s="12" t="str">
        <x:v>Ford</x:v>
      </x:c>
      <x:c r="E121" s="18" t="n">
        <x:v>46224</x:v>
      </x:c>
      <x:c r="F121" s="18" t="n">
        <x:v>46238</x:v>
      </x:c>
      <x:c r="G121" s="18" t="n">
        <x:v>46243</x:v>
      </x:c>
      <x:c r="H121" s="12" t="str">
        <x:v>Awaiting Registration</x:v>
      </x:c>
      <x:c r="I121" s="12" t="n">
        <x:v>5</x:v>
      </x:c>
      <x:c r="J121" s="12" t="str">
        <x:f>IF(H121="Delivered",IF(I121&lt;=0,"Yes","No"),"Pending")</x:f>
        <x:v>Pending</x:v>
      </x:c>
      <x:c r="K121" s="12" t="str">
        <x:v>Leasing</x:v>
      </x:c>
    </x:row>
    <x:row r="122">
      <x:c r="A122" s="12" t="str">
        <x:v>ORD-00121</x:v>
      </x:c>
      <x:c r="B122" s="12" t="str">
        <x:v>DLR-009</x:v>
      </x:c>
      <x:c r="C122" s="12" t="str">
        <x:v>VinFast HTA Đông Anh</x:v>
      </x:c>
      <x:c r="D122" s="12" t="str">
        <x:v>VinFast</x:v>
      </x:c>
      <x:c r="E122" s="18" t="n">
        <x:v>46211</x:v>
      </x:c>
      <x:c r="F122" s="18" t="n">
        <x:v>46229</x:v>
      </x:c>
      <x:c r="G122" s="18" t="n">
        <x:v>46230</x:v>
      </x:c>
      <x:c r="H122" s="12" t="str">
        <x:v>In Transit</x:v>
      </x:c>
      <x:c r="I122" s="12" t="n">
        <x:v>1</x:v>
      </x:c>
      <x:c r="J122" s="12" t="str">
        <x:f>IF(H122="Delivered",IF(I122&lt;=0,"Yes","No"),"Pending")</x:f>
        <x:v>Pending</x:v>
      </x:c>
      <x:c r="K122" s="12" t="str">
        <x:v>Cash</x:v>
      </x:c>
    </x:row>
    <x:row r="123">
      <x:c r="A123" s="12" t="str">
        <x:v>ORD-00122</x:v>
      </x:c>
      <x:c r="B123" s="12" t="str">
        <x:v>DLR-003</x:v>
      </x:c>
      <x:c r="C123" s="12" t="str">
        <x:v>Mỹ Đình Ford</x:v>
      </x:c>
      <x:c r="D123" s="12" t="str">
        <x:v>Ford</x:v>
      </x:c>
      <x:c r="E123" s="18" t="n">
        <x:v>46213</x:v>
      </x:c>
      <x:c r="F123" s="18" t="n">
        <x:v>46229</x:v>
      </x:c>
      <x:c r="G123" s="18" t="n">
        <x:v>46230</x:v>
      </x:c>
      <x:c r="H123" s="12" t="str">
        <x:v>In Transit</x:v>
      </x:c>
      <x:c r="I123" s="12" t="n">
        <x:v>1</x:v>
      </x:c>
      <x:c r="J123" s="12" t="str">
        <x:f>IF(H123="Delivered",IF(I123&lt;=0,"Yes","No"),"Pending")</x:f>
        <x:v>Pending</x:v>
      </x:c>
      <x:c r="K123" s="12" t="str">
        <x:v>Leasing</x:v>
      </x:c>
    </x:row>
    <x:row r="124">
      <x:c r="A124" s="12" t="str">
        <x:v>ORD-00123</x:v>
      </x:c>
      <x:c r="B124" s="12" t="str">
        <x:v>DLR-003</x:v>
      </x:c>
      <x:c r="C124" s="12" t="str">
        <x:v>Mỹ Đình Ford</x:v>
      </x:c>
      <x:c r="D124" s="12" t="str">
        <x:v>Ford</x:v>
      </x:c>
      <x:c r="E124" s="18" t="n">
        <x:v>46215</x:v>
      </x:c>
      <x:c r="F124" s="18" t="n">
        <x:v>46223</x:v>
      </x:c>
      <x:c r="G124" s="18" t="n">
        <x:v>46227</x:v>
      </x:c>
      <x:c r="H124" s="12" t="str">
        <x:v>Awaiting Registration</x:v>
      </x:c>
      <x:c r="I124" s="12" t="n">
        <x:v>4</x:v>
      </x:c>
      <x:c r="J124" s="12" t="str">
        <x:f>IF(H124="Delivered",IF(I124&lt;=0,"Yes","No"),"Pending")</x:f>
        <x:v>Pending</x:v>
      </x:c>
      <x:c r="K124" s="12" t="str">
        <x:v>Leasing</x:v>
      </x:c>
    </x:row>
    <x:row r="125">
      <x:c r="A125" s="12" t="str">
        <x:v>ORD-00124</x:v>
      </x:c>
      <x:c r="B125" s="12" t="str">
        <x:v>DLR-006</x:v>
      </x:c>
      <x:c r="C125" s="12" t="str">
        <x:v>BYD HTA Hoàn Kiếm</x:v>
      </x:c>
      <x:c r="D125" s="12" t="str">
        <x:v>BYD</x:v>
      </x:c>
      <x:c r="E125" s="18" t="n">
        <x:v>46186</x:v>
      </x:c>
      <x:c r="F125" s="18" t="n">
        <x:v>46193</x:v>
      </x:c>
      <x:c r="G125" s="18" t="n">
        <x:v>46191</x:v>
      </x:c>
      <x:c r="H125" s="12" t="str">
        <x:v>Delivered</x:v>
      </x:c>
      <x:c r="I125" s="12" t="n">
        <x:v>-2</x:v>
      </x:c>
      <x:c r="J125" s="12" t="str">
        <x:f>IF(H125="Delivered",IF(I125&lt;=0,"Yes","No"),"Pending")</x:f>
        <x:v>Yes</x:v>
      </x:c>
      <x:c r="K125" s="12" t="str">
        <x:v>Leasing</x:v>
      </x:c>
    </x:row>
    <x:row r="126">
      <x:c r="A126" s="12" t="str">
        <x:v>ORD-00125</x:v>
      </x:c>
      <x:c r="B126" s="12" t="str">
        <x:v>DLR-012</x:v>
      </x:c>
      <x:c r="C126" s="12" t="str">
        <x:v>VinFast HTA Võ Chí Công</x:v>
      </x:c>
      <x:c r="D126" s="12" t="str">
        <x:v>VinFast</x:v>
      </x:c>
      <x:c r="E126" s="18" t="n">
        <x:v>46186</x:v>
      </x:c>
      <x:c r="F126" s="18" t="n">
        <x:v>46200</x:v>
      </x:c>
      <x:c r="G126" s="18" t="n">
        <x:v>46202</x:v>
      </x:c>
      <x:c r="H126" s="12" t="str">
        <x:v>Delivered</x:v>
      </x:c>
      <x:c r="I126" s="12" t="n">
        <x:v>2</x:v>
      </x:c>
      <x:c r="J126" s="12" t="str">
        <x:f>IF(H126="Delivered",IF(I126&lt;=0,"Yes","No"),"Pending")</x:f>
        <x:v>No</x:v>
      </x:c>
      <x:c r="K126" s="12" t="str">
        <x:v>Cash</x:v>
      </x:c>
    </x:row>
    <x:row r="127">
      <x:c r="A127" s="12" t="str">
        <x:v>ORD-00126</x:v>
      </x:c>
      <x:c r="B127" s="12" t="str">
        <x:v>DLR-016</x:v>
      </x:c>
      <x:c r="C127" s="12" t="str">
        <x:v>VinFast HTA Mỹ Đình</x:v>
      </x:c>
      <x:c r="D127" s="12" t="str">
        <x:v>VinFast</x:v>
      </x:c>
      <x:c r="E127" s="18" t="n">
        <x:v>46179</x:v>
      </x:c>
      <x:c r="F127" s="18" t="n">
        <x:v>46194</x:v>
      </x:c>
      <x:c r="G127" s="18" t="n">
        <x:v>46203</x:v>
      </x:c>
      <x:c r="H127" s="12" t="str">
        <x:v>Delivered</x:v>
      </x:c>
      <x:c r="I127" s="12" t="n">
        <x:v>9</x:v>
      </x:c>
      <x:c r="J127" s="12" t="str">
        <x:f>IF(H127="Delivered",IF(I127&lt;=0,"Yes","No"),"Pending")</x:f>
        <x:v>No</x:v>
      </x:c>
      <x:c r="K127" s="12" t="str">
        <x:v>Cash</x:v>
      </x:c>
    </x:row>
    <x:row r="128">
      <x:c r="A128" s="12" t="str">
        <x:v>ORD-00127</x:v>
      </x:c>
      <x:c r="B128" s="12" t="str">
        <x:v>DLR-017</x:v>
      </x:c>
      <x:c r="C128" s="12" t="str">
        <x:v>VinFast Quốc Oai</x:v>
      </x:c>
      <x:c r="D128" s="12" t="str">
        <x:v>VinFast</x:v>
      </x:c>
      <x:c r="E128" s="18" t="n">
        <x:v>46187</x:v>
      </x:c>
      <x:c r="F128" s="18" t="n">
        <x:v>46207</x:v>
      </x:c>
      <x:c r="G128" s="18" t="n">
        <x:v>46215</x:v>
      </x:c>
      <x:c r="H128" s="12" t="str">
        <x:v>Delivered</x:v>
      </x:c>
      <x:c r="I128" s="12" t="n">
        <x:v>8</x:v>
      </x:c>
      <x:c r="J128" s="12" t="str">
        <x:f>IF(H128="Delivered",IF(I128&lt;=0,"Yes","No"),"Pending")</x:f>
        <x:v>No</x:v>
      </x:c>
      <x:c r="K128" s="12" t="str">
        <x:v>Bank Loan</x:v>
      </x:c>
    </x:row>
    <x:row r="129">
      <x:c r="A129" s="12" t="str">
        <x:v>ORD-00128</x:v>
      </x:c>
      <x:c r="B129" s="12" t="str">
        <x:v>DLR-011</x:v>
      </x:c>
      <x:c r="C129" s="12" t="str">
        <x:v>VinFast HTA Phạm Văn Đồng</x:v>
      </x:c>
      <x:c r="D129" s="12" t="str">
        <x:v>VinFast</x:v>
      </x:c>
      <x:c r="E129" s="18" t="n">
        <x:v>46213</x:v>
      </x:c>
      <x:c r="F129" s="18" t="n">
        <x:v>46232</x:v>
      </x:c>
      <x:c r="G129" s="18" t="n">
        <x:v>46240</x:v>
      </x:c>
      <x:c r="H129" s="12" t="str">
        <x:v>Awaiting Registration</x:v>
      </x:c>
      <x:c r="I129" s="12" t="n">
        <x:v>8</x:v>
      </x:c>
      <x:c r="J129" s="12" t="str">
        <x:f>IF(H129="Delivered",IF(I129&lt;=0,"Yes","No"),"Pending")</x:f>
        <x:v>Pending</x:v>
      </x:c>
      <x:c r="K129" s="12" t="str">
        <x:v>Cash</x:v>
      </x:c>
    </x:row>
    <x:row r="130">
      <x:c r="A130" s="12" t="str">
        <x:v>ORD-00129</x:v>
      </x:c>
      <x:c r="B130" s="12" t="str">
        <x:v>DLR-012</x:v>
      </x:c>
      <x:c r="C130" s="12" t="str">
        <x:v>VinFast HTA Võ Chí Công</x:v>
      </x:c>
      <x:c r="D130" s="12" t="str">
        <x:v>VinFast</x:v>
      </x:c>
      <x:c r="E130" s="18" t="n">
        <x:v>46203</x:v>
      </x:c>
      <x:c r="F130" s="18" t="n">
        <x:v>46212</x:v>
      </x:c>
      <x:c r="G130" s="18" t="n">
        <x:v>46211</x:v>
      </x:c>
      <x:c r="H130" s="12" t="str">
        <x:v>Delivered</x:v>
      </x:c>
      <x:c r="I130" s="12" t="n">
        <x:v>-1</x:v>
      </x:c>
      <x:c r="J130" s="12" t="str">
        <x:f>IF(H130="Delivered",IF(I130&lt;=0,"Yes","No"),"Pending")</x:f>
        <x:v>Yes</x:v>
      </x:c>
      <x:c r="K130" s="12" t="str">
        <x:v>Cash</x:v>
      </x:c>
    </x:row>
    <x:row r="131">
      <x:c r="A131" s="12" t="str">
        <x:v>ORD-00130</x:v>
      </x:c>
      <x:c r="B131" s="12" t="str">
        <x:v>DLR-015</x:v>
      </x:c>
      <x:c r="C131" s="12" t="str">
        <x:v>VinFast HTA Văn Phú</x:v>
      </x:c>
      <x:c r="D131" s="12" t="str">
        <x:v>VinFast</x:v>
      </x:c>
      <x:c r="E131" s="18" t="n">
        <x:v>46218</x:v>
      </x:c>
      <x:c r="F131" s="18" t="n">
        <x:v>46234</x:v>
      </x:c>
      <x:c r="G131" s="18" t="n">
        <x:v>46244</x:v>
      </x:c>
      <x:c r="H131" s="12" t="str">
        <x:v>Ready</x:v>
      </x:c>
      <x:c r="I131" s="12" t="n">
        <x:v>10</x:v>
      </x:c>
      <x:c r="J131" s="12" t="str">
        <x:f>IF(H131="Delivered",IF(I131&lt;=0,"Yes","No"),"Pending")</x:f>
        <x:v>Pending</x:v>
      </x:c>
      <x:c r="K131" s="12" t="str">
        <x:v>Leasing</x:v>
      </x:c>
    </x:row>
    <x:row r="132">
      <x:c r="A132" s="12" t="str">
        <x:v>ORD-00131</x:v>
      </x:c>
      <x:c r="B132" s="12" t="str">
        <x:v>DLR-014</x:v>
      </x:c>
      <x:c r="C132" s="12" t="str">
        <x:v>VinFast HTA Nam Từ Liêm</x:v>
      </x:c>
      <x:c r="D132" s="12" t="str">
        <x:v>VinFast</x:v>
      </x:c>
      <x:c r="E132" s="18" t="n">
        <x:v>46193</x:v>
      </x:c>
      <x:c r="F132" s="18" t="n">
        <x:v>46208</x:v>
      </x:c>
      <x:c r="G132" s="18" t="n">
        <x:v>46206</x:v>
      </x:c>
      <x:c r="H132" s="12" t="str">
        <x:v>Delivered</x:v>
      </x:c>
      <x:c r="I132" s="12" t="n">
        <x:v>-2</x:v>
      </x:c>
      <x:c r="J132" s="12" t="str">
        <x:f>IF(H132="Delivered",IF(I132&lt;=0,"Yes","No"),"Pending")</x:f>
        <x:v>Yes</x:v>
      </x:c>
      <x:c r="K132" s="12" t="str">
        <x:v>Cash</x:v>
      </x:c>
    </x:row>
    <x:row r="133">
      <x:c r="A133" s="12" t="str">
        <x:v>ORD-00132</x:v>
      </x:c>
      <x:c r="B133" s="12" t="str">
        <x:v>DLR-009</x:v>
      </x:c>
      <x:c r="C133" s="12" t="str">
        <x:v>VinFast HTA Đông Anh</x:v>
      </x:c>
      <x:c r="D133" s="12" t="str">
        <x:v>VinFast</x:v>
      </x:c>
      <x:c r="E133" s="18" t="n">
        <x:v>46186</x:v>
      </x:c>
      <x:c r="F133" s="18" t="n">
        <x:v>46198</x:v>
      </x:c>
      <x:c r="G133" s="18" t="n">
        <x:v>46195</x:v>
      </x:c>
      <x:c r="H133" s="12" t="str">
        <x:v>Delivered</x:v>
      </x:c>
      <x:c r="I133" s="12" t="n">
        <x:v>-3</x:v>
      </x:c>
      <x:c r="J133" s="12" t="str">
        <x:f>IF(H133="Delivered",IF(I133&lt;=0,"Yes","No"),"Pending")</x:f>
        <x:v>Yes</x:v>
      </x:c>
      <x:c r="K133" s="12" t="str">
        <x:v>Bank Loan</x:v>
      </x:c>
    </x:row>
    <x:row r="134">
      <x:c r="A134" s="12" t="str">
        <x:v>ORD-00133</x:v>
      </x:c>
      <x:c r="B134" s="12" t="str">
        <x:v>DLR-009</x:v>
      </x:c>
      <x:c r="C134" s="12" t="str">
        <x:v>VinFast HTA Đông Anh</x:v>
      </x:c>
      <x:c r="D134" s="12" t="str">
        <x:v>VinFast</x:v>
      </x:c>
      <x:c r="E134" s="18" t="n">
        <x:v>46193</x:v>
      </x:c>
      <x:c r="F134" s="18" t="n">
        <x:v>46207</x:v>
      </x:c>
      <x:c r="G134" s="18" t="n">
        <x:v>46216</x:v>
      </x:c>
      <x:c r="H134" s="12" t="str">
        <x:v>Delivered</x:v>
      </x:c>
      <x:c r="I134" s="12" t="n">
        <x:v>9</x:v>
      </x:c>
      <x:c r="J134" s="12" t="str">
        <x:f>IF(H134="Delivered",IF(I134&lt;=0,"Yes","No"),"Pending")</x:f>
        <x:v>No</x:v>
      </x:c>
      <x:c r="K134" s="12" t="str">
        <x:v>Bank Loan</x:v>
      </x:c>
    </x:row>
    <x:row r="135">
      <x:c r="A135" s="12" t="str">
        <x:v>ORD-00134</x:v>
      </x:c>
      <x:c r="B135" s="12" t="str">
        <x:v>DLR-013</x:v>
      </x:c>
      <x:c r="C135" s="12" t="str">
        <x:v>VinFast HTA Ninh Bình</x:v>
      </x:c>
      <x:c r="D135" s="12" t="str">
        <x:v>VinFast</x:v>
      </x:c>
      <x:c r="E135" s="18" t="n">
        <x:v>46188</x:v>
      </x:c>
      <x:c r="F135" s="18" t="n">
        <x:v>46198</x:v>
      </x:c>
      <x:c r="G135" s="18" t="n">
        <x:v>46201</x:v>
      </x:c>
      <x:c r="H135" s="12" t="str">
        <x:v>Delivered</x:v>
      </x:c>
      <x:c r="I135" s="12" t="n">
        <x:v>3</x:v>
      </x:c>
      <x:c r="J135" s="12" t="str">
        <x:f>IF(H135="Delivered",IF(I135&lt;=0,"Yes","No"),"Pending")</x:f>
        <x:v>No</x:v>
      </x:c>
      <x:c r="K135" s="12" t="str">
        <x:v>Cash</x:v>
      </x:c>
    </x:row>
    <x:row r="136">
      <x:c r="A136" s="12" t="str">
        <x:v>ORD-00135</x:v>
      </x:c>
      <x:c r="B136" s="12" t="str">
        <x:v>DLR-004</x:v>
      </x:c>
      <x:c r="C136" s="12" t="str">
        <x:v>Việt Trì Ford</x:v>
      </x:c>
      <x:c r="D136" s="12" t="str">
        <x:v>Ford</x:v>
      </x:c>
      <x:c r="E136" s="18" t="n">
        <x:v>46223</x:v>
      </x:c>
      <x:c r="F136" s="18" t="n">
        <x:v>46240</x:v>
      </x:c>
      <x:c r="G136" s="18" t="n">
        <x:v>46249</x:v>
      </x:c>
      <x:c r="H136" s="12" t="str">
        <x:v>Ready</x:v>
      </x:c>
      <x:c r="I136" s="12" t="n">
        <x:v>9</x:v>
      </x:c>
      <x:c r="J136" s="12" t="str">
        <x:f>IF(H136="Delivered",IF(I136&lt;=0,"Yes","No"),"Pending")</x:f>
        <x:v>Pending</x:v>
      </x:c>
      <x:c r="K136" s="12" t="str">
        <x:v>Bank Loan</x:v>
      </x:c>
    </x:row>
    <x:row r="137">
      <x:c r="A137" s="12" t="str">
        <x:v>ORD-00136</x:v>
      </x:c>
      <x:c r="B137" s="12" t="str">
        <x:v>DLR-008</x:v>
      </x:c>
      <x:c r="C137" s="12" t="str">
        <x:v>VinFast HTA Nguyễn Văn Linh</x:v>
      </x:c>
      <x:c r="D137" s="12" t="str">
        <x:v>VinFast</x:v>
      </x:c>
      <x:c r="E137" s="18" t="n">
        <x:v>46213</x:v>
      </x:c>
      <x:c r="F137" s="18" t="n">
        <x:v>46223</x:v>
      </x:c>
      <x:c r="G137" s="18" t="n">
        <x:v>46226</x:v>
      </x:c>
      <x:c r="H137" s="12" t="str">
        <x:v>Ready</x:v>
      </x:c>
      <x:c r="I137" s="12" t="n">
        <x:v>3</x:v>
      </x:c>
      <x:c r="J137" s="12" t="str">
        <x:f>IF(H137="Delivered",IF(I137&lt;=0,"Yes","No"),"Pending")</x:f>
        <x:v>Pending</x:v>
      </x:c>
      <x:c r="K137" s="12" t="str">
        <x:v>Bank Loan</x:v>
      </x:c>
    </x:row>
    <x:row r="138">
      <x:c r="A138" s="12" t="str">
        <x:v>ORD-00137</x:v>
      </x:c>
      <x:c r="B138" s="12" t="str">
        <x:v>DLR-008</x:v>
      </x:c>
      <x:c r="C138" s="12" t="str">
        <x:v>VinFast HTA Nguyễn Văn Linh</x:v>
      </x:c>
      <x:c r="D138" s="12" t="str">
        <x:v>VinFast</x:v>
      </x:c>
      <x:c r="E138" s="18" t="n">
        <x:v>46193</x:v>
      </x:c>
      <x:c r="F138" s="18" t="n">
        <x:v>46211</x:v>
      </x:c>
      <x:c r="G138" s="18" t="n">
        <x:v>46214</x:v>
      </x:c>
      <x:c r="H138" s="12" t="str">
        <x:v>Delivered</x:v>
      </x:c>
      <x:c r="I138" s="12" t="n">
        <x:v>3</x:v>
      </x:c>
      <x:c r="J138" s="12" t="str">
        <x:f>IF(H138="Delivered",IF(I138&lt;=0,"Yes","No"),"Pending")</x:f>
        <x:v>No</x:v>
      </x:c>
      <x:c r="K138" s="12" t="str">
        <x:v>Cash</x:v>
      </x:c>
    </x:row>
    <x:row r="139">
      <x:c r="A139" s="12" t="str">
        <x:v>ORD-00138</x:v>
      </x:c>
      <x:c r="B139" s="12" t="str">
        <x:v>DLR-013</x:v>
      </x:c>
      <x:c r="C139" s="12" t="str">
        <x:v>VinFast HTA Ninh Bình</x:v>
      </x:c>
      <x:c r="D139" s="12" t="str">
        <x:v>VinFast</x:v>
      </x:c>
      <x:c r="E139" s="18" t="n">
        <x:v>46206</x:v>
      </x:c>
      <x:c r="F139" s="18" t="n">
        <x:v>46221</x:v>
      </x:c>
      <x:c r="G139" s="18" t="n">
        <x:v>46229</x:v>
      </x:c>
      <x:c r="H139" s="12" t="str">
        <x:v>Awaiting Registration</x:v>
      </x:c>
      <x:c r="I139" s="12" t="n">
        <x:v>8</x:v>
      </x:c>
      <x:c r="J139" s="12" t="str">
        <x:f>IF(H139="Delivered",IF(I139&lt;=0,"Yes","No"),"Pending")</x:f>
        <x:v>Pending</x:v>
      </x:c>
      <x:c r="K139" s="12" t="str">
        <x:v>Bank Loan</x:v>
      </x:c>
    </x:row>
    <x:row r="140">
      <x:c r="A140" s="12" t="str">
        <x:v>ORD-00139</x:v>
      </x:c>
      <x:c r="B140" s="12" t="str">
        <x:v>DLR-016</x:v>
      </x:c>
      <x:c r="C140" s="12" t="str">
        <x:v>VinFast HTA Mỹ Đình</x:v>
      </x:c>
      <x:c r="D140" s="12" t="str">
        <x:v>VinFast</x:v>
      </x:c>
      <x:c r="E140" s="18" t="n">
        <x:v>46197</x:v>
      </x:c>
      <x:c r="F140" s="18" t="n">
        <x:v>46215</x:v>
      </x:c>
      <x:c r="G140" s="18" t="n">
        <x:v>46222</x:v>
      </x:c>
      <x:c r="H140" s="12" t="str">
        <x:v>Delivered</x:v>
      </x:c>
      <x:c r="I140" s="12" t="n">
        <x:v>7</x:v>
      </x:c>
      <x:c r="J140" s="12" t="str">
        <x:f>IF(H140="Delivered",IF(I140&lt;=0,"Yes","No"),"Pending")</x:f>
        <x:v>No</x:v>
      </x:c>
      <x:c r="K140" s="12" t="str">
        <x:v>Cash</x:v>
      </x:c>
    </x:row>
    <x:row r="141">
      <x:c r="A141" s="12" t="str">
        <x:v>ORD-00140</x:v>
      </x:c>
      <x:c r="B141" s="12" t="str">
        <x:v>DLR-009</x:v>
      </x:c>
      <x:c r="C141" s="12" t="str">
        <x:v>VinFast HTA Đông Anh</x:v>
      </x:c>
      <x:c r="D141" s="12" t="str">
        <x:v>VinFast</x:v>
      </x:c>
      <x:c r="E141" s="18" t="n">
        <x:v>46200</x:v>
      </x:c>
      <x:c r="F141" s="18" t="n">
        <x:v>46217</x:v>
      </x:c>
      <x:c r="G141" s="18" t="n">
        <x:v>46216</x:v>
      </x:c>
      <x:c r="H141" s="12" t="str">
        <x:v>Delivered</x:v>
      </x:c>
      <x:c r="I141" s="12" t="n">
        <x:v>-1</x:v>
      </x:c>
      <x:c r="J141" s="12" t="str">
        <x:f>IF(H141="Delivered",IF(I141&lt;=0,"Yes","No"),"Pending")</x:f>
        <x:v>Yes</x:v>
      </x:c>
      <x:c r="K141" s="12" t="str">
        <x:v>Cash</x:v>
      </x:c>
    </x:row>
    <x:row r="142">
      <x:c r="A142" s="12" t="str">
        <x:v>ORD-00141</x:v>
      </x:c>
      <x:c r="B142" s="12" t="str">
        <x:v>DLR-006</x:v>
      </x:c>
      <x:c r="C142" s="12" t="str">
        <x:v>BYD HTA Hoàn Kiếm</x:v>
      </x:c>
      <x:c r="D142" s="12" t="str">
        <x:v>BYD</x:v>
      </x:c>
      <x:c r="E142" s="18" t="n">
        <x:v>46184</x:v>
      </x:c>
      <x:c r="F142" s="18" t="n">
        <x:v>46193</x:v>
      </x:c>
      <x:c r="G142" s="18" t="n">
        <x:v>46201</x:v>
      </x:c>
      <x:c r="H142" s="12" t="str">
        <x:v>Delivered</x:v>
      </x:c>
      <x:c r="I142" s="12" t="n">
        <x:v>8</x:v>
      </x:c>
      <x:c r="J142" s="12" t="str">
        <x:f>IF(H142="Delivered",IF(I142&lt;=0,"Yes","No"),"Pending")</x:f>
        <x:v>No</x:v>
      </x:c>
      <x:c r="K142" s="12" t="str">
        <x:v>Bank Loan</x:v>
      </x:c>
    </x:row>
    <x:row r="143">
      <x:c r="A143" s="12" t="str">
        <x:v>ORD-00142</x:v>
      </x:c>
      <x:c r="B143" s="12" t="str">
        <x:v>DLR-020</x:v>
      </x:c>
      <x:c r="C143" s="12" t="str">
        <x:v>Wuling HTA Long Biên</x:v>
      </x:c>
      <x:c r="D143" s="12" t="str">
        <x:v>Wuling</x:v>
      </x:c>
      <x:c r="E143" s="18" t="n">
        <x:v>46206</x:v>
      </x:c>
      <x:c r="F143" s="18" t="n">
        <x:v>46220</x:v>
      </x:c>
      <x:c r="G143" s="18" t="n">
        <x:v>46226</x:v>
      </x:c>
      <x:c r="H143" s="12" t="str">
        <x:v>In Transit</x:v>
      </x:c>
      <x:c r="I143" s="12" t="n">
        <x:v>6</x:v>
      </x:c>
      <x:c r="J143" s="12" t="str">
        <x:f>IF(H143="Delivered",IF(I143&lt;=0,"Yes","No"),"Pending")</x:f>
        <x:v>Pending</x:v>
      </x:c>
      <x:c r="K143" s="12" t="str">
        <x:v>Leasing</x:v>
      </x:c>
    </x:row>
    <x:row r="144">
      <x:c r="A144" s="12" t="str">
        <x:v>ORD-00143</x:v>
      </x:c>
      <x:c r="B144" s="12" t="str">
        <x:v>DLR-013</x:v>
      </x:c>
      <x:c r="C144" s="12" t="str">
        <x:v>VinFast HTA Ninh Bình</x:v>
      </x:c>
      <x:c r="D144" s="12" t="str">
        <x:v>VinFast</x:v>
      </x:c>
      <x:c r="E144" s="18" t="n">
        <x:v>46204</x:v>
      </x:c>
      <x:c r="F144" s="18" t="n">
        <x:v>46217</x:v>
      </x:c>
      <x:c r="G144" s="18" t="n">
        <x:v>46220</x:v>
      </x:c>
      <x:c r="H144" s="12" t="str">
        <x:v>Delivered</x:v>
      </x:c>
      <x:c r="I144" s="12" t="n">
        <x:v>3</x:v>
      </x:c>
      <x:c r="J144" s="12" t="str">
        <x:f>IF(H144="Delivered",IF(I144&lt;=0,"Yes","No"),"Pending")</x:f>
        <x:v>No</x:v>
      </x:c>
      <x:c r="K144" s="12" t="str">
        <x:v>Leasing</x:v>
      </x:c>
    </x:row>
    <x:row r="145">
      <x:c r="A145" s="12" t="str">
        <x:v>ORD-00144</x:v>
      </x:c>
      <x:c r="B145" s="12" t="str">
        <x:v>DLR-007</x:v>
      </x:c>
      <x:c r="C145" s="12" t="str">
        <x:v>BYD Hà Đông</x:v>
      </x:c>
      <x:c r="D145" s="12" t="str">
        <x:v>BYD</x:v>
      </x:c>
      <x:c r="E145" s="18" t="n">
        <x:v>46191</x:v>
      </x:c>
      <x:c r="F145" s="18" t="n">
        <x:v>46205</x:v>
      </x:c>
      <x:c r="G145" s="18" t="n">
        <x:v>46205</x:v>
      </x:c>
      <x:c r="H145" s="12" t="str">
        <x:v>Delivered</x:v>
      </x:c>
      <x:c r="I145" s="12" t="n">
        <x:v>0</x:v>
      </x:c>
      <x:c r="J145" s="12" t="str">
        <x:f>IF(H145="Delivered",IF(I145&lt;=0,"Yes","No"),"Pending")</x:f>
        <x:v>Yes</x:v>
      </x:c>
      <x:c r="K145" s="12" t="str">
        <x:v>Bank Loan</x:v>
      </x:c>
    </x:row>
    <x:row r="146">
      <x:c r="A146" s="12" t="str">
        <x:v>ORD-00145</x:v>
      </x:c>
      <x:c r="B146" s="12" t="str">
        <x:v>DLR-011</x:v>
      </x:c>
      <x:c r="C146" s="12" t="str">
        <x:v>VinFast HTA Phạm Văn Đồng</x:v>
      </x:c>
      <x:c r="D146" s="12" t="str">
        <x:v>VinFast</x:v>
      </x:c>
      <x:c r="E146" s="18" t="n">
        <x:v>46184</x:v>
      </x:c>
      <x:c r="F146" s="18" t="n">
        <x:v>46200</x:v>
      </x:c>
      <x:c r="G146" s="18" t="n">
        <x:v>46197</x:v>
      </x:c>
      <x:c r="H146" s="12" t="str">
        <x:v>Delivered</x:v>
      </x:c>
      <x:c r="I146" s="12" t="n">
        <x:v>-3</x:v>
      </x:c>
      <x:c r="J146" s="12" t="str">
        <x:f>IF(H146="Delivered",IF(I146&lt;=0,"Yes","No"),"Pending")</x:f>
        <x:v>Yes</x:v>
      </x:c>
      <x:c r="K146" s="12" t="str">
        <x:v>Cash</x:v>
      </x:c>
    </x:row>
    <x:row r="147">
      <x:c r="A147" s="12" t="str">
        <x:v>ORD-00146</x:v>
      </x:c>
      <x:c r="B147" s="12" t="str">
        <x:v>DLR-017</x:v>
      </x:c>
      <x:c r="C147" s="12" t="str">
        <x:v>VinFast Quốc Oai</x:v>
      </x:c>
      <x:c r="D147" s="12" t="str">
        <x:v>VinFast</x:v>
      </x:c>
      <x:c r="E147" s="18" t="n">
        <x:v>46184</x:v>
      </x:c>
      <x:c r="F147" s="18" t="n">
        <x:v>46194</x:v>
      </x:c>
      <x:c r="G147" s="18" t="n">
        <x:v>46198</x:v>
      </x:c>
      <x:c r="H147" s="12" t="str">
        <x:v>Delivered</x:v>
      </x:c>
      <x:c r="I147" s="12" t="n">
        <x:v>4</x:v>
      </x:c>
      <x:c r="J147" s="12" t="str">
        <x:f>IF(H147="Delivered",IF(I147&lt;=0,"Yes","No"),"Pending")</x:f>
        <x:v>No</x:v>
      </x:c>
      <x:c r="K147" s="12" t="str">
        <x:v>Bank Loan</x:v>
      </x:c>
    </x:row>
    <x:row r="148">
      <x:c r="A148" s="12" t="str">
        <x:v>ORD-00147</x:v>
      </x:c>
      <x:c r="B148" s="12" t="str">
        <x:v>DLR-019</x:v>
      </x:c>
      <x:c r="C148" s="12" t="str">
        <x:v>OMODA &amp; JAECOO HTA Việt Trì</x:v>
      </x:c>
      <x:c r="D148" s="12" t="str">
        <x:v>OMODA &amp; JAECOO</x:v>
      </x:c>
      <x:c r="E148" s="18" t="n">
        <x:v>46209</x:v>
      </x:c>
      <x:c r="F148" s="18" t="n">
        <x:v>46214</x:v>
      </x:c>
      <x:c r="G148" s="18" t="n">
        <x:v>46214</x:v>
      </x:c>
      <x:c r="H148" s="12" t="str">
        <x:v>Delivered</x:v>
      </x:c>
      <x:c r="I148" s="12" t="n">
        <x:v>0</x:v>
      </x:c>
      <x:c r="J148" s="12" t="str">
        <x:f>IF(H148="Delivered",IF(I148&lt;=0,"Yes","No"),"Pending")</x:f>
        <x:v>Yes</x:v>
      </x:c>
      <x:c r="K148" s="12" t="str">
        <x:v>Cash</x:v>
      </x:c>
    </x:row>
    <x:row r="149">
      <x:c r="A149" s="12" t="str">
        <x:v>ORD-00148</x:v>
      </x:c>
      <x:c r="B149" s="12" t="str">
        <x:v>DLR-009</x:v>
      </x:c>
      <x:c r="C149" s="12" t="str">
        <x:v>VinFast HTA Đông Anh</x:v>
      </x:c>
      <x:c r="D149" s="12" t="str">
        <x:v>VinFast</x:v>
      </x:c>
      <x:c r="E149" s="18" t="n">
        <x:v>46194</x:v>
      </x:c>
      <x:c r="F149" s="18" t="n">
        <x:v>46212</x:v>
      </x:c>
      <x:c r="G149" s="18" t="n">
        <x:v>46210</x:v>
      </x:c>
      <x:c r="H149" s="12" t="str">
        <x:v>Delivered</x:v>
      </x:c>
      <x:c r="I149" s="12" t="n">
        <x:v>-2</x:v>
      </x:c>
      <x:c r="J149" s="12" t="str">
        <x:f>IF(H149="Delivered",IF(I149&lt;=0,"Yes","No"),"Pending")</x:f>
        <x:v>Yes</x:v>
      </x:c>
      <x:c r="K149" s="12" t="str">
        <x:v>Cash</x:v>
      </x:c>
    </x:row>
    <x:row r="150">
      <x:c r="A150" s="12" t="str">
        <x:v>ORD-00149</x:v>
      </x:c>
      <x:c r="B150" s="12" t="str">
        <x:v>DLR-020</x:v>
      </x:c>
      <x:c r="C150" s="12" t="str">
        <x:v>Wuling HTA Long Biên</x:v>
      </x:c>
      <x:c r="D150" s="12" t="str">
        <x:v>Wuling</x:v>
      </x:c>
      <x:c r="E150" s="18" t="n">
        <x:v>46217</x:v>
      </x:c>
      <x:c r="F150" s="18" t="n">
        <x:v>46228</x:v>
      </x:c>
      <x:c r="G150" s="18" t="n">
        <x:v>46233</x:v>
      </x:c>
      <x:c r="H150" s="12" t="str">
        <x:v>In Transit</x:v>
      </x:c>
      <x:c r="I150" s="12" t="n">
        <x:v>5</x:v>
      </x:c>
      <x:c r="J150" s="12" t="str">
        <x:f>IF(H150="Delivered",IF(I150&lt;=0,"Yes","No"),"Pending")</x:f>
        <x:v>Pending</x:v>
      </x:c>
      <x:c r="K150" s="12" t="str">
        <x:v>Cash</x:v>
      </x:c>
    </x:row>
    <x:row r="151">
      <x:c r="A151" s="12" t="str">
        <x:v>ORD-00150</x:v>
      </x:c>
      <x:c r="B151" s="12" t="str">
        <x:v>DLR-011</x:v>
      </x:c>
      <x:c r="C151" s="12" t="str">
        <x:v>VinFast HTA Phạm Văn Đồng</x:v>
      </x:c>
      <x:c r="D151" s="12" t="str">
        <x:v>VinFast</x:v>
      </x:c>
      <x:c r="E151" s="18" t="n">
        <x:v>46204</x:v>
      </x:c>
      <x:c r="F151" s="18" t="n">
        <x:v>46211</x:v>
      </x:c>
      <x:c r="G151" s="18" t="n">
        <x:v>46218</x:v>
      </x:c>
      <x:c r="H151" s="12" t="str">
        <x:v>Delivered</x:v>
      </x:c>
      <x:c r="I151" s="12" t="n">
        <x:v>7</x:v>
      </x:c>
      <x:c r="J151" s="12" t="str">
        <x:f>IF(H151="Delivered",IF(I151&lt;=0,"Yes","No"),"Pending")</x:f>
        <x:v>No</x:v>
      </x:c>
      <x:c r="K151" s="12" t="str">
        <x:v>Bank Loan</x:v>
      </x:c>
    </x:row>
    <x:row r="152">
      <x:c r="A152" s="12" t="str">
        <x:v>ORD-00151</x:v>
      </x:c>
      <x:c r="B152" s="12" t="str">
        <x:v>DLR-012</x:v>
      </x:c>
      <x:c r="C152" s="12" t="str">
        <x:v>VinFast HTA Võ Chí Công</x:v>
      </x:c>
      <x:c r="D152" s="12" t="str">
        <x:v>VinFast</x:v>
      </x:c>
      <x:c r="E152" s="18" t="n">
        <x:v>46188</x:v>
      </x:c>
      <x:c r="F152" s="18" t="n">
        <x:v>46195</x:v>
      </x:c>
      <x:c r="G152" s="18" t="n">
        <x:v>46202</x:v>
      </x:c>
      <x:c r="H152" s="12" t="str">
        <x:v>Delivered</x:v>
      </x:c>
      <x:c r="I152" s="12" t="n">
        <x:v>7</x:v>
      </x:c>
      <x:c r="J152" s="12" t="str">
        <x:f>IF(H152="Delivered",IF(I152&lt;=0,"Yes","No"),"Pending")</x:f>
        <x:v>No</x:v>
      </x:c>
      <x:c r="K152" s="12" t="str">
        <x:v>Cash</x:v>
      </x:c>
    </x:row>
    <x:row r="153">
      <x:c r="A153" s="12" t="str">
        <x:v>ORD-00152</x:v>
      </x:c>
      <x:c r="B153" s="12" t="str">
        <x:v>DLR-007</x:v>
      </x:c>
      <x:c r="C153" s="12" t="str">
        <x:v>BYD Hà Đông</x:v>
      </x:c>
      <x:c r="D153" s="12" t="str">
        <x:v>BYD</x:v>
      </x:c>
      <x:c r="E153" s="18" t="n">
        <x:v>46219</x:v>
      </x:c>
      <x:c r="F153" s="18" t="n">
        <x:v>46227</x:v>
      </x:c>
      <x:c r="G153" s="18" t="n">
        <x:v>46233</x:v>
      </x:c>
      <x:c r="H153" s="12" t="str">
        <x:v>Awaiting Registration</x:v>
      </x:c>
      <x:c r="I153" s="12" t="n">
        <x:v>6</x:v>
      </x:c>
      <x:c r="J153" s="12" t="str">
        <x:f>IF(H153="Delivered",IF(I153&lt;=0,"Yes","No"),"Pending")</x:f>
        <x:v>Pending</x:v>
      </x:c>
      <x:c r="K153" s="12" t="str">
        <x:v>Leasing</x:v>
      </x:c>
    </x:row>
    <x:row r="154">
      <x:c r="A154" s="12" t="str">
        <x:v>ORD-00153</x:v>
      </x:c>
      <x:c r="B154" s="12" t="str">
        <x:v>DLR-012</x:v>
      </x:c>
      <x:c r="C154" s="12" t="str">
        <x:v>VinFast HTA Võ Chí Công</x:v>
      </x:c>
      <x:c r="D154" s="12" t="str">
        <x:v>VinFast</x:v>
      </x:c>
      <x:c r="E154" s="18" t="n">
        <x:v>46198</x:v>
      </x:c>
      <x:c r="F154" s="18" t="n">
        <x:v>46215</x:v>
      </x:c>
      <x:c r="G154" s="18" t="n">
        <x:v>46215</x:v>
      </x:c>
      <x:c r="H154" s="12" t="str">
        <x:v>Delivered</x:v>
      </x:c>
      <x:c r="I154" s="12" t="n">
        <x:v>0</x:v>
      </x:c>
      <x:c r="J154" s="12" t="str">
        <x:f>IF(H154="Delivered",IF(I154&lt;=0,"Yes","No"),"Pending")</x:f>
        <x:v>Yes</x:v>
      </x:c>
      <x:c r="K154" s="12" t="str">
        <x:v>Cash</x:v>
      </x:c>
    </x:row>
    <x:row r="155">
      <x:c r="A155" s="12" t="str">
        <x:v>ORD-00154</x:v>
      </x:c>
      <x:c r="B155" s="12" t="str">
        <x:v>DLR-004</x:v>
      </x:c>
      <x:c r="C155" s="12" t="str">
        <x:v>Việt Trì Ford</x:v>
      </x:c>
      <x:c r="D155" s="12" t="str">
        <x:v>Ford</x:v>
      </x:c>
      <x:c r="E155" s="18" t="n">
        <x:v>46223</x:v>
      </x:c>
      <x:c r="F155" s="18" t="n">
        <x:v>46238</x:v>
      </x:c>
      <x:c r="G155" s="18" t="n">
        <x:v>46239</x:v>
      </x:c>
      <x:c r="H155" s="12" t="str">
        <x:v>In Transit</x:v>
      </x:c>
      <x:c r="I155" s="12" t="n">
        <x:v>1</x:v>
      </x:c>
      <x:c r="J155" s="12" t="str">
        <x:f>IF(H155="Delivered",IF(I155&lt;=0,"Yes","No"),"Pending")</x:f>
        <x:v>Pending</x:v>
      </x:c>
      <x:c r="K155" s="12" t="str">
        <x:v>Leasing</x:v>
      </x:c>
    </x:row>
    <x:row r="156">
      <x:c r="A156" s="12" t="str">
        <x:v>ORD-00155</x:v>
      </x:c>
      <x:c r="B156" s="12" t="str">
        <x:v>DLR-013</x:v>
      </x:c>
      <x:c r="C156" s="12" t="str">
        <x:v>VinFast HTA Ninh Bình</x:v>
      </x:c>
      <x:c r="D156" s="12" t="str">
        <x:v>VinFast</x:v>
      </x:c>
      <x:c r="E156" s="18" t="n">
        <x:v>46188</x:v>
      </x:c>
      <x:c r="F156" s="18" t="n">
        <x:v>46197</x:v>
      </x:c>
      <x:c r="G156" s="18" t="n">
        <x:v>46197</x:v>
      </x:c>
      <x:c r="H156" s="12" t="str">
        <x:v>Delivered</x:v>
      </x:c>
      <x:c r="I156" s="12" t="n">
        <x:v>0</x:v>
      </x:c>
      <x:c r="J156" s="12" t="str">
        <x:f>IF(H156="Delivered",IF(I156&lt;=0,"Yes","No"),"Pending")</x:f>
        <x:v>Yes</x:v>
      </x:c>
      <x:c r="K156" s="12" t="str">
        <x:v>Cash</x:v>
      </x:c>
    </x:row>
    <x:row r="157">
      <x:c r="A157" s="12" t="str">
        <x:v>ORD-00156</x:v>
      </x:c>
      <x:c r="B157" s="12" t="str">
        <x:v>DLR-011</x:v>
      </x:c>
      <x:c r="C157" s="12" t="str">
        <x:v>VinFast HTA Phạm Văn Đồng</x:v>
      </x:c>
      <x:c r="D157" s="12" t="str">
        <x:v>VinFast</x:v>
      </x:c>
      <x:c r="E157" s="18" t="n">
        <x:v>46190</x:v>
      </x:c>
      <x:c r="F157" s="18" t="n">
        <x:v>46198</x:v>
      </x:c>
      <x:c r="G157" s="18" t="n">
        <x:v>46200</x:v>
      </x:c>
      <x:c r="H157" s="12" t="str">
        <x:v>Delivered</x:v>
      </x:c>
      <x:c r="I157" s="12" t="n">
        <x:v>2</x:v>
      </x:c>
      <x:c r="J157" s="12" t="str">
        <x:f>IF(H157="Delivered",IF(I157&lt;=0,"Yes","No"),"Pending")</x:f>
        <x:v>No</x:v>
      </x:c>
      <x:c r="K157" s="12" t="str">
        <x:v>Leasing</x:v>
      </x:c>
    </x:row>
    <x:row r="158">
      <x:c r="A158" s="12" t="str">
        <x:v>ORD-00157</x:v>
      </x:c>
      <x:c r="B158" s="12" t="str">
        <x:v>DLR-012</x:v>
      </x:c>
      <x:c r="C158" s="12" t="str">
        <x:v>VinFast HTA Võ Chí Công</x:v>
      </x:c>
      <x:c r="D158" s="12" t="str">
        <x:v>VinFast</x:v>
      </x:c>
      <x:c r="E158" s="18" t="n">
        <x:v>46193</x:v>
      </x:c>
      <x:c r="F158" s="18" t="n">
        <x:v>46210</x:v>
      </x:c>
      <x:c r="G158" s="18" t="n">
        <x:v>46218</x:v>
      </x:c>
      <x:c r="H158" s="12" t="str">
        <x:v>Delivered</x:v>
      </x:c>
      <x:c r="I158" s="12" t="n">
        <x:v>8</x:v>
      </x:c>
      <x:c r="J158" s="12" t="str">
        <x:f>IF(H158="Delivered",IF(I158&lt;=0,"Yes","No"),"Pending")</x:f>
        <x:v>No</x:v>
      </x:c>
      <x:c r="K158" s="12" t="str">
        <x:v>Bank Loan</x:v>
      </x:c>
    </x:row>
    <x:row r="159">
      <x:c r="A159" s="12" t="str">
        <x:v>ORD-00158</x:v>
      </x:c>
      <x:c r="B159" s="12" t="str">
        <x:v>DLR-010</x:v>
      </x:c>
      <x:c r="C159" s="12" t="str">
        <x:v>VinFast HTA Đàm Quang Trung</x:v>
      </x:c>
      <x:c r="D159" s="12" t="str">
        <x:v>VinFast</x:v>
      </x:c>
      <x:c r="E159" s="18" t="n">
        <x:v>46176</x:v>
      </x:c>
      <x:c r="F159" s="18" t="n">
        <x:v>46182</x:v>
      </x:c>
      <x:c r="G159" s="18" t="n">
        <x:v>46190</x:v>
      </x:c>
      <x:c r="H159" s="12" t="str">
        <x:v>Delivered</x:v>
      </x:c>
      <x:c r="I159" s="12" t="n">
        <x:v>8</x:v>
      </x:c>
      <x:c r="J159" s="12" t="str">
        <x:f>IF(H159="Delivered",IF(I159&lt;=0,"Yes","No"),"Pending")</x:f>
        <x:v>No</x:v>
      </x:c>
      <x:c r="K159" s="12" t="str">
        <x:v>Cash</x:v>
      </x:c>
    </x:row>
    <x:row r="160">
      <x:c r="A160" s="12" t="str">
        <x:v>ORD-00159</x:v>
      </x:c>
      <x:c r="B160" s="12" t="str">
        <x:v>DLR-012</x:v>
      </x:c>
      <x:c r="C160" s="12" t="str">
        <x:v>VinFast HTA Võ Chí Công</x:v>
      </x:c>
      <x:c r="D160" s="12" t="str">
        <x:v>VinFast</x:v>
      </x:c>
      <x:c r="E160" s="18" t="n">
        <x:v>46181</x:v>
      </x:c>
      <x:c r="F160" s="18" t="n">
        <x:v>46199</x:v>
      </x:c>
      <x:c r="G160" s="18" t="n">
        <x:v>46202</x:v>
      </x:c>
      <x:c r="H160" s="12" t="str">
        <x:v>Delivered</x:v>
      </x:c>
      <x:c r="I160" s="12" t="n">
        <x:v>3</x:v>
      </x:c>
      <x:c r="J160" s="12" t="str">
        <x:f>IF(H160="Delivered",IF(I160&lt;=0,"Yes","No"),"Pending")</x:f>
        <x:v>No</x:v>
      </x:c>
      <x:c r="K160" s="12" t="str">
        <x:v>Leasing</x:v>
      </x:c>
    </x:row>
    <x:row r="161">
      <x:c r="A161" s="12" t="str">
        <x:v>ORD-00160</x:v>
      </x:c>
      <x:c r="B161" s="12" t="str">
        <x:v>DLR-014</x:v>
      </x:c>
      <x:c r="C161" s="12" t="str">
        <x:v>VinFast HTA Nam Từ Liêm</x:v>
      </x:c>
      <x:c r="D161" s="12" t="str">
        <x:v>VinFast</x:v>
      </x:c>
      <x:c r="E161" s="18" t="n">
        <x:v>46197</x:v>
      </x:c>
      <x:c r="F161" s="18" t="n">
        <x:v>46214</x:v>
      </x:c>
      <x:c r="G161" s="18" t="n">
        <x:v>46223</x:v>
      </x:c>
      <x:c r="H161" s="12" t="str">
        <x:v>Delivered</x:v>
      </x:c>
      <x:c r="I161" s="12" t="n">
        <x:v>9</x:v>
      </x:c>
      <x:c r="J161" s="12" t="str">
        <x:f>IF(H161="Delivered",IF(I161&lt;=0,"Yes","No"),"Pending")</x:f>
        <x:v>No</x:v>
      </x:c>
      <x:c r="K161" s="12" t="str">
        <x:v>Bank Loan</x:v>
      </x:c>
    </x:row>
    <x:row r="162">
      <x:c r="A162" s="12" t="str">
        <x:v>ORD-00161</x:v>
      </x:c>
      <x:c r="B162" s="12" t="str">
        <x:v>DLR-020</x:v>
      </x:c>
      <x:c r="C162" s="12" t="str">
        <x:v>Wuling HTA Long Biên</x:v>
      </x:c>
      <x:c r="D162" s="12" t="str">
        <x:v>Wuling</x:v>
      </x:c>
      <x:c r="E162" s="18" t="n">
        <x:v>46185</x:v>
      </x:c>
      <x:c r="F162" s="18" t="n">
        <x:v>46192</x:v>
      </x:c>
      <x:c r="G162" s="18" t="n">
        <x:v>46194</x:v>
      </x:c>
      <x:c r="H162" s="12" t="str">
        <x:v>Delivered</x:v>
      </x:c>
      <x:c r="I162" s="12" t="n">
        <x:v>2</x:v>
      </x:c>
      <x:c r="J162" s="12" t="str">
        <x:f>IF(H162="Delivered",IF(I162&lt;=0,"Yes","No"),"Pending")</x:f>
        <x:v>No</x:v>
      </x:c>
      <x:c r="K162" s="12" t="str">
        <x:v>Cash</x:v>
      </x:c>
    </x:row>
    <x:row r="163">
      <x:c r="A163" s="12" t="str">
        <x:v>ORD-00162</x:v>
      </x:c>
      <x:c r="B163" s="12" t="str">
        <x:v>DLR-003</x:v>
      </x:c>
      <x:c r="C163" s="12" t="str">
        <x:v>Mỹ Đình Ford</x:v>
      </x:c>
      <x:c r="D163" s="12" t="str">
        <x:v>Ford</x:v>
      </x:c>
      <x:c r="E163" s="18" t="n">
        <x:v>46193</x:v>
      </x:c>
      <x:c r="F163" s="18" t="n">
        <x:v>46208</x:v>
      </x:c>
      <x:c r="G163" s="18" t="n">
        <x:v>46210</x:v>
      </x:c>
      <x:c r="H163" s="12" t="str">
        <x:v>Delivered</x:v>
      </x:c>
      <x:c r="I163" s="12" t="n">
        <x:v>2</x:v>
      </x:c>
      <x:c r="J163" s="12" t="str">
        <x:f>IF(H163="Delivered",IF(I163&lt;=0,"Yes","No"),"Pending")</x:f>
        <x:v>No</x:v>
      </x:c>
      <x:c r="K163" s="12" t="str">
        <x:v>Bank Loan</x:v>
      </x:c>
    </x:row>
    <x:row r="164">
      <x:c r="A164" s="12" t="str">
        <x:v>ORD-00163</x:v>
      </x:c>
      <x:c r="B164" s="12" t="str">
        <x:v>DLR-019</x:v>
      </x:c>
      <x:c r="C164" s="12" t="str">
        <x:v>OMODA &amp; JAECOO HTA Việt Trì</x:v>
      </x:c>
      <x:c r="D164" s="12" t="str">
        <x:v>OMODA &amp; JAECOO</x:v>
      </x:c>
      <x:c r="E164" s="18" t="n">
        <x:v>46184</x:v>
      </x:c>
      <x:c r="F164" s="18" t="n">
        <x:v>46196</x:v>
      </x:c>
      <x:c r="G164" s="18" t="n">
        <x:v>46194</x:v>
      </x:c>
      <x:c r="H164" s="12" t="str">
        <x:v>Delivered</x:v>
      </x:c>
      <x:c r="I164" s="12" t="n">
        <x:v>-2</x:v>
      </x:c>
      <x:c r="J164" s="12" t="str">
        <x:f>IF(H164="Delivered",IF(I164&lt;=0,"Yes","No"),"Pending")</x:f>
        <x:v>Yes</x:v>
      </x:c>
      <x:c r="K164" s="12" t="str">
        <x:v>Cash</x:v>
      </x:c>
    </x:row>
    <x:row r="165">
      <x:c r="A165" s="12" t="str">
        <x:v>ORD-00164</x:v>
      </x:c>
      <x:c r="B165" s="12" t="str">
        <x:v>DLR-014</x:v>
      </x:c>
      <x:c r="C165" s="12" t="str">
        <x:v>VinFast HTA Nam Từ Liêm</x:v>
      </x:c>
      <x:c r="D165" s="12" t="str">
        <x:v>VinFast</x:v>
      </x:c>
      <x:c r="E165" s="18" t="n">
        <x:v>46200</x:v>
      </x:c>
      <x:c r="F165" s="18" t="n">
        <x:v>46216</x:v>
      </x:c>
      <x:c r="G165" s="18" t="n">
        <x:v>46224</x:v>
      </x:c>
      <x:c r="H165" s="12" t="str">
        <x:v>Delivered</x:v>
      </x:c>
      <x:c r="I165" s="12" t="n">
        <x:v>8</x:v>
      </x:c>
      <x:c r="J165" s="12" t="str">
        <x:f>IF(H165="Delivered",IF(I165&lt;=0,"Yes","No"),"Pending")</x:f>
        <x:v>No</x:v>
      </x:c>
      <x:c r="K165" s="12" t="str">
        <x:v>Bank Loan</x:v>
      </x:c>
    </x:row>
    <x:row r="166">
      <x:c r="A166" s="12" t="str">
        <x:v>ORD-00165</x:v>
      </x:c>
      <x:c r="B166" s="12" t="str">
        <x:v>DLR-002</x:v>
      </x:c>
      <x:c r="C166" s="12" t="str">
        <x:v>Hà Thành Ford - Mỹ Đình</x:v>
      </x:c>
      <x:c r="D166" s="12" t="str">
        <x:v>Ford</x:v>
      </x:c>
      <x:c r="E166" s="18" t="n">
        <x:v>46218</x:v>
      </x:c>
      <x:c r="F166" s="18" t="n">
        <x:v>46235</x:v>
      </x:c>
      <x:c r="G166" s="18" t="n">
        <x:v>46244</x:v>
      </x:c>
      <x:c r="H166" s="12" t="str">
        <x:v>Ready</x:v>
      </x:c>
      <x:c r="I166" s="12" t="n">
        <x:v>9</x:v>
      </x:c>
      <x:c r="J166" s="12" t="str">
        <x:f>IF(H166="Delivered",IF(I166&lt;=0,"Yes","No"),"Pending")</x:f>
        <x:v>Pending</x:v>
      </x:c>
      <x:c r="K166" s="12" t="str">
        <x:v>Leasing</x:v>
      </x:c>
    </x:row>
    <x:row r="167">
      <x:c r="A167" s="12" t="str">
        <x:v>ORD-00166</x:v>
      </x:c>
      <x:c r="B167" s="12" t="str">
        <x:v>DLR-014</x:v>
      </x:c>
      <x:c r="C167" s="12" t="str">
        <x:v>VinFast HTA Nam Từ Liêm</x:v>
      </x:c>
      <x:c r="D167" s="12" t="str">
        <x:v>VinFast</x:v>
      </x:c>
      <x:c r="E167" s="18" t="n">
        <x:v>46175</x:v>
      </x:c>
      <x:c r="F167" s="18" t="n">
        <x:v>46185</x:v>
      </x:c>
      <x:c r="G167" s="18" t="n">
        <x:v>46182</x:v>
      </x:c>
      <x:c r="H167" s="12" t="str">
        <x:v>Delivered</x:v>
      </x:c>
      <x:c r="I167" s="12" t="n">
        <x:v>-3</x:v>
      </x:c>
      <x:c r="J167" s="12" t="str">
        <x:f>IF(H167="Delivered",IF(I167&lt;=0,"Yes","No"),"Pending")</x:f>
        <x:v>Yes</x:v>
      </x:c>
      <x:c r="K167" s="12" t="str">
        <x:v>Leasing</x:v>
      </x:c>
    </x:row>
    <x:row r="168">
      <x:c r="A168" s="12" t="str">
        <x:v>ORD-00167</x:v>
      </x:c>
      <x:c r="B168" s="12" t="str">
        <x:v>DLR-008</x:v>
      </x:c>
      <x:c r="C168" s="12" t="str">
        <x:v>VinFast HTA Nguyễn Văn Linh</x:v>
      </x:c>
      <x:c r="D168" s="12" t="str">
        <x:v>VinFast</x:v>
      </x:c>
      <x:c r="E168" s="18" t="n">
        <x:v>46176</x:v>
      </x:c>
      <x:c r="F168" s="18" t="n">
        <x:v>46195</x:v>
      </x:c>
      <x:c r="G168" s="18" t="n">
        <x:v>46200</x:v>
      </x:c>
      <x:c r="H168" s="12" t="str">
        <x:v>Delivered</x:v>
      </x:c>
      <x:c r="I168" s="12" t="n">
        <x:v>5</x:v>
      </x:c>
      <x:c r="J168" s="12" t="str">
        <x:f>IF(H168="Delivered",IF(I168&lt;=0,"Yes","No"),"Pending")</x:f>
        <x:v>No</x:v>
      </x:c>
      <x:c r="K168" s="12" t="str">
        <x:v>Leasing</x:v>
      </x:c>
    </x:row>
    <x:row r="169">
      <x:c r="A169" s="12" t="str">
        <x:v>ORD-00168</x:v>
      </x:c>
      <x:c r="B169" s="12" t="str">
        <x:v>DLR-019</x:v>
      </x:c>
      <x:c r="C169" s="12" t="str">
        <x:v>OMODA &amp; JAECOO HTA Việt Trì</x:v>
      </x:c>
      <x:c r="D169" s="12" t="str">
        <x:v>OMODA &amp; JAECOO</x:v>
      </x:c>
      <x:c r="E169" s="18" t="n">
        <x:v>46197</x:v>
      </x:c>
      <x:c r="F169" s="18" t="n">
        <x:v>46212</x:v>
      </x:c>
      <x:c r="G169" s="18" t="n">
        <x:v>46210</x:v>
      </x:c>
      <x:c r="H169" s="12" t="str">
        <x:v>Delivered</x:v>
      </x:c>
      <x:c r="I169" s="12" t="n">
        <x:v>-2</x:v>
      </x:c>
      <x:c r="J169" s="12" t="str">
        <x:f>IF(H169="Delivered",IF(I169&lt;=0,"Yes","No"),"Pending")</x:f>
        <x:v>Yes</x:v>
      </x:c>
      <x:c r="K169" s="12" t="str">
        <x:v>Leasing</x:v>
      </x:c>
    </x:row>
    <x:row r="170">
      <x:c r="A170" s="12" t="str">
        <x:v>ORD-00169</x:v>
      </x:c>
      <x:c r="B170" s="12" t="str">
        <x:v>DLR-007</x:v>
      </x:c>
      <x:c r="C170" s="12" t="str">
        <x:v>BYD Hà Đông</x:v>
      </x:c>
      <x:c r="D170" s="12" t="str">
        <x:v>BYD</x:v>
      </x:c>
      <x:c r="E170" s="18" t="n">
        <x:v>46178</x:v>
      </x:c>
      <x:c r="F170" s="18" t="n">
        <x:v>46187</x:v>
      </x:c>
      <x:c r="G170" s="18" t="n">
        <x:v>46191</x:v>
      </x:c>
      <x:c r="H170" s="12" t="str">
        <x:v>Delivered</x:v>
      </x:c>
      <x:c r="I170" s="12" t="n">
        <x:v>4</x:v>
      </x:c>
      <x:c r="J170" s="12" t="str">
        <x:f>IF(H170="Delivered",IF(I170&lt;=0,"Yes","No"),"Pending")</x:f>
        <x:v>No</x:v>
      </x:c>
      <x:c r="K170" s="12" t="str">
        <x:v>Bank Loan</x:v>
      </x:c>
    </x:row>
    <x:row r="171">
      <x:c r="A171" s="12" t="str">
        <x:v>ORD-00170</x:v>
      </x:c>
      <x:c r="B171" s="12" t="str">
        <x:v>DLR-008</x:v>
      </x:c>
      <x:c r="C171" s="12" t="str">
        <x:v>VinFast HTA Nguyễn Văn Linh</x:v>
      </x:c>
      <x:c r="D171" s="12" t="str">
        <x:v>VinFast</x:v>
      </x:c>
      <x:c r="E171" s="18" t="n">
        <x:v>46202</x:v>
      </x:c>
      <x:c r="F171" s="18" t="n">
        <x:v>46212</x:v>
      </x:c>
      <x:c r="G171" s="18" t="n">
        <x:v>46219</x:v>
      </x:c>
      <x:c r="H171" s="12" t="str">
        <x:v>Delivered</x:v>
      </x:c>
      <x:c r="I171" s="12" t="n">
        <x:v>7</x:v>
      </x:c>
      <x:c r="J171" s="12" t="str">
        <x:f>IF(H171="Delivered",IF(I171&lt;=0,"Yes","No"),"Pending")</x:f>
        <x:v>No</x:v>
      </x:c>
      <x:c r="K171" s="12" t="str">
        <x:v>Leasing</x:v>
      </x:c>
    </x:row>
    <x:row r="172">
      <x:c r="A172" s="12" t="str">
        <x:v>ORD-00171</x:v>
      </x:c>
      <x:c r="B172" s="12" t="str">
        <x:v>DLR-015</x:v>
      </x:c>
      <x:c r="C172" s="12" t="str">
        <x:v>VinFast HTA Văn Phú</x:v>
      </x:c>
      <x:c r="D172" s="12" t="str">
        <x:v>VinFast</x:v>
      </x:c>
      <x:c r="E172" s="18" t="n">
        <x:v>46200</x:v>
      </x:c>
      <x:c r="F172" s="18" t="n">
        <x:v>46208</x:v>
      </x:c>
      <x:c r="G172" s="18" t="n">
        <x:v>46212</x:v>
      </x:c>
      <x:c r="H172" s="12" t="str">
        <x:v>Delivered</x:v>
      </x:c>
      <x:c r="I172" s="12" t="n">
        <x:v>4</x:v>
      </x:c>
      <x:c r="J172" s="12" t="str">
        <x:f>IF(H172="Delivered",IF(I172&lt;=0,"Yes","No"),"Pending")</x:f>
        <x:v>No</x:v>
      </x:c>
      <x:c r="K172" s="12" t="str">
        <x:v>Leasing</x:v>
      </x:c>
    </x:row>
    <x:row r="173">
      <x:c r="A173" s="12" t="str">
        <x:v>ORD-00172</x:v>
      </x:c>
      <x:c r="B173" s="12" t="str">
        <x:v>DLR-020</x:v>
      </x:c>
      <x:c r="C173" s="12" t="str">
        <x:v>Wuling HTA Long Biên</x:v>
      </x:c>
      <x:c r="D173" s="12" t="str">
        <x:v>Wuling</x:v>
      </x:c>
      <x:c r="E173" s="18" t="n">
        <x:v>46181</x:v>
      </x:c>
      <x:c r="F173" s="18" t="n">
        <x:v>46192</x:v>
      </x:c>
      <x:c r="G173" s="18" t="n">
        <x:v>46197</x:v>
      </x:c>
      <x:c r="H173" s="12" t="str">
        <x:v>Delivered</x:v>
      </x:c>
      <x:c r="I173" s="12" t="n">
        <x:v>5</x:v>
      </x:c>
      <x:c r="J173" s="12" t="str">
        <x:f>IF(H173="Delivered",IF(I173&lt;=0,"Yes","No"),"Pending")</x:f>
        <x:v>No</x:v>
      </x:c>
      <x:c r="K173" s="12" t="str">
        <x:v>Leasing</x:v>
      </x:c>
    </x:row>
    <x:row r="174">
      <x:c r="A174" s="12" t="str">
        <x:v>ORD-00173</x:v>
      </x:c>
      <x:c r="B174" s="12" t="str">
        <x:v>DLR-020</x:v>
      </x:c>
      <x:c r="C174" s="12" t="str">
        <x:v>Wuling HTA Long Biên</x:v>
      </x:c>
      <x:c r="D174" s="12" t="str">
        <x:v>Wuling</x:v>
      </x:c>
      <x:c r="E174" s="18" t="n">
        <x:v>46190</x:v>
      </x:c>
      <x:c r="F174" s="18" t="n">
        <x:v>46195</x:v>
      </x:c>
      <x:c r="G174" s="18" t="n">
        <x:v>46195</x:v>
      </x:c>
      <x:c r="H174" s="12" t="str">
        <x:v>Delivered</x:v>
      </x:c>
      <x:c r="I174" s="12" t="n">
        <x:v>0</x:v>
      </x:c>
      <x:c r="J174" s="12" t="str">
        <x:f>IF(H174="Delivered",IF(I174&lt;=0,"Yes","No"),"Pending")</x:f>
        <x:v>Yes</x:v>
      </x:c>
      <x:c r="K174" s="12" t="str">
        <x:v>Bank Loan</x:v>
      </x:c>
    </x:row>
    <x:row r="175">
      <x:c r="A175" s="12" t="str">
        <x:v>ORD-00174</x:v>
      </x:c>
      <x:c r="B175" s="12" t="str">
        <x:v>DLR-008</x:v>
      </x:c>
      <x:c r="C175" s="12" t="str">
        <x:v>VinFast HTA Nguyễn Văn Linh</x:v>
      </x:c>
      <x:c r="D175" s="12" t="str">
        <x:v>VinFast</x:v>
      </x:c>
      <x:c r="E175" s="18" t="n">
        <x:v>46175</x:v>
      </x:c>
      <x:c r="F175" s="18" t="n">
        <x:v>46189</x:v>
      </x:c>
      <x:c r="G175" s="18" t="n">
        <x:v>46192</x:v>
      </x:c>
      <x:c r="H175" s="12" t="str">
        <x:v>Delivered</x:v>
      </x:c>
      <x:c r="I175" s="12" t="n">
        <x:v>3</x:v>
      </x:c>
      <x:c r="J175" s="12" t="str">
        <x:f>IF(H175="Delivered",IF(I175&lt;=0,"Yes","No"),"Pending")</x:f>
        <x:v>No</x:v>
      </x:c>
      <x:c r="K175" s="12" t="str">
        <x:v>Leasing</x:v>
      </x:c>
    </x:row>
    <x:row r="176">
      <x:c r="A176" s="12" t="str">
        <x:v>ORD-00175</x:v>
      </x:c>
      <x:c r="B176" s="12" t="str">
        <x:v>DLR-012</x:v>
      </x:c>
      <x:c r="C176" s="12" t="str">
        <x:v>VinFast HTA Võ Chí Công</x:v>
      </x:c>
      <x:c r="D176" s="12" t="str">
        <x:v>VinFast</x:v>
      </x:c>
      <x:c r="E176" s="18" t="n">
        <x:v>46199</x:v>
      </x:c>
      <x:c r="F176" s="18" t="n">
        <x:v>46207</x:v>
      </x:c>
      <x:c r="G176" s="18" t="n">
        <x:v>46213</x:v>
      </x:c>
      <x:c r="H176" s="12" t="str">
        <x:v>Delivered</x:v>
      </x:c>
      <x:c r="I176" s="12" t="n">
        <x:v>6</x:v>
      </x:c>
      <x:c r="J176" s="12" t="str">
        <x:f>IF(H176="Delivered",IF(I176&lt;=0,"Yes","No"),"Pending")</x:f>
        <x:v>No</x:v>
      </x:c>
      <x:c r="K176" s="12" t="str">
        <x:v>Cash</x:v>
      </x:c>
    </x:row>
    <x:row r="177">
      <x:c r="A177" s="12" t="str">
        <x:v>ORD-00176</x:v>
      </x:c>
      <x:c r="B177" s="12" t="str">
        <x:v>DLR-006</x:v>
      </x:c>
      <x:c r="C177" s="12" t="str">
        <x:v>BYD HTA Hoàn Kiếm</x:v>
      </x:c>
      <x:c r="D177" s="12" t="str">
        <x:v>BYD</x:v>
      </x:c>
      <x:c r="E177" s="18" t="n">
        <x:v>46197</x:v>
      </x:c>
      <x:c r="F177" s="18" t="n">
        <x:v>46216</x:v>
      </x:c>
      <x:c r="G177" s="18" t="n">
        <x:v>46223</x:v>
      </x:c>
      <x:c r="H177" s="12" t="str">
        <x:v>Delivered</x:v>
      </x:c>
      <x:c r="I177" s="12" t="n">
        <x:v>7</x:v>
      </x:c>
      <x:c r="J177" s="12" t="str">
        <x:f>IF(H177="Delivered",IF(I177&lt;=0,"Yes","No"),"Pending")</x:f>
        <x:v>No</x:v>
      </x:c>
      <x:c r="K177" s="12" t="str">
        <x:v>Cash</x:v>
      </x:c>
    </x:row>
    <x:row r="178">
      <x:c r="A178" s="12" t="str">
        <x:v>ORD-00177</x:v>
      </x:c>
      <x:c r="B178" s="12" t="str">
        <x:v>DLR-011</x:v>
      </x:c>
      <x:c r="C178" s="12" t="str">
        <x:v>VinFast HTA Phạm Văn Đồng</x:v>
      </x:c>
      <x:c r="D178" s="12" t="str">
        <x:v>VinFast</x:v>
      </x:c>
      <x:c r="E178" s="18" t="n">
        <x:v>46200</x:v>
      </x:c>
      <x:c r="F178" s="18" t="n">
        <x:v>46210</x:v>
      </x:c>
      <x:c r="G178" s="18" t="n">
        <x:v>46220</x:v>
      </x:c>
      <x:c r="H178" s="12" t="str">
        <x:v>Delivered</x:v>
      </x:c>
      <x:c r="I178" s="12" t="n">
        <x:v>10</x:v>
      </x:c>
      <x:c r="J178" s="12" t="str">
        <x:f>IF(H178="Delivered",IF(I178&lt;=0,"Yes","No"),"Pending")</x:f>
        <x:v>No</x:v>
      </x:c>
      <x:c r="K178" s="12" t="str">
        <x:v>Bank Loan</x:v>
      </x:c>
    </x:row>
    <x:row r="179">
      <x:c r="A179" s="12" t="str">
        <x:v>ORD-00178</x:v>
      </x:c>
      <x:c r="B179" s="12" t="str">
        <x:v>DLR-003</x:v>
      </x:c>
      <x:c r="C179" s="12" t="str">
        <x:v>Mỹ Đình Ford</x:v>
      </x:c>
      <x:c r="D179" s="12" t="str">
        <x:v>Ford</x:v>
      </x:c>
      <x:c r="E179" s="18" t="n">
        <x:v>46181</x:v>
      </x:c>
      <x:c r="F179" s="18" t="n">
        <x:v>46191</x:v>
      </x:c>
      <x:c r="G179" s="18" t="n">
        <x:v>46196</x:v>
      </x:c>
      <x:c r="H179" s="12" t="str">
        <x:v>Delivered</x:v>
      </x:c>
      <x:c r="I179" s="12" t="n">
        <x:v>5</x:v>
      </x:c>
      <x:c r="J179" s="12" t="str">
        <x:f>IF(H179="Delivered",IF(I179&lt;=0,"Yes","No"),"Pending")</x:f>
        <x:v>No</x:v>
      </x:c>
      <x:c r="K179" s="12" t="str">
        <x:v>Cash</x:v>
      </x:c>
    </x:row>
    <x:row r="180">
      <x:c r="A180" s="12" t="str">
        <x:v>ORD-00179</x:v>
      </x:c>
      <x:c r="B180" s="12" t="str">
        <x:v>DLR-016</x:v>
      </x:c>
      <x:c r="C180" s="12" t="str">
        <x:v>VinFast HTA Mỹ Đình</x:v>
      </x:c>
      <x:c r="D180" s="12" t="str">
        <x:v>VinFast</x:v>
      </x:c>
      <x:c r="E180" s="18" t="n">
        <x:v>46211</x:v>
      </x:c>
      <x:c r="F180" s="18" t="n">
        <x:v>46217</x:v>
      </x:c>
      <x:c r="G180" s="18" t="n">
        <x:v>46224</x:v>
      </x:c>
      <x:c r="H180" s="12" t="str">
        <x:v>Delivered</x:v>
      </x:c>
      <x:c r="I180" s="12" t="n">
        <x:v>7</x:v>
      </x:c>
      <x:c r="J180" s="12" t="str">
        <x:f>IF(H180="Delivered",IF(I180&lt;=0,"Yes","No"),"Pending")</x:f>
        <x:v>No</x:v>
      </x:c>
      <x:c r="K180" s="12" t="str">
        <x:v>Leasing</x:v>
      </x:c>
    </x:row>
    <x:row r="181">
      <x:c r="A181" s="12" t="str">
        <x:v>ORD-00180</x:v>
      </x:c>
      <x:c r="B181" s="12" t="str">
        <x:v>DLR-018</x:v>
      </x:c>
      <x:c r="C181" s="12" t="str">
        <x:v>OMODA &amp; JAECOO HTA Nam Từ Liêm</x:v>
      </x:c>
      <x:c r="D181" s="12" t="str">
        <x:v>OMODA &amp; JAECOO</x:v>
      </x:c>
      <x:c r="E181" s="18" t="n">
        <x:v>46213</x:v>
      </x:c>
      <x:c r="F181" s="18" t="n">
        <x:v>46231</x:v>
      </x:c>
      <x:c r="G181" s="18" t="n">
        <x:v>46228</x:v>
      </x:c>
      <x:c r="H181" s="12" t="str">
        <x:v>In Transit</x:v>
      </x:c>
      <x:c r="I181" s="12" t="n">
        <x:v>-3</x:v>
      </x:c>
      <x:c r="J181" s="12" t="str">
        <x:f>IF(H181="Delivered",IF(I181&lt;=0,"Yes","No"),"Pending")</x:f>
        <x:v>Pending</x:v>
      </x:c>
      <x:c r="K181" s="12" t="str">
        <x:v>Leasing</x:v>
      </x:c>
    </x:row>
    <x:row r="182">
      <x:c r="A182" s="12" t="str">
        <x:v>ORD-00181</x:v>
      </x:c>
      <x:c r="B182" s="12" t="str">
        <x:v>DLR-011</x:v>
      </x:c>
      <x:c r="C182" s="12" t="str">
        <x:v>VinFast HTA Phạm Văn Đồng</x:v>
      </x:c>
      <x:c r="D182" s="12" t="str">
        <x:v>VinFast</x:v>
      </x:c>
      <x:c r="E182" s="18" t="n">
        <x:v>46180</x:v>
      </x:c>
      <x:c r="F182" s="18" t="n">
        <x:v>46189</x:v>
      </x:c>
      <x:c r="G182" s="18" t="n">
        <x:v>46197</x:v>
      </x:c>
      <x:c r="H182" s="12" t="str">
        <x:v>Delivered</x:v>
      </x:c>
      <x:c r="I182" s="12" t="n">
        <x:v>8</x:v>
      </x:c>
      <x:c r="J182" s="12" t="str">
        <x:f>IF(H182="Delivered",IF(I182&lt;=0,"Yes","No"),"Pending")</x:f>
        <x:v>No</x:v>
      </x:c>
      <x:c r="K182" s="12" t="str">
        <x:v>Bank Loan</x:v>
      </x:c>
    </x:row>
    <x:row r="183">
      <x:c r="A183" s="12" t="str">
        <x:v>ORD-00182</x:v>
      </x:c>
      <x:c r="B183" s="12" t="str">
        <x:v>DLR-017</x:v>
      </x:c>
      <x:c r="C183" s="12" t="str">
        <x:v>VinFast Quốc Oai</x:v>
      </x:c>
      <x:c r="D183" s="12" t="str">
        <x:v>VinFast</x:v>
      </x:c>
      <x:c r="E183" s="18" t="n">
        <x:v>46187</x:v>
      </x:c>
      <x:c r="F183" s="18" t="n">
        <x:v>46192</x:v>
      </x:c>
      <x:c r="G183" s="18" t="n">
        <x:v>46193</x:v>
      </x:c>
      <x:c r="H183" s="12" t="str">
        <x:v>Delivered</x:v>
      </x:c>
      <x:c r="I183" s="12" t="n">
        <x:v>1</x:v>
      </x:c>
      <x:c r="J183" s="12" t="str">
        <x:f>IF(H183="Delivered",IF(I183&lt;=0,"Yes","No"),"Pending")</x:f>
        <x:v>No</x:v>
      </x:c>
      <x:c r="K183" s="12" t="str">
        <x:v>Bank Loan</x:v>
      </x:c>
    </x:row>
    <x:row r="184">
      <x:c r="A184" s="12" t="str">
        <x:v>ORD-00183</x:v>
      </x:c>
      <x:c r="B184" s="12" t="str">
        <x:v>DLR-003</x:v>
      </x:c>
      <x:c r="C184" s="12" t="str">
        <x:v>Mỹ Đình Ford</x:v>
      </x:c>
      <x:c r="D184" s="12" t="str">
        <x:v>Ford</x:v>
      </x:c>
      <x:c r="E184" s="18" t="n">
        <x:v>46212</x:v>
      </x:c>
      <x:c r="F184" s="18" t="n">
        <x:v>46230</x:v>
      </x:c>
      <x:c r="G184" s="18" t="n">
        <x:v>46232</x:v>
      </x:c>
      <x:c r="H184" s="12" t="str">
        <x:v>Awaiting Registration</x:v>
      </x:c>
      <x:c r="I184" s="12" t="n">
        <x:v>2</x:v>
      </x:c>
      <x:c r="J184" s="12" t="str">
        <x:f>IF(H184="Delivered",IF(I184&lt;=0,"Yes","No"),"Pending")</x:f>
        <x:v>Pending</x:v>
      </x:c>
      <x:c r="K184" s="12" t="str">
        <x:v>Leasing</x:v>
      </x:c>
    </x:row>
    <x:row r="185">
      <x:c r="A185" s="12" t="str">
        <x:v>ORD-00184</x:v>
      </x:c>
      <x:c r="B185" s="12" t="str">
        <x:v>DLR-009</x:v>
      </x:c>
      <x:c r="C185" s="12" t="str">
        <x:v>VinFast HTA Đông Anh</x:v>
      </x:c>
      <x:c r="D185" s="12" t="str">
        <x:v>VinFast</x:v>
      </x:c>
      <x:c r="E185" s="18" t="n">
        <x:v>46179</x:v>
      </x:c>
      <x:c r="F185" s="18" t="n">
        <x:v>46186</x:v>
      </x:c>
      <x:c r="G185" s="18" t="n">
        <x:v>46190</x:v>
      </x:c>
      <x:c r="H185" s="12" t="str">
        <x:v>Delivered</x:v>
      </x:c>
      <x:c r="I185" s="12" t="n">
        <x:v>4</x:v>
      </x:c>
      <x:c r="J185" s="12" t="str">
        <x:f>IF(H185="Delivered",IF(I185&lt;=0,"Yes","No"),"Pending")</x:f>
        <x:v>No</x:v>
      </x:c>
      <x:c r="K185" s="12" t="str">
        <x:v>Bank Loan</x:v>
      </x:c>
    </x:row>
    <x:row r="186">
      <x:c r="A186" s="12" t="str">
        <x:v>ORD-00185</x:v>
      </x:c>
      <x:c r="B186" s="12" t="str">
        <x:v>DLR-014</x:v>
      </x:c>
      <x:c r="C186" s="12" t="str">
        <x:v>VinFast HTA Nam Từ Liêm</x:v>
      </x:c>
      <x:c r="D186" s="12" t="str">
        <x:v>VinFast</x:v>
      </x:c>
      <x:c r="E186" s="18" t="n">
        <x:v>46189</x:v>
      </x:c>
      <x:c r="F186" s="18" t="n">
        <x:v>46209</x:v>
      </x:c>
      <x:c r="G186" s="18" t="n">
        <x:v>46219</x:v>
      </x:c>
      <x:c r="H186" s="12" t="str">
        <x:v>Delivered</x:v>
      </x:c>
      <x:c r="I186" s="12" t="n">
        <x:v>10</x:v>
      </x:c>
      <x:c r="J186" s="12" t="str">
        <x:f>IF(H186="Delivered",IF(I186&lt;=0,"Yes","No"),"Pending")</x:f>
        <x:v>No</x:v>
      </x:c>
      <x:c r="K186" s="12" t="str">
        <x:v>Leasing</x:v>
      </x:c>
    </x:row>
    <x:row r="187">
      <x:c r="A187" s="12" t="str">
        <x:v>ORD-00186</x:v>
      </x:c>
      <x:c r="B187" s="12" t="str">
        <x:v>DLR-007</x:v>
      </x:c>
      <x:c r="C187" s="12" t="str">
        <x:v>BYD Hà Đông</x:v>
      </x:c>
      <x:c r="D187" s="12" t="str">
        <x:v>BYD</x:v>
      </x:c>
      <x:c r="E187" s="18" t="n">
        <x:v>46192</x:v>
      </x:c>
      <x:c r="F187" s="18" t="n">
        <x:v>46204</x:v>
      </x:c>
      <x:c r="G187" s="18" t="n">
        <x:v>46214</x:v>
      </x:c>
      <x:c r="H187" s="12" t="str">
        <x:v>Delivered</x:v>
      </x:c>
      <x:c r="I187" s="12" t="n">
        <x:v>10</x:v>
      </x:c>
      <x:c r="J187" s="12" t="str">
        <x:f>IF(H187="Delivered",IF(I187&lt;=0,"Yes","No"),"Pending")</x:f>
        <x:v>No</x:v>
      </x:c>
      <x:c r="K187" s="12" t="str">
        <x:v>Cash</x:v>
      </x:c>
    </x:row>
    <x:row r="188">
      <x:c r="A188" s="12" t="str">
        <x:v>ORD-00187</x:v>
      </x:c>
      <x:c r="B188" s="12" t="str">
        <x:v>DLR-002</x:v>
      </x:c>
      <x:c r="C188" s="12" t="str">
        <x:v>Hà Thành Ford - Mỹ Đình</x:v>
      </x:c>
      <x:c r="D188" s="12" t="str">
        <x:v>Ford</x:v>
      </x:c>
      <x:c r="E188" s="18" t="n">
        <x:v>46202</x:v>
      </x:c>
      <x:c r="F188" s="18" t="n">
        <x:v>46216</x:v>
      </x:c>
      <x:c r="G188" s="18" t="n">
        <x:v>46226</x:v>
      </x:c>
      <x:c r="H188" s="12" t="str">
        <x:v>Ready</x:v>
      </x:c>
      <x:c r="I188" s="12" t="n">
        <x:v>10</x:v>
      </x:c>
      <x:c r="J188" s="12" t="str">
        <x:f>IF(H188="Delivered",IF(I188&lt;=0,"Yes","No"),"Pending")</x:f>
        <x:v>Pending</x:v>
      </x:c>
      <x:c r="K188" s="12" t="str">
        <x:v>Bank Loan</x:v>
      </x:c>
    </x:row>
    <x:row r="189">
      <x:c r="A189" s="12" t="str">
        <x:v>ORD-00188</x:v>
      </x:c>
      <x:c r="B189" s="12" t="str">
        <x:v>DLR-020</x:v>
      </x:c>
      <x:c r="C189" s="12" t="str">
        <x:v>Wuling HTA Long Biên</x:v>
      </x:c>
      <x:c r="D189" s="12" t="str">
        <x:v>Wuling</x:v>
      </x:c>
      <x:c r="E189" s="18" t="n">
        <x:v>46206</x:v>
      </x:c>
      <x:c r="F189" s="18" t="n">
        <x:v>46220</x:v>
      </x:c>
      <x:c r="G189" s="18" t="n">
        <x:v>46223</x:v>
      </x:c>
      <x:c r="H189" s="12" t="str">
        <x:v>Delivered</x:v>
      </x:c>
      <x:c r="I189" s="12" t="n">
        <x:v>3</x:v>
      </x:c>
      <x:c r="J189" s="12" t="str">
        <x:f>IF(H189="Delivered",IF(I189&lt;=0,"Yes","No"),"Pending")</x:f>
        <x:v>No</x:v>
      </x:c>
      <x:c r="K189" s="12" t="str">
        <x:v>Cash</x:v>
      </x:c>
    </x:row>
    <x:row r="190">
      <x:c r="A190" s="12" t="str">
        <x:v>ORD-00189</x:v>
      </x:c>
      <x:c r="B190" s="12" t="str">
        <x:v>DLR-014</x:v>
      </x:c>
      <x:c r="C190" s="12" t="str">
        <x:v>VinFast HTA Nam Từ Liêm</x:v>
      </x:c>
      <x:c r="D190" s="12" t="str">
        <x:v>VinFast</x:v>
      </x:c>
      <x:c r="E190" s="18" t="n">
        <x:v>46177</x:v>
      </x:c>
      <x:c r="F190" s="18" t="n">
        <x:v>46196</x:v>
      </x:c>
      <x:c r="G190" s="18" t="n">
        <x:v>46195</x:v>
      </x:c>
      <x:c r="H190" s="12" t="str">
        <x:v>Delivered</x:v>
      </x:c>
      <x:c r="I190" s="12" t="n">
        <x:v>-1</x:v>
      </x:c>
      <x:c r="J190" s="12" t="str">
        <x:f>IF(H190="Delivered",IF(I190&lt;=0,"Yes","No"),"Pending")</x:f>
        <x:v>Yes</x:v>
      </x:c>
      <x:c r="K190" s="12" t="str">
        <x:v>Bank Loan</x:v>
      </x:c>
    </x:row>
    <x:row r="191">
      <x:c r="A191" s="12" t="str">
        <x:v>ORD-00190</x:v>
      </x:c>
      <x:c r="B191" s="12" t="str">
        <x:v>DLR-012</x:v>
      </x:c>
      <x:c r="C191" s="12" t="str">
        <x:v>VinFast HTA Võ Chí Công</x:v>
      </x:c>
      <x:c r="D191" s="12" t="str">
        <x:v>VinFast</x:v>
      </x:c>
      <x:c r="E191" s="18" t="n">
        <x:v>46216</x:v>
      </x:c>
      <x:c r="F191" s="18" t="n">
        <x:v>46221</x:v>
      </x:c>
      <x:c r="G191" s="18" t="n">
        <x:v>46224</x:v>
      </x:c>
      <x:c r="H191" s="12" t="str">
        <x:v>Delivered</x:v>
      </x:c>
      <x:c r="I191" s="12" t="n">
        <x:v>3</x:v>
      </x:c>
      <x:c r="J191" s="12" t="str">
        <x:f>IF(H191="Delivered",IF(I191&lt;=0,"Yes","No"),"Pending")</x:f>
        <x:v>No</x:v>
      </x:c>
      <x:c r="K191" s="12" t="str">
        <x:v>Cash</x:v>
      </x:c>
    </x:row>
    <x:row r="192">
      <x:c r="A192" s="12" t="str">
        <x:v>ORD-00191</x:v>
      </x:c>
      <x:c r="B192" s="12" t="str">
        <x:v>DLR-010</x:v>
      </x:c>
      <x:c r="C192" s="12" t="str">
        <x:v>VinFast HTA Đàm Quang Trung</x:v>
      </x:c>
      <x:c r="D192" s="12" t="str">
        <x:v>VinFast</x:v>
      </x:c>
      <x:c r="E192" s="18" t="n">
        <x:v>46218</x:v>
      </x:c>
      <x:c r="F192" s="18" t="n">
        <x:v>46236</x:v>
      </x:c>
      <x:c r="G192" s="18" t="n">
        <x:v>46245</x:v>
      </x:c>
      <x:c r="H192" s="12" t="str">
        <x:v>In Transit</x:v>
      </x:c>
      <x:c r="I192" s="12" t="n">
        <x:v>9</x:v>
      </x:c>
      <x:c r="J192" s="12" t="str">
        <x:f>IF(H192="Delivered",IF(I192&lt;=0,"Yes","No"),"Pending")</x:f>
        <x:v>Pending</x:v>
      </x:c>
      <x:c r="K192" s="12" t="str">
        <x:v>Cash</x:v>
      </x:c>
    </x:row>
    <x:row r="193">
      <x:c r="A193" s="12" t="str">
        <x:v>ORD-00192</x:v>
      </x:c>
      <x:c r="B193" s="12" t="str">
        <x:v>DLR-017</x:v>
      </x:c>
      <x:c r="C193" s="12" t="str">
        <x:v>VinFast Quốc Oai</x:v>
      </x:c>
      <x:c r="D193" s="12" t="str">
        <x:v>VinFast</x:v>
      </x:c>
      <x:c r="E193" s="18" t="n">
        <x:v>46210</x:v>
      </x:c>
      <x:c r="F193" s="18" t="n">
        <x:v>46226</x:v>
      </x:c>
      <x:c r="G193" s="18" t="n">
        <x:v>46234</x:v>
      </x:c>
      <x:c r="H193" s="12" t="str">
        <x:v>In Transit</x:v>
      </x:c>
      <x:c r="I193" s="12" t="n">
        <x:v>8</x:v>
      </x:c>
      <x:c r="J193" s="12" t="str">
        <x:f>IF(H193="Delivered",IF(I193&lt;=0,"Yes","No"),"Pending")</x:f>
        <x:v>Pending</x:v>
      </x:c>
      <x:c r="K193" s="12" t="str">
        <x:v>Cash</x:v>
      </x:c>
    </x:row>
    <x:row r="194">
      <x:c r="A194" s="12" t="str">
        <x:v>ORD-00193</x:v>
      </x:c>
      <x:c r="B194" s="12" t="str">
        <x:v>DLR-001</x:v>
      </x:c>
      <x:c r="C194" s="12" t="str">
        <x:v>Hà Thành Ford</x:v>
      </x:c>
      <x:c r="D194" s="12" t="str">
        <x:v>Ford</x:v>
      </x:c>
      <x:c r="E194" s="18" t="n">
        <x:v>46215</x:v>
      </x:c>
      <x:c r="F194" s="18" t="n">
        <x:v>46233</x:v>
      </x:c>
      <x:c r="G194" s="18" t="n">
        <x:v>46239</x:v>
      </x:c>
      <x:c r="H194" s="12" t="str">
        <x:v>Awaiting Registration</x:v>
      </x:c>
      <x:c r="I194" s="12" t="n">
        <x:v>6</x:v>
      </x:c>
      <x:c r="J194" s="12" t="str">
        <x:f>IF(H194="Delivered",IF(I194&lt;=0,"Yes","No"),"Pending")</x:f>
        <x:v>Pending</x:v>
      </x:c>
      <x:c r="K194" s="12" t="str">
        <x:v>Bank Loan</x:v>
      </x:c>
    </x:row>
    <x:row r="195">
      <x:c r="A195" s="12" t="str">
        <x:v>ORD-00194</x:v>
      </x:c>
      <x:c r="B195" s="12" t="str">
        <x:v>DLR-019</x:v>
      </x:c>
      <x:c r="C195" s="12" t="str">
        <x:v>OMODA &amp; JAECOO HTA Việt Trì</x:v>
      </x:c>
      <x:c r="D195" s="12" t="str">
        <x:v>OMODA &amp; JAECOO</x:v>
      </x:c>
      <x:c r="E195" s="18" t="n">
        <x:v>46203</x:v>
      </x:c>
      <x:c r="F195" s="18" t="n">
        <x:v>46215</x:v>
      </x:c>
      <x:c r="G195" s="18" t="n">
        <x:v>46225</x:v>
      </x:c>
      <x:c r="H195" s="12" t="str">
        <x:v>Delivered</x:v>
      </x:c>
      <x:c r="I195" s="12" t="n">
        <x:v>10</x:v>
      </x:c>
      <x:c r="J195" s="12" t="str">
        <x:f>IF(H195="Delivered",IF(I195&lt;=0,"Yes","No"),"Pending")</x:f>
        <x:v>No</x:v>
      </x:c>
      <x:c r="K195" s="12" t="str">
        <x:v>Cash</x:v>
      </x:c>
    </x:row>
    <x:row r="196">
      <x:c r="A196" s="12" t="str">
        <x:v>ORD-00195</x:v>
      </x:c>
      <x:c r="B196" s="12" t="str">
        <x:v>DLR-020</x:v>
      </x:c>
      <x:c r="C196" s="12" t="str">
        <x:v>Wuling HTA Long Biên</x:v>
      </x:c>
      <x:c r="D196" s="12" t="str">
        <x:v>Wuling</x:v>
      </x:c>
      <x:c r="E196" s="18" t="n">
        <x:v>46176</x:v>
      </x:c>
      <x:c r="F196" s="18" t="n">
        <x:v>46183</x:v>
      </x:c>
      <x:c r="G196" s="18" t="n">
        <x:v>46180</x:v>
      </x:c>
      <x:c r="H196" s="12" t="str">
        <x:v>Delivered</x:v>
      </x:c>
      <x:c r="I196" s="12" t="n">
        <x:v>-3</x:v>
      </x:c>
      <x:c r="J196" s="12" t="str">
        <x:f>IF(H196="Delivered",IF(I196&lt;=0,"Yes","No"),"Pending")</x:f>
        <x:v>Yes</x:v>
      </x:c>
      <x:c r="K196" s="12" t="str">
        <x:v>Leasing</x:v>
      </x:c>
    </x:row>
    <x:row r="197">
      <x:c r="A197" s="12" t="str">
        <x:v>ORD-00196</x:v>
      </x:c>
      <x:c r="B197" s="12" t="str">
        <x:v>DLR-010</x:v>
      </x:c>
      <x:c r="C197" s="12" t="str">
        <x:v>VinFast HTA Đàm Quang Trung</x:v>
      </x:c>
      <x:c r="D197" s="12" t="str">
        <x:v>VinFast</x:v>
      </x:c>
      <x:c r="E197" s="18" t="n">
        <x:v>46211</x:v>
      </x:c>
      <x:c r="F197" s="18" t="n">
        <x:v>46231</x:v>
      </x:c>
      <x:c r="G197" s="18" t="n">
        <x:v>46237</x:v>
      </x:c>
      <x:c r="H197" s="12" t="str">
        <x:v>Ready</x:v>
      </x:c>
      <x:c r="I197" s="12" t="n">
        <x:v>6</x:v>
      </x:c>
      <x:c r="J197" s="12" t="str">
        <x:f>IF(H197="Delivered",IF(I197&lt;=0,"Yes","No"),"Pending")</x:f>
        <x:v>Pending</x:v>
      </x:c>
      <x:c r="K197" s="12" t="str">
        <x:v>Leasing</x:v>
      </x:c>
    </x:row>
    <x:row r="198">
      <x:c r="A198" s="12" t="str">
        <x:v>ORD-00197</x:v>
      </x:c>
      <x:c r="B198" s="12" t="str">
        <x:v>DLR-012</x:v>
      </x:c>
      <x:c r="C198" s="12" t="str">
        <x:v>VinFast HTA Võ Chí Công</x:v>
      </x:c>
      <x:c r="D198" s="12" t="str">
        <x:v>VinFast</x:v>
      </x:c>
      <x:c r="E198" s="18" t="n">
        <x:v>46223</x:v>
      </x:c>
      <x:c r="F198" s="18" t="n">
        <x:v>46237</x:v>
      </x:c>
      <x:c r="G198" s="18" t="n">
        <x:v>46244</x:v>
      </x:c>
      <x:c r="H198" s="12" t="str">
        <x:v>Awaiting Registration</x:v>
      </x:c>
      <x:c r="I198" s="12" t="n">
        <x:v>7</x:v>
      </x:c>
      <x:c r="J198" s="12" t="str">
        <x:f>IF(H198="Delivered",IF(I198&lt;=0,"Yes","No"),"Pending")</x:f>
        <x:v>Pending</x:v>
      </x:c>
      <x:c r="K198" s="12" t="str">
        <x:v>Cash</x:v>
      </x:c>
    </x:row>
    <x:row r="199">
      <x:c r="A199" s="12" t="str">
        <x:v>ORD-00198</x:v>
      </x:c>
      <x:c r="B199" s="12" t="str">
        <x:v>DLR-009</x:v>
      </x:c>
      <x:c r="C199" s="12" t="str">
        <x:v>VinFast HTA Đông Anh</x:v>
      </x:c>
      <x:c r="D199" s="12" t="str">
        <x:v>VinFast</x:v>
      </x:c>
      <x:c r="E199" s="18" t="n">
        <x:v>46211</x:v>
      </x:c>
      <x:c r="F199" s="18" t="n">
        <x:v>46220</x:v>
      </x:c>
      <x:c r="G199" s="18" t="n">
        <x:v>46220</x:v>
      </x:c>
      <x:c r="H199" s="12" t="str">
        <x:v>Delivered</x:v>
      </x:c>
      <x:c r="I199" s="12" t="n">
        <x:v>0</x:v>
      </x:c>
      <x:c r="J199" s="12" t="str">
        <x:f>IF(H199="Delivered",IF(I199&lt;=0,"Yes","No"),"Pending")</x:f>
        <x:v>Yes</x:v>
      </x:c>
      <x:c r="K199" s="12" t="str">
        <x:v>Bank Loan</x:v>
      </x:c>
    </x:row>
    <x:row r="200">
      <x:c r="A200" s="12" t="str">
        <x:v>ORD-00199</x:v>
      </x:c>
      <x:c r="B200" s="12" t="str">
        <x:v>DLR-004</x:v>
      </x:c>
      <x:c r="C200" s="12" t="str">
        <x:v>Việt Trì Ford</x:v>
      </x:c>
      <x:c r="D200" s="12" t="str">
        <x:v>Ford</x:v>
      </x:c>
      <x:c r="E200" s="18" t="n">
        <x:v>46192</x:v>
      </x:c>
      <x:c r="F200" s="18" t="n">
        <x:v>46202</x:v>
      </x:c>
      <x:c r="G200" s="18" t="n">
        <x:v>46199</x:v>
      </x:c>
      <x:c r="H200" s="12" t="str">
        <x:v>Delivered</x:v>
      </x:c>
      <x:c r="I200" s="12" t="n">
        <x:v>-3</x:v>
      </x:c>
      <x:c r="J200" s="12" t="str">
        <x:f>IF(H200="Delivered",IF(I200&lt;=0,"Yes","No"),"Pending")</x:f>
        <x:v>Yes</x:v>
      </x:c>
      <x:c r="K200" s="12" t="str">
        <x:v>Cash</x:v>
      </x:c>
    </x:row>
    <x:row r="201">
      <x:c r="A201" s="12" t="str">
        <x:v>ORD-00200</x:v>
      </x:c>
      <x:c r="B201" s="12" t="str">
        <x:v>DLR-019</x:v>
      </x:c>
      <x:c r="C201" s="12" t="str">
        <x:v>OMODA &amp; JAECOO HTA Việt Trì</x:v>
      </x:c>
      <x:c r="D201" s="12" t="str">
        <x:v>OMODA &amp; JAECOO</x:v>
      </x:c>
      <x:c r="E201" s="18" t="n">
        <x:v>46205</x:v>
      </x:c>
      <x:c r="F201" s="18" t="n">
        <x:v>46215</x:v>
      </x:c>
      <x:c r="G201" s="18" t="n">
        <x:v>46218</x:v>
      </x:c>
      <x:c r="H201" s="12" t="str">
        <x:v>Delivered</x:v>
      </x:c>
      <x:c r="I201" s="12" t="n">
        <x:v>3</x:v>
      </x:c>
      <x:c r="J201" s="12" t="str">
        <x:f>IF(H201="Delivered",IF(I201&lt;=0,"Yes","No"),"Pending")</x:f>
        <x:v>No</x:v>
      </x:c>
      <x:c r="K201" s="12" t="str">
        <x:v>Bank Loan</x:v>
      </x:c>
    </x:row>
    <x:row r="202">
      <x:c r="A202" s="12" t="str">
        <x:v>ORD-00201</x:v>
      </x:c>
      <x:c r="B202" s="12" t="str">
        <x:v>DLR-012</x:v>
      </x:c>
      <x:c r="C202" s="12" t="str">
        <x:v>VinFast HTA Võ Chí Công</x:v>
      </x:c>
      <x:c r="D202" s="12" t="str">
        <x:v>VinFast</x:v>
      </x:c>
      <x:c r="E202" s="18" t="n">
        <x:v>46197</x:v>
      </x:c>
      <x:c r="F202" s="18" t="n">
        <x:v>46204</x:v>
      </x:c>
      <x:c r="G202" s="18" t="n">
        <x:v>46207</x:v>
      </x:c>
      <x:c r="H202" s="12" t="str">
        <x:v>Delivered</x:v>
      </x:c>
      <x:c r="I202" s="12" t="n">
        <x:v>3</x:v>
      </x:c>
      <x:c r="J202" s="12" t="str">
        <x:f>IF(H202="Delivered",IF(I202&lt;=0,"Yes","No"),"Pending")</x:f>
        <x:v>No</x:v>
      </x:c>
      <x:c r="K202" s="12" t="str">
        <x:v>Bank Loan</x:v>
      </x:c>
    </x:row>
    <x:row r="203">
      <x:c r="A203" s="12" t="str">
        <x:v>ORD-00202</x:v>
      </x:c>
      <x:c r="B203" s="12" t="str">
        <x:v>DLR-007</x:v>
      </x:c>
      <x:c r="C203" s="12" t="str">
        <x:v>BYD Hà Đông</x:v>
      </x:c>
      <x:c r="D203" s="12" t="str">
        <x:v>BYD</x:v>
      </x:c>
      <x:c r="E203" s="18" t="n">
        <x:v>46219</x:v>
      </x:c>
      <x:c r="F203" s="18" t="n">
        <x:v>46228</x:v>
      </x:c>
      <x:c r="G203" s="18" t="n">
        <x:v>46233</x:v>
      </x:c>
      <x:c r="H203" s="12" t="str">
        <x:v>Ready</x:v>
      </x:c>
      <x:c r="I203" s="12" t="n">
        <x:v>5</x:v>
      </x:c>
      <x:c r="J203" s="12" t="str">
        <x:f>IF(H203="Delivered",IF(I203&lt;=0,"Yes","No"),"Pending")</x:f>
        <x:v>Pending</x:v>
      </x:c>
      <x:c r="K203" s="12" t="str">
        <x:v>Cash</x:v>
      </x:c>
    </x:row>
    <x:row r="204">
      <x:c r="A204" s="12" t="str">
        <x:v>ORD-00203</x:v>
      </x:c>
      <x:c r="B204" s="12" t="str">
        <x:v>DLR-016</x:v>
      </x:c>
      <x:c r="C204" s="12" t="str">
        <x:v>VinFast HTA Mỹ Đình</x:v>
      </x:c>
      <x:c r="D204" s="12" t="str">
        <x:v>VinFast</x:v>
      </x:c>
      <x:c r="E204" s="18" t="n">
        <x:v>46212</x:v>
      </x:c>
      <x:c r="F204" s="18" t="n">
        <x:v>46232</x:v>
      </x:c>
      <x:c r="G204" s="18" t="n">
        <x:v>46229</x:v>
      </x:c>
      <x:c r="H204" s="12" t="str">
        <x:v>Awaiting Registration</x:v>
      </x:c>
      <x:c r="I204" s="12" t="n">
        <x:v>-3</x:v>
      </x:c>
      <x:c r="J204" s="12" t="str">
        <x:f>IF(H204="Delivered",IF(I204&lt;=0,"Yes","No"),"Pending")</x:f>
        <x:v>Pending</x:v>
      </x:c>
      <x:c r="K204" s="12" t="str">
        <x:v>Cash</x:v>
      </x:c>
    </x:row>
    <x:row r="205">
      <x:c r="A205" s="12" t="str">
        <x:v>ORD-00204</x:v>
      </x:c>
      <x:c r="B205" s="12" t="str">
        <x:v>DLR-004</x:v>
      </x:c>
      <x:c r="C205" s="12" t="str">
        <x:v>Việt Trì Ford</x:v>
      </x:c>
      <x:c r="D205" s="12" t="str">
        <x:v>Ford</x:v>
      </x:c>
      <x:c r="E205" s="18" t="n">
        <x:v>46187</x:v>
      </x:c>
      <x:c r="F205" s="18" t="n">
        <x:v>46203</x:v>
      </x:c>
      <x:c r="G205" s="18" t="n">
        <x:v>46200</x:v>
      </x:c>
      <x:c r="H205" s="12" t="str">
        <x:v>Delivered</x:v>
      </x:c>
      <x:c r="I205" s="12" t="n">
        <x:v>-3</x:v>
      </x:c>
      <x:c r="J205" s="12" t="str">
        <x:f>IF(H205="Delivered",IF(I205&lt;=0,"Yes","No"),"Pending")</x:f>
        <x:v>Yes</x:v>
      </x:c>
      <x:c r="K205" s="12" t="str">
        <x:v>Cash</x:v>
      </x:c>
    </x:row>
    <x:row r="206">
      <x:c r="A206" s="12" t="str">
        <x:v>ORD-00205</x:v>
      </x:c>
      <x:c r="B206" s="12" t="str">
        <x:v>DLR-014</x:v>
      </x:c>
      <x:c r="C206" s="12" t="str">
        <x:v>VinFast HTA Nam Từ Liêm</x:v>
      </x:c>
      <x:c r="D206" s="12" t="str">
        <x:v>VinFast</x:v>
      </x:c>
      <x:c r="E206" s="18" t="n">
        <x:v>46183</x:v>
      </x:c>
      <x:c r="F206" s="18" t="n">
        <x:v>46190</x:v>
      </x:c>
      <x:c r="G206" s="18" t="n">
        <x:v>46197</x:v>
      </x:c>
      <x:c r="H206" s="12" t="str">
        <x:v>Delivered</x:v>
      </x:c>
      <x:c r="I206" s="12" t="n">
        <x:v>7</x:v>
      </x:c>
      <x:c r="J206" s="12" t="str">
        <x:f>IF(H206="Delivered",IF(I206&lt;=0,"Yes","No"),"Pending")</x:f>
        <x:v>No</x:v>
      </x:c>
      <x:c r="K206" s="12" t="str">
        <x:v>Leasing</x:v>
      </x:c>
    </x:row>
    <x:row r="207">
      <x:c r="A207" s="12" t="str">
        <x:v>ORD-00206</x:v>
      </x:c>
      <x:c r="B207" s="12" t="str">
        <x:v>DLR-010</x:v>
      </x:c>
      <x:c r="C207" s="12" t="str">
        <x:v>VinFast HTA Đàm Quang Trung</x:v>
      </x:c>
      <x:c r="D207" s="12" t="str">
        <x:v>VinFast</x:v>
      </x:c>
      <x:c r="E207" s="18" t="n">
        <x:v>46175</x:v>
      </x:c>
      <x:c r="F207" s="18" t="n">
        <x:v>46189</x:v>
      </x:c>
      <x:c r="G207" s="18" t="n">
        <x:v>46194</x:v>
      </x:c>
      <x:c r="H207" s="12" t="str">
        <x:v>Delivered</x:v>
      </x:c>
      <x:c r="I207" s="12" t="n">
        <x:v>5</x:v>
      </x:c>
      <x:c r="J207" s="12" t="str">
        <x:f>IF(H207="Delivered",IF(I207&lt;=0,"Yes","No"),"Pending")</x:f>
        <x:v>No</x:v>
      </x:c>
      <x:c r="K207" s="12" t="str">
        <x:v>Leasing</x:v>
      </x:c>
    </x:row>
    <x:row r="208">
      <x:c r="A208" s="12" t="str">
        <x:v>ORD-00207</x:v>
      </x:c>
      <x:c r="B208" s="12" t="str">
        <x:v>DLR-006</x:v>
      </x:c>
      <x:c r="C208" s="12" t="str">
        <x:v>BYD HTA Hoàn Kiếm</x:v>
      </x:c>
      <x:c r="D208" s="12" t="str">
        <x:v>BYD</x:v>
      </x:c>
      <x:c r="E208" s="18" t="n">
        <x:v>46185</x:v>
      </x:c>
      <x:c r="F208" s="18" t="n">
        <x:v>46195</x:v>
      </x:c>
      <x:c r="G208" s="18" t="n">
        <x:v>46196</x:v>
      </x:c>
      <x:c r="H208" s="12" t="str">
        <x:v>Delivered</x:v>
      </x:c>
      <x:c r="I208" s="12" t="n">
        <x:v>1</x:v>
      </x:c>
      <x:c r="J208" s="12" t="str">
        <x:f>IF(H208="Delivered",IF(I208&lt;=0,"Yes","No"),"Pending")</x:f>
        <x:v>No</x:v>
      </x:c>
      <x:c r="K208" s="12" t="str">
        <x:v>Bank Loan</x:v>
      </x:c>
    </x:row>
    <x:row r="209">
      <x:c r="A209" s="12" t="str">
        <x:v>ORD-00208</x:v>
      </x:c>
      <x:c r="B209" s="12" t="str">
        <x:v>DLR-005</x:v>
      </x:c>
      <x:c r="C209" s="12" t="str">
        <x:v>BYD HTA Tây Hồ</x:v>
      </x:c>
      <x:c r="D209" s="12" t="str">
        <x:v>BYD</x:v>
      </x:c>
      <x:c r="E209" s="18" t="n">
        <x:v>46210</x:v>
      </x:c>
      <x:c r="F209" s="18" t="n">
        <x:v>46223</x:v>
      </x:c>
      <x:c r="G209" s="18" t="n">
        <x:v>46220</x:v>
      </x:c>
      <x:c r="H209" s="12" t="str">
        <x:v>Delivered</x:v>
      </x:c>
      <x:c r="I209" s="12" t="n">
        <x:v>-3</x:v>
      </x:c>
      <x:c r="J209" s="12" t="str">
        <x:f>IF(H209="Delivered",IF(I209&lt;=0,"Yes","No"),"Pending")</x:f>
        <x:v>Yes</x:v>
      </x:c>
      <x:c r="K209" s="12" t="str">
        <x:v>Cash</x:v>
      </x:c>
    </x:row>
    <x:row r="210">
      <x:c r="A210" s="12" t="str">
        <x:v>ORD-00209</x:v>
      </x:c>
      <x:c r="B210" s="12" t="str">
        <x:v>DLR-019</x:v>
      </x:c>
      <x:c r="C210" s="12" t="str">
        <x:v>OMODA &amp; JAECOO HTA Việt Trì</x:v>
      </x:c>
      <x:c r="D210" s="12" t="str">
        <x:v>OMODA &amp; JAECOO</x:v>
      </x:c>
      <x:c r="E210" s="18" t="n">
        <x:v>46180</x:v>
      </x:c>
      <x:c r="F210" s="18" t="n">
        <x:v>46196</x:v>
      </x:c>
      <x:c r="G210" s="18" t="n">
        <x:v>46196</x:v>
      </x:c>
      <x:c r="H210" s="12" t="str">
        <x:v>Delivered</x:v>
      </x:c>
      <x:c r="I210" s="12" t="n">
        <x:v>0</x:v>
      </x:c>
      <x:c r="J210" s="12" t="str">
        <x:f>IF(H210="Delivered",IF(I210&lt;=0,"Yes","No"),"Pending")</x:f>
        <x:v>Yes</x:v>
      </x:c>
      <x:c r="K210" s="12" t="str">
        <x:v>Cash</x:v>
      </x:c>
    </x:row>
    <x:row r="211">
      <x:c r="A211" s="12" t="str">
        <x:v>ORD-00210</x:v>
      </x:c>
      <x:c r="B211" s="12" t="str">
        <x:v>DLR-009</x:v>
      </x:c>
      <x:c r="C211" s="12" t="str">
        <x:v>VinFast HTA Đông Anh</x:v>
      </x:c>
      <x:c r="D211" s="12" t="str">
        <x:v>VinFast</x:v>
      </x:c>
      <x:c r="E211" s="18" t="n">
        <x:v>46187</x:v>
      </x:c>
      <x:c r="F211" s="18" t="n">
        <x:v>46205</x:v>
      </x:c>
      <x:c r="G211" s="18" t="n">
        <x:v>46214</x:v>
      </x:c>
      <x:c r="H211" s="12" t="str">
        <x:v>Delivered</x:v>
      </x:c>
      <x:c r="I211" s="12" t="n">
        <x:v>9</x:v>
      </x:c>
      <x:c r="J211" s="12" t="str">
        <x:f>IF(H211="Delivered",IF(I211&lt;=0,"Yes","No"),"Pending")</x:f>
        <x:v>No</x:v>
      </x:c>
      <x:c r="K211" s="12" t="str">
        <x:v>Cash</x:v>
      </x:c>
    </x:row>
    <x:row r="212">
      <x:c r="A212" s="12" t="str">
        <x:v>ORD-00211</x:v>
      </x:c>
      <x:c r="B212" s="12" t="str">
        <x:v>DLR-013</x:v>
      </x:c>
      <x:c r="C212" s="12" t="str">
        <x:v>VinFast HTA Ninh Bình</x:v>
      </x:c>
      <x:c r="D212" s="12" t="str">
        <x:v>VinFast</x:v>
      </x:c>
      <x:c r="E212" s="18" t="n">
        <x:v>46206</x:v>
      </x:c>
      <x:c r="F212" s="18" t="n">
        <x:v>46216</x:v>
      </x:c>
      <x:c r="G212" s="18" t="n">
        <x:v>46213</x:v>
      </x:c>
      <x:c r="H212" s="12" t="str">
        <x:v>Delivered</x:v>
      </x:c>
      <x:c r="I212" s="12" t="n">
        <x:v>-3</x:v>
      </x:c>
      <x:c r="J212" s="12" t="str">
        <x:f>IF(H212="Delivered",IF(I212&lt;=0,"Yes","No"),"Pending")</x:f>
        <x:v>Yes</x:v>
      </x:c>
      <x:c r="K212" s="12" t="str">
        <x:v>Leasing</x:v>
      </x:c>
    </x:row>
    <x:row r="213">
      <x:c r="A213" s="12" t="str">
        <x:v>ORD-00212</x:v>
      </x:c>
      <x:c r="B213" s="12" t="str">
        <x:v>DLR-015</x:v>
      </x:c>
      <x:c r="C213" s="12" t="str">
        <x:v>VinFast HTA Văn Phú</x:v>
      </x:c>
      <x:c r="D213" s="12" t="str">
        <x:v>VinFast</x:v>
      </x:c>
      <x:c r="E213" s="18" t="n">
        <x:v>46219</x:v>
      </x:c>
      <x:c r="F213" s="18" t="n">
        <x:v>46237</x:v>
      </x:c>
      <x:c r="G213" s="18" t="n">
        <x:v>46234</x:v>
      </x:c>
      <x:c r="H213" s="12" t="str">
        <x:v>Ready</x:v>
      </x:c>
      <x:c r="I213" s="12" t="n">
        <x:v>-3</x:v>
      </x:c>
      <x:c r="J213" s="12" t="str">
        <x:f>IF(H213="Delivered",IF(I213&lt;=0,"Yes","No"),"Pending")</x:f>
        <x:v>Pending</x:v>
      </x:c>
      <x:c r="K213" s="12" t="str">
        <x:v>Bank Loan</x:v>
      </x:c>
    </x:row>
    <x:row r="214">
      <x:c r="A214" s="12" t="str">
        <x:v>ORD-00213</x:v>
      </x:c>
      <x:c r="B214" s="12" t="str">
        <x:v>DLR-007</x:v>
      </x:c>
      <x:c r="C214" s="12" t="str">
        <x:v>BYD Hà Đông</x:v>
      </x:c>
      <x:c r="D214" s="12" t="str">
        <x:v>BYD</x:v>
      </x:c>
      <x:c r="E214" s="18" t="n">
        <x:v>46212</x:v>
      </x:c>
      <x:c r="F214" s="18" t="n">
        <x:v>46224</x:v>
      </x:c>
      <x:c r="G214" s="18" t="n">
        <x:v>46233</x:v>
      </x:c>
      <x:c r="H214" s="12" t="str">
        <x:v>Awaiting Registration</x:v>
      </x:c>
      <x:c r="I214" s="12" t="n">
        <x:v>9</x:v>
      </x:c>
      <x:c r="J214" s="12" t="str">
        <x:f>IF(H214="Delivered",IF(I214&lt;=0,"Yes","No"),"Pending")</x:f>
        <x:v>Pending</x:v>
      </x:c>
      <x:c r="K214" s="12" t="str">
        <x:v>Leasing</x:v>
      </x:c>
    </x:row>
    <x:row r="215">
      <x:c r="A215" s="12" t="str">
        <x:v>ORD-00214</x:v>
      </x:c>
      <x:c r="B215" s="12" t="str">
        <x:v>DLR-016</x:v>
      </x:c>
      <x:c r="C215" s="12" t="str">
        <x:v>VinFast HTA Mỹ Đình</x:v>
      </x:c>
      <x:c r="D215" s="12" t="str">
        <x:v>VinFast</x:v>
      </x:c>
      <x:c r="E215" s="18" t="n">
        <x:v>46195</x:v>
      </x:c>
      <x:c r="F215" s="18" t="n">
        <x:v>46201</x:v>
      </x:c>
      <x:c r="G215" s="18" t="n">
        <x:v>46206</x:v>
      </x:c>
      <x:c r="H215" s="12" t="str">
        <x:v>Delivered</x:v>
      </x:c>
      <x:c r="I215" s="12" t="n">
        <x:v>5</x:v>
      </x:c>
      <x:c r="J215" s="12" t="str">
        <x:f>IF(H215="Delivered",IF(I215&lt;=0,"Yes","No"),"Pending")</x:f>
        <x:v>No</x:v>
      </x:c>
      <x:c r="K215" s="12" t="str">
        <x:v>Cash</x:v>
      </x:c>
    </x:row>
    <x:row r="216">
      <x:c r="A216" s="12" t="str">
        <x:v>ORD-00215</x:v>
      </x:c>
      <x:c r="B216" s="12" t="str">
        <x:v>DLR-020</x:v>
      </x:c>
      <x:c r="C216" s="12" t="str">
        <x:v>Wuling HTA Long Biên</x:v>
      </x:c>
      <x:c r="D216" s="12" t="str">
        <x:v>Wuling</x:v>
      </x:c>
      <x:c r="E216" s="18" t="n">
        <x:v>46185</x:v>
      </x:c>
      <x:c r="F216" s="18" t="n">
        <x:v>46194</x:v>
      </x:c>
      <x:c r="G216" s="18" t="n">
        <x:v>46193</x:v>
      </x:c>
      <x:c r="H216" s="12" t="str">
        <x:v>Delivered</x:v>
      </x:c>
      <x:c r="I216" s="12" t="n">
        <x:v>-1</x:v>
      </x:c>
      <x:c r="J216" s="12" t="str">
        <x:f>IF(H216="Delivered",IF(I216&lt;=0,"Yes","No"),"Pending")</x:f>
        <x:v>Yes</x:v>
      </x:c>
      <x:c r="K216" s="12" t="str">
        <x:v>Bank Loan</x:v>
      </x:c>
    </x:row>
    <x:row r="217">
      <x:c r="A217" s="12" t="str">
        <x:v>ORD-00216</x:v>
      </x:c>
      <x:c r="B217" s="12" t="str">
        <x:v>DLR-006</x:v>
      </x:c>
      <x:c r="C217" s="12" t="str">
        <x:v>BYD HTA Hoàn Kiếm</x:v>
      </x:c>
      <x:c r="D217" s="12" t="str">
        <x:v>BYD</x:v>
      </x:c>
      <x:c r="E217" s="18" t="n">
        <x:v>46183</x:v>
      </x:c>
      <x:c r="F217" s="18" t="n">
        <x:v>46202</x:v>
      </x:c>
      <x:c r="G217" s="18" t="n">
        <x:v>46208</x:v>
      </x:c>
      <x:c r="H217" s="12" t="str">
        <x:v>Delivered</x:v>
      </x:c>
      <x:c r="I217" s="12" t="n">
        <x:v>6</x:v>
      </x:c>
      <x:c r="J217" s="12" t="str">
        <x:f>IF(H217="Delivered",IF(I217&lt;=0,"Yes","No"),"Pending")</x:f>
        <x:v>No</x:v>
      </x:c>
      <x:c r="K217" s="12" t="str">
        <x:v>Bank Loan</x:v>
      </x:c>
    </x:row>
    <x:row r="218">
      <x:c r="A218" s="12" t="str">
        <x:v>ORD-00217</x:v>
      </x:c>
      <x:c r="B218" s="12" t="str">
        <x:v>DLR-004</x:v>
      </x:c>
      <x:c r="C218" s="12" t="str">
        <x:v>Việt Trì Ford</x:v>
      </x:c>
      <x:c r="D218" s="12" t="str">
        <x:v>Ford</x:v>
      </x:c>
      <x:c r="E218" s="18" t="n">
        <x:v>46177</x:v>
      </x:c>
      <x:c r="F218" s="18" t="n">
        <x:v>46188</x:v>
      </x:c>
      <x:c r="G218" s="18" t="n">
        <x:v>46198</x:v>
      </x:c>
      <x:c r="H218" s="12" t="str">
        <x:v>Delivered</x:v>
      </x:c>
      <x:c r="I218" s="12" t="n">
        <x:v>10</x:v>
      </x:c>
      <x:c r="J218" s="12" t="str">
        <x:f>IF(H218="Delivered",IF(I218&lt;=0,"Yes","No"),"Pending")</x:f>
        <x:v>No</x:v>
      </x:c>
      <x:c r="K218" s="12" t="str">
        <x:v>Bank Loan</x:v>
      </x:c>
    </x:row>
    <x:row r="219">
      <x:c r="A219" s="12" t="str">
        <x:v>ORD-00218</x:v>
      </x:c>
      <x:c r="B219" s="12" t="str">
        <x:v>DLR-004</x:v>
      </x:c>
      <x:c r="C219" s="12" t="str">
        <x:v>Việt Trì Ford</x:v>
      </x:c>
      <x:c r="D219" s="12" t="str">
        <x:v>Ford</x:v>
      </x:c>
      <x:c r="E219" s="18" t="n">
        <x:v>46223</x:v>
      </x:c>
      <x:c r="F219" s="18" t="n">
        <x:v>46233</x:v>
      </x:c>
      <x:c r="G219" s="18" t="n">
        <x:v>46237</x:v>
      </x:c>
      <x:c r="H219" s="12" t="str">
        <x:v>Ready</x:v>
      </x:c>
      <x:c r="I219" s="12" t="n">
        <x:v>4</x:v>
      </x:c>
      <x:c r="J219" s="12" t="str">
        <x:f>IF(H219="Delivered",IF(I219&lt;=0,"Yes","No"),"Pending")</x:f>
        <x:v>Pending</x:v>
      </x:c>
      <x:c r="K219" s="12" t="str">
        <x:v>Bank Loan</x:v>
      </x:c>
    </x:row>
    <x:row r="220">
      <x:c r="A220" s="12" t="str">
        <x:v>ORD-00219</x:v>
      </x:c>
      <x:c r="B220" s="12" t="str">
        <x:v>DLR-007</x:v>
      </x:c>
      <x:c r="C220" s="12" t="str">
        <x:v>BYD Hà Đông</x:v>
      </x:c>
      <x:c r="D220" s="12" t="str">
        <x:v>BYD</x:v>
      </x:c>
      <x:c r="E220" s="18" t="n">
        <x:v>46221</x:v>
      </x:c>
      <x:c r="F220" s="18" t="n">
        <x:v>46231</x:v>
      </x:c>
      <x:c r="G220" s="18" t="n">
        <x:v>46236</x:v>
      </x:c>
      <x:c r="H220" s="12" t="str">
        <x:v>Ready</x:v>
      </x:c>
      <x:c r="I220" s="12" t="n">
        <x:v>5</x:v>
      </x:c>
      <x:c r="J220" s="12" t="str">
        <x:f>IF(H220="Delivered",IF(I220&lt;=0,"Yes","No"),"Pending")</x:f>
        <x:v>Pending</x:v>
      </x:c>
      <x:c r="K220" s="12" t="str">
        <x:v>Cash</x:v>
      </x:c>
    </x:row>
    <x:row r="221">
      <x:c r="A221" s="12" t="str">
        <x:v>ORD-00220</x:v>
      </x:c>
      <x:c r="B221" s="12" t="str">
        <x:v>DLR-018</x:v>
      </x:c>
      <x:c r="C221" s="12" t="str">
        <x:v>OMODA &amp; JAECOO HTA Nam Từ Liêm</x:v>
      </x:c>
      <x:c r="D221" s="12" t="str">
        <x:v>OMODA &amp; JAECOO</x:v>
      </x:c>
      <x:c r="E221" s="18" t="n">
        <x:v>46202</x:v>
      </x:c>
      <x:c r="F221" s="18" t="n">
        <x:v>46218</x:v>
      </x:c>
      <x:c r="G221" s="18" t="n">
        <x:v>46228</x:v>
      </x:c>
      <x:c r="H221" s="12" t="str">
        <x:v>In Transit</x:v>
      </x:c>
      <x:c r="I221" s="12" t="n">
        <x:v>10</x:v>
      </x:c>
      <x:c r="J221" s="12" t="str">
        <x:f>IF(H221="Delivered",IF(I221&lt;=0,"Yes","No"),"Pending")</x:f>
        <x:v>Pending</x:v>
      </x:c>
      <x:c r="K221" s="12" t="str">
        <x:v>Leasing</x:v>
      </x:c>
    </x:row>
    <x:row r="222">
      <x:c r="A222" s="12" t="str">
        <x:v>ORD-00221</x:v>
      </x:c>
      <x:c r="B222" s="12" t="str">
        <x:v>DLR-014</x:v>
      </x:c>
      <x:c r="C222" s="12" t="str">
        <x:v>VinFast HTA Nam Từ Liêm</x:v>
      </x:c>
      <x:c r="D222" s="12" t="str">
        <x:v>VinFast</x:v>
      </x:c>
      <x:c r="E222" s="18" t="n">
        <x:v>46200</x:v>
      </x:c>
      <x:c r="F222" s="18" t="n">
        <x:v>46214</x:v>
      </x:c>
      <x:c r="G222" s="18" t="n">
        <x:v>46221</x:v>
      </x:c>
      <x:c r="H222" s="12" t="str">
        <x:v>Delivered</x:v>
      </x:c>
      <x:c r="I222" s="12" t="n">
        <x:v>7</x:v>
      </x:c>
      <x:c r="J222" s="12" t="str">
        <x:f>IF(H222="Delivered",IF(I222&lt;=0,"Yes","No"),"Pending")</x:f>
        <x:v>No</x:v>
      </x:c>
      <x:c r="K222" s="12" t="str">
        <x:v>Cash</x:v>
      </x:c>
    </x:row>
    <x:row r="223">
      <x:c r="A223" s="12" t="str">
        <x:v>ORD-00222</x:v>
      </x:c>
      <x:c r="B223" s="12" t="str">
        <x:v>DLR-012</x:v>
      </x:c>
      <x:c r="C223" s="12" t="str">
        <x:v>VinFast HTA Võ Chí Công</x:v>
      </x:c>
      <x:c r="D223" s="12" t="str">
        <x:v>VinFast</x:v>
      </x:c>
      <x:c r="E223" s="18" t="n">
        <x:v>46200</x:v>
      </x:c>
      <x:c r="F223" s="18" t="n">
        <x:v>46209</x:v>
      </x:c>
      <x:c r="G223" s="18" t="n">
        <x:v>46211</x:v>
      </x:c>
      <x:c r="H223" s="12" t="str">
        <x:v>Delivered</x:v>
      </x:c>
      <x:c r="I223" s="12" t="n">
        <x:v>2</x:v>
      </x:c>
      <x:c r="J223" s="12" t="str">
        <x:f>IF(H223="Delivered",IF(I223&lt;=0,"Yes","No"),"Pending")</x:f>
        <x:v>No</x:v>
      </x:c>
      <x:c r="K223" s="12" t="str">
        <x:v>Cash</x:v>
      </x:c>
    </x:row>
    <x:row r="224">
      <x:c r="A224" s="12" t="str">
        <x:v>ORD-00223</x:v>
      </x:c>
      <x:c r="B224" s="12" t="str">
        <x:v>DLR-005</x:v>
      </x:c>
      <x:c r="C224" s="12" t="str">
        <x:v>BYD HTA Tây Hồ</x:v>
      </x:c>
      <x:c r="D224" s="12" t="str">
        <x:v>BYD</x:v>
      </x:c>
      <x:c r="E224" s="18" t="n">
        <x:v>46201</x:v>
      </x:c>
      <x:c r="F224" s="18" t="n">
        <x:v>46212</x:v>
      </x:c>
      <x:c r="G224" s="18" t="n">
        <x:v>46217</x:v>
      </x:c>
      <x:c r="H224" s="12" t="str">
        <x:v>Delivered</x:v>
      </x:c>
      <x:c r="I224" s="12" t="n">
        <x:v>5</x:v>
      </x:c>
      <x:c r="J224" s="12" t="str">
        <x:f>IF(H224="Delivered",IF(I224&lt;=0,"Yes","No"),"Pending")</x:f>
        <x:v>No</x:v>
      </x:c>
      <x:c r="K224" s="12" t="str">
        <x:v>Cash</x:v>
      </x:c>
    </x:row>
    <x:row r="225">
      <x:c r="A225" s="12" t="str">
        <x:v>ORD-00224</x:v>
      </x:c>
      <x:c r="B225" s="12" t="str">
        <x:v>DLR-017</x:v>
      </x:c>
      <x:c r="C225" s="12" t="str">
        <x:v>VinFast Quốc Oai</x:v>
      </x:c>
      <x:c r="D225" s="12" t="str">
        <x:v>VinFast</x:v>
      </x:c>
      <x:c r="E225" s="18" t="n">
        <x:v>46179</x:v>
      </x:c>
      <x:c r="F225" s="18" t="n">
        <x:v>46188</x:v>
      </x:c>
      <x:c r="G225" s="18" t="n">
        <x:v>46192</x:v>
      </x:c>
      <x:c r="H225" s="12" t="str">
        <x:v>Delivered</x:v>
      </x:c>
      <x:c r="I225" s="12" t="n">
        <x:v>4</x:v>
      </x:c>
      <x:c r="J225" s="12" t="str">
        <x:f>IF(H225="Delivered",IF(I225&lt;=0,"Yes","No"),"Pending")</x:f>
        <x:v>No</x:v>
      </x:c>
      <x:c r="K225" s="12" t="str">
        <x:v>Leasing</x:v>
      </x:c>
    </x:row>
    <x:row r="226">
      <x:c r="A226" s="12" t="str">
        <x:v>ORD-00225</x:v>
      </x:c>
      <x:c r="B226" s="12" t="str">
        <x:v>DLR-015</x:v>
      </x:c>
      <x:c r="C226" s="12" t="str">
        <x:v>VinFast HTA Văn Phú</x:v>
      </x:c>
      <x:c r="D226" s="12" t="str">
        <x:v>VinFast</x:v>
      </x:c>
      <x:c r="E226" s="18" t="n">
        <x:v>46182</x:v>
      </x:c>
      <x:c r="F226" s="18" t="n">
        <x:v>46200</x:v>
      </x:c>
      <x:c r="G226" s="18" t="n">
        <x:v>46201</x:v>
      </x:c>
      <x:c r="H226" s="12" t="str">
        <x:v>Delivered</x:v>
      </x:c>
      <x:c r="I226" s="12" t="n">
        <x:v>1</x:v>
      </x:c>
      <x:c r="J226" s="12" t="str">
        <x:f>IF(H226="Delivered",IF(I226&lt;=0,"Yes","No"),"Pending")</x:f>
        <x:v>No</x:v>
      </x:c>
      <x:c r="K226" s="12" t="str">
        <x:v>Bank Loan</x:v>
      </x:c>
    </x:row>
    <x:row r="227">
      <x:c r="A227" s="12" t="str">
        <x:v>ORD-00226</x:v>
      </x:c>
      <x:c r="B227" s="12" t="str">
        <x:v>DLR-018</x:v>
      </x:c>
      <x:c r="C227" s="12" t="str">
        <x:v>OMODA &amp; JAECOO HTA Nam Từ Liêm</x:v>
      </x:c>
      <x:c r="D227" s="12" t="str">
        <x:v>OMODA &amp; JAECOO</x:v>
      </x:c>
      <x:c r="E227" s="18" t="n">
        <x:v>46209</x:v>
      </x:c>
      <x:c r="F227" s="18" t="n">
        <x:v>46218</x:v>
      </x:c>
      <x:c r="G227" s="18" t="n">
        <x:v>46222</x:v>
      </x:c>
      <x:c r="H227" s="12" t="str">
        <x:v>Delivered</x:v>
      </x:c>
      <x:c r="I227" s="12" t="n">
        <x:v>4</x:v>
      </x:c>
      <x:c r="J227" s="12" t="str">
        <x:f>IF(H227="Delivered",IF(I227&lt;=0,"Yes","No"),"Pending")</x:f>
        <x:v>No</x:v>
      </x:c>
      <x:c r="K227" s="12" t="str">
        <x:v>Cash</x:v>
      </x:c>
    </x:row>
    <x:row r="228">
      <x:c r="A228" s="12" t="str">
        <x:v>ORD-00227</x:v>
      </x:c>
      <x:c r="B228" s="12" t="str">
        <x:v>DLR-006</x:v>
      </x:c>
      <x:c r="C228" s="12" t="str">
        <x:v>BYD HTA Hoàn Kiếm</x:v>
      </x:c>
      <x:c r="D228" s="12" t="str">
        <x:v>BYD</x:v>
      </x:c>
      <x:c r="E228" s="18" t="n">
        <x:v>46193</x:v>
      </x:c>
      <x:c r="F228" s="18" t="n">
        <x:v>46213</x:v>
      </x:c>
      <x:c r="G228" s="18" t="n">
        <x:v>46211</x:v>
      </x:c>
      <x:c r="H228" s="12" t="str">
        <x:v>Delivered</x:v>
      </x:c>
      <x:c r="I228" s="12" t="n">
        <x:v>-2</x:v>
      </x:c>
      <x:c r="J228" s="12" t="str">
        <x:f>IF(H228="Delivered",IF(I228&lt;=0,"Yes","No"),"Pending")</x:f>
        <x:v>Yes</x:v>
      </x:c>
      <x:c r="K228" s="12" t="str">
        <x:v>Cash</x:v>
      </x:c>
    </x:row>
    <x:row r="229">
      <x:c r="A229" s="12" t="str">
        <x:v>ORD-00228</x:v>
      </x:c>
      <x:c r="B229" s="12" t="str">
        <x:v>DLR-002</x:v>
      </x:c>
      <x:c r="C229" s="12" t="str">
        <x:v>Hà Thành Ford - Mỹ Đình</x:v>
      </x:c>
      <x:c r="D229" s="12" t="str">
        <x:v>Ford</x:v>
      </x:c>
      <x:c r="E229" s="18" t="n">
        <x:v>46206</x:v>
      </x:c>
      <x:c r="F229" s="18" t="n">
        <x:v>46211</x:v>
      </x:c>
      <x:c r="G229" s="18" t="n">
        <x:v>46217</x:v>
      </x:c>
      <x:c r="H229" s="12" t="str">
        <x:v>Delivered</x:v>
      </x:c>
      <x:c r="I229" s="12" t="n">
        <x:v>6</x:v>
      </x:c>
      <x:c r="J229" s="12" t="str">
        <x:f>IF(H229="Delivered",IF(I229&lt;=0,"Yes","No"),"Pending")</x:f>
        <x:v>No</x:v>
      </x:c>
      <x:c r="K229" s="12" t="str">
        <x:v>Cash</x:v>
      </x:c>
    </x:row>
    <x:row r="230">
      <x:c r="A230" s="12" t="str">
        <x:v>ORD-00229</x:v>
      </x:c>
      <x:c r="B230" s="12" t="str">
        <x:v>DLR-009</x:v>
      </x:c>
      <x:c r="C230" s="12" t="str">
        <x:v>VinFast HTA Đông Anh</x:v>
      </x:c>
      <x:c r="D230" s="12" t="str">
        <x:v>VinFast</x:v>
      </x:c>
      <x:c r="E230" s="18" t="n">
        <x:v>46184</x:v>
      </x:c>
      <x:c r="F230" s="18" t="n">
        <x:v>46190</x:v>
      </x:c>
      <x:c r="G230" s="18" t="n">
        <x:v>46200</x:v>
      </x:c>
      <x:c r="H230" s="12" t="str">
        <x:v>Delivered</x:v>
      </x:c>
      <x:c r="I230" s="12" t="n">
        <x:v>10</x:v>
      </x:c>
      <x:c r="J230" s="12" t="str">
        <x:f>IF(H230="Delivered",IF(I230&lt;=0,"Yes","No"),"Pending")</x:f>
        <x:v>No</x:v>
      </x:c>
      <x:c r="K230" s="12" t="str">
        <x:v>Cash</x:v>
      </x:c>
    </x:row>
    <x:row r="231">
      <x:c r="A231" s="12" t="str">
        <x:v>ORD-00230</x:v>
      </x:c>
      <x:c r="B231" s="12" t="str">
        <x:v>DLR-005</x:v>
      </x:c>
      <x:c r="C231" s="12" t="str">
        <x:v>BYD HTA Tây Hồ</x:v>
      </x:c>
      <x:c r="D231" s="12" t="str">
        <x:v>BYD</x:v>
      </x:c>
      <x:c r="E231" s="18" t="n">
        <x:v>46181</x:v>
      </x:c>
      <x:c r="F231" s="18" t="n">
        <x:v>46191</x:v>
      </x:c>
      <x:c r="G231" s="18" t="n">
        <x:v>46199</x:v>
      </x:c>
      <x:c r="H231" s="12" t="str">
        <x:v>Delivered</x:v>
      </x:c>
      <x:c r="I231" s="12" t="n">
        <x:v>8</x:v>
      </x:c>
      <x:c r="J231" s="12" t="str">
        <x:f>IF(H231="Delivered",IF(I231&lt;=0,"Yes","No"),"Pending")</x:f>
        <x:v>No</x:v>
      </x:c>
      <x:c r="K231" s="12" t="str">
        <x:v>Bank Loan</x:v>
      </x:c>
    </x:row>
    <x:row r="232">
      <x:c r="A232" s="12" t="str">
        <x:v>ORD-00231</x:v>
      </x:c>
      <x:c r="B232" s="12" t="str">
        <x:v>DLR-017</x:v>
      </x:c>
      <x:c r="C232" s="12" t="str">
        <x:v>VinFast Quốc Oai</x:v>
      </x:c>
      <x:c r="D232" s="12" t="str">
        <x:v>VinFast</x:v>
      </x:c>
      <x:c r="E232" s="18" t="n">
        <x:v>46208</x:v>
      </x:c>
      <x:c r="F232" s="18" t="n">
        <x:v>46213</x:v>
      </x:c>
      <x:c r="G232" s="18" t="n">
        <x:v>46210</x:v>
      </x:c>
      <x:c r="H232" s="12" t="str">
        <x:v>Delivered</x:v>
      </x:c>
      <x:c r="I232" s="12" t="n">
        <x:v>-3</x:v>
      </x:c>
      <x:c r="J232" s="12" t="str">
        <x:f>IF(H232="Delivered",IF(I232&lt;=0,"Yes","No"),"Pending")</x:f>
        <x:v>Yes</x:v>
      </x:c>
      <x:c r="K232" s="12" t="str">
        <x:v>Leasing</x:v>
      </x:c>
    </x:row>
    <x:row r="233">
      <x:c r="A233" s="12" t="str">
        <x:v>ORD-00232</x:v>
      </x:c>
      <x:c r="B233" s="12" t="str">
        <x:v>DLR-006</x:v>
      </x:c>
      <x:c r="C233" s="12" t="str">
        <x:v>BYD HTA Hoàn Kiếm</x:v>
      </x:c>
      <x:c r="D233" s="12" t="str">
        <x:v>BYD</x:v>
      </x:c>
      <x:c r="E233" s="18" t="n">
        <x:v>46179</x:v>
      </x:c>
      <x:c r="F233" s="18" t="n">
        <x:v>46191</x:v>
      </x:c>
      <x:c r="G233" s="18" t="n">
        <x:v>46199</x:v>
      </x:c>
      <x:c r="H233" s="12" t="str">
        <x:v>Delivered</x:v>
      </x:c>
      <x:c r="I233" s="12" t="n">
        <x:v>8</x:v>
      </x:c>
      <x:c r="J233" s="12" t="str">
        <x:f>IF(H233="Delivered",IF(I233&lt;=0,"Yes","No"),"Pending")</x:f>
        <x:v>No</x:v>
      </x:c>
      <x:c r="K233" s="12" t="str">
        <x:v>Bank Loan</x:v>
      </x:c>
    </x:row>
    <x:row r="234">
      <x:c r="A234" s="12" t="str">
        <x:v>ORD-00233</x:v>
      </x:c>
      <x:c r="B234" s="12" t="str">
        <x:v>DLR-011</x:v>
      </x:c>
      <x:c r="C234" s="12" t="str">
        <x:v>VinFast HTA Phạm Văn Đồng</x:v>
      </x:c>
      <x:c r="D234" s="12" t="str">
        <x:v>VinFast</x:v>
      </x:c>
      <x:c r="E234" s="18" t="n">
        <x:v>46210</x:v>
      </x:c>
      <x:c r="F234" s="18" t="n">
        <x:v>46227</x:v>
      </x:c>
      <x:c r="G234" s="18" t="n">
        <x:v>46236</x:v>
      </x:c>
      <x:c r="H234" s="12" t="str">
        <x:v>In Transit</x:v>
      </x:c>
      <x:c r="I234" s="12" t="n">
        <x:v>9</x:v>
      </x:c>
      <x:c r="J234" s="12" t="str">
        <x:f>IF(H234="Delivered",IF(I234&lt;=0,"Yes","No"),"Pending")</x:f>
        <x:v>Pending</x:v>
      </x:c>
      <x:c r="K234" s="12" t="str">
        <x:v>Leasing</x:v>
      </x:c>
    </x:row>
    <x:row r="235">
      <x:c r="A235" s="12" t="str">
        <x:v>ORD-00234</x:v>
      </x:c>
      <x:c r="B235" s="12" t="str">
        <x:v>DLR-007</x:v>
      </x:c>
      <x:c r="C235" s="12" t="str">
        <x:v>BYD Hà Đông</x:v>
      </x:c>
      <x:c r="D235" s="12" t="str">
        <x:v>BYD</x:v>
      </x:c>
      <x:c r="E235" s="18" t="n">
        <x:v>46200</x:v>
      </x:c>
      <x:c r="F235" s="18" t="n">
        <x:v>46215</x:v>
      </x:c>
      <x:c r="G235" s="18" t="n">
        <x:v>46214</x:v>
      </x:c>
      <x:c r="H235" s="12" t="str">
        <x:v>Delivered</x:v>
      </x:c>
      <x:c r="I235" s="12" t="n">
        <x:v>-1</x:v>
      </x:c>
      <x:c r="J235" s="12" t="str">
        <x:f>IF(H235="Delivered",IF(I235&lt;=0,"Yes","No"),"Pending")</x:f>
        <x:v>Yes</x:v>
      </x:c>
      <x:c r="K235" s="12" t="str">
        <x:v>Cash</x:v>
      </x:c>
    </x:row>
    <x:row r="236">
      <x:c r="A236" s="12" t="str">
        <x:v>ORD-00235</x:v>
      </x:c>
      <x:c r="B236" s="12" t="str">
        <x:v>DLR-001</x:v>
      </x:c>
      <x:c r="C236" s="12" t="str">
        <x:v>Hà Thành Ford</x:v>
      </x:c>
      <x:c r="D236" s="12" t="str">
        <x:v>Ford</x:v>
      </x:c>
      <x:c r="E236" s="18" t="n">
        <x:v>46188</x:v>
      </x:c>
      <x:c r="F236" s="18" t="n">
        <x:v>46194</x:v>
      </x:c>
      <x:c r="G236" s="18" t="n">
        <x:v>46193</x:v>
      </x:c>
      <x:c r="H236" s="12" t="str">
        <x:v>Delivered</x:v>
      </x:c>
      <x:c r="I236" s="12" t="n">
        <x:v>-1</x:v>
      </x:c>
      <x:c r="J236" s="12" t="str">
        <x:f>IF(H236="Delivered",IF(I236&lt;=0,"Yes","No"),"Pending")</x:f>
        <x:v>Yes</x:v>
      </x:c>
      <x:c r="K236" s="12" t="str">
        <x:v>Leasing</x:v>
      </x:c>
    </x:row>
    <x:row r="237">
      <x:c r="A237" s="12" t="str">
        <x:v>ORD-00236</x:v>
      </x:c>
      <x:c r="B237" s="12" t="str">
        <x:v>DLR-006</x:v>
      </x:c>
      <x:c r="C237" s="12" t="str">
        <x:v>BYD HTA Hoàn Kiếm</x:v>
      </x:c>
      <x:c r="D237" s="12" t="str">
        <x:v>BYD</x:v>
      </x:c>
      <x:c r="E237" s="18" t="n">
        <x:v>46188</x:v>
      </x:c>
      <x:c r="F237" s="18" t="n">
        <x:v>46199</x:v>
      </x:c>
      <x:c r="G237" s="18" t="n">
        <x:v>46202</x:v>
      </x:c>
      <x:c r="H237" s="12" t="str">
        <x:v>Delivered</x:v>
      </x:c>
      <x:c r="I237" s="12" t="n">
        <x:v>3</x:v>
      </x:c>
      <x:c r="J237" s="12" t="str">
        <x:f>IF(H237="Delivered",IF(I237&lt;=0,"Yes","No"),"Pending")</x:f>
        <x:v>No</x:v>
      </x:c>
      <x:c r="K237" s="12" t="str">
        <x:v>Leasing</x:v>
      </x:c>
    </x:row>
    <x:row r="238">
      <x:c r="A238" s="12" t="str">
        <x:v>ORD-00237</x:v>
      </x:c>
      <x:c r="B238" s="12" t="str">
        <x:v>DLR-012</x:v>
      </x:c>
      <x:c r="C238" s="12" t="str">
        <x:v>VinFast HTA Võ Chí Công</x:v>
      </x:c>
      <x:c r="D238" s="12" t="str">
        <x:v>VinFast</x:v>
      </x:c>
      <x:c r="E238" s="18" t="n">
        <x:v>46187</x:v>
      </x:c>
      <x:c r="F238" s="18" t="n">
        <x:v>46196</x:v>
      </x:c>
      <x:c r="G238" s="18" t="n">
        <x:v>46193</x:v>
      </x:c>
      <x:c r="H238" s="12" t="str">
        <x:v>Delivered</x:v>
      </x:c>
      <x:c r="I238" s="12" t="n">
        <x:v>-3</x:v>
      </x:c>
      <x:c r="J238" s="12" t="str">
        <x:f>IF(H238="Delivered",IF(I238&lt;=0,"Yes","No"),"Pending")</x:f>
        <x:v>Yes</x:v>
      </x:c>
      <x:c r="K238" s="12" t="str">
        <x:v>Cash</x:v>
      </x:c>
    </x:row>
    <x:row r="239">
      <x:c r="A239" s="12" t="str">
        <x:v>ORD-00238</x:v>
      </x:c>
      <x:c r="B239" s="12" t="str">
        <x:v>DLR-013</x:v>
      </x:c>
      <x:c r="C239" s="12" t="str">
        <x:v>VinFast HTA Ninh Bình</x:v>
      </x:c>
      <x:c r="D239" s="12" t="str">
        <x:v>VinFast</x:v>
      </x:c>
      <x:c r="E239" s="18" t="n">
        <x:v>46198</x:v>
      </x:c>
      <x:c r="F239" s="18" t="n">
        <x:v>46210</x:v>
      </x:c>
      <x:c r="G239" s="18" t="n">
        <x:v>46219</x:v>
      </x:c>
      <x:c r="H239" s="12" t="str">
        <x:v>Delivered</x:v>
      </x:c>
      <x:c r="I239" s="12" t="n">
        <x:v>9</x:v>
      </x:c>
      <x:c r="J239" s="12" t="str">
        <x:f>IF(H239="Delivered",IF(I239&lt;=0,"Yes","No"),"Pending")</x:f>
        <x:v>No</x:v>
      </x:c>
      <x:c r="K239" s="12" t="str">
        <x:v>Leasing</x:v>
      </x:c>
    </x:row>
    <x:row r="240">
      <x:c r="A240" s="12" t="str">
        <x:v>ORD-00239</x:v>
      </x:c>
      <x:c r="B240" s="12" t="str">
        <x:v>DLR-016</x:v>
      </x:c>
      <x:c r="C240" s="12" t="str">
        <x:v>VinFast HTA Mỹ Đình</x:v>
      </x:c>
      <x:c r="D240" s="12" t="str">
        <x:v>VinFast</x:v>
      </x:c>
      <x:c r="E240" s="18" t="n">
        <x:v>46222</x:v>
      </x:c>
      <x:c r="F240" s="18" t="n">
        <x:v>46229</x:v>
      </x:c>
      <x:c r="G240" s="18" t="n">
        <x:v>46234</x:v>
      </x:c>
      <x:c r="H240" s="12" t="str">
        <x:v>Awaiting Registration</x:v>
      </x:c>
      <x:c r="I240" s="12" t="n">
        <x:v>5</x:v>
      </x:c>
      <x:c r="J240" s="12" t="str">
        <x:f>IF(H240="Delivered",IF(I240&lt;=0,"Yes","No"),"Pending")</x:f>
        <x:v>Pending</x:v>
      </x:c>
      <x:c r="K240" s="12" t="str">
        <x:v>Bank Loan</x:v>
      </x:c>
    </x:row>
    <x:row r="241">
      <x:c r="A241" s="12" t="str">
        <x:v>ORD-00240</x:v>
      </x:c>
      <x:c r="B241" s="12" t="str">
        <x:v>DLR-010</x:v>
      </x:c>
      <x:c r="C241" s="12" t="str">
        <x:v>VinFast HTA Đàm Quang Trung</x:v>
      </x:c>
      <x:c r="D241" s="12" t="str">
        <x:v>VinFast</x:v>
      </x:c>
      <x:c r="E241" s="18" t="n">
        <x:v>46205</x:v>
      </x:c>
      <x:c r="F241" s="18" t="n">
        <x:v>46211</x:v>
      </x:c>
      <x:c r="G241" s="18" t="n">
        <x:v>46213</x:v>
      </x:c>
      <x:c r="H241" s="12" t="str">
        <x:v>Delivered</x:v>
      </x:c>
      <x:c r="I241" s="12" t="n">
        <x:v>2</x:v>
      </x:c>
      <x:c r="J241" s="12" t="str">
        <x:f>IF(H241="Delivered",IF(I241&lt;=0,"Yes","No"),"Pending")</x:f>
        <x:v>No</x:v>
      </x:c>
      <x:c r="K241" s="12" t="str">
        <x:v>Bank Loan</x:v>
      </x:c>
    </x:row>
  </x:sheetData>
  <x:pageMargins left="0.7" right="0.7" top="0.75" bottom="0.75" header="0.3" footer="0.3"/>
  <x:tableParts count="1">
    <x:tablePart xmlns:r="http://schemas.openxmlformats.org/officeDocument/2006/relationships" r:id="Rcbabaad7ad19418a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3" hidden="0" customWidth="1"/>
    <x:col min="4" max="4" width="34" hidden="0" customWidth="1"/>
    <x:col min="5" max="5" width="20" hidden="0" customWidth="1"/>
    <x:col min="6" max="6" width="19" hidden="0" customWidth="1"/>
    <x:col min="7" max="7" width="20" hidden="0" customWidth="1"/>
    <x:col min="8" max="8" width="17" hidden="0" customWidth="1"/>
    <x:col min="9" max="9" width="16" hidden="0" customWidth="1"/>
    <x:col min="10" max="10" width="22" hidden="0" customWidth="1"/>
    <x:col min="11" max="11" width="22" hidden="0" customWidth="1"/>
    <x:col min="12" max="12" width="16" hidden="0" customWidth="1"/>
  </x:cols>
  <x:sheetData>
    <x:row r="1">
      <x:c r="A1" s="29" t="str">
        <x:v>Giao dịch</x:v>
      </x:c>
      <x:c r="B1" s="29" t="str">
        <x:v>Ngày</x:v>
      </x:c>
      <x:c r="C1" s="29" t="str">
        <x:v>Mã đại lý</x:v>
      </x:c>
      <x:c r="D1" s="29" t="str">
        <x:v>Đại lý</x:v>
      </x:c>
      <x:c r="E1" s="29" t="str">
        <x:v>Thương hiệu</x:v>
      </x:c>
      <x:c r="F1" s="29" t="str">
        <x:v>Giá niêm yết (tỷ)</x:v>
      </x:c>
      <x:c r="G1" s="29" t="str">
        <x:v>Chiết khấu thực tế</x:v>
      </x:c>
      <x:c r="H1" s="29" t="str">
        <x:v>Trần phê duyệt</x:v>
      </x:c>
      <x:c r="I1" s="29" t="str">
        <x:v>Giá bán (tỷ)</x:v>
      </x:c>
      <x:c r="J1" s="29" t="str">
        <x:v>Discount leakage (tỷ)</x:v>
      </x:c>
      <x:c r="K1" s="29" t="str">
        <x:v>Cấp phê duyệt</x:v>
      </x:c>
      <x:c r="L1" s="29" t="str">
        <x:v>Cờ kiểm soát</x:v>
      </x:c>
    </x:row>
    <x:row r="2">
      <x:c r="A2" s="12" t="str">
        <x:v>PRC-00001</x:v>
      </x:c>
      <x:c r="B2" s="18" t="n">
        <x:v>46204</x:v>
      </x:c>
      <x:c r="C2" s="12" t="str">
        <x:v>DLR-001</x:v>
      </x:c>
      <x:c r="D2" s="12" t="str">
        <x:v>Hà Thành Ford</x:v>
      </x:c>
      <x:c r="E2" s="12" t="str">
        <x:v>Ford</x:v>
      </x:c>
      <x:c r="F2" s="12" t="n">
        <x:v>0.422</x:v>
      </x:c>
      <x:c r="G2" s="34" t="n">
        <x:v>0.05201043471626196</x:v>
      </x:c>
      <x:c r="H2" s="34" t="n">
        <x:v>0.04</x:v>
      </x:c>
      <x:c r="I2" s="12" t="n">
        <x:v>0.4</x:v>
      </x:c>
      <x:c r="J2" s="12" t="n">
        <x:v>0.0051</x:v>
      </x:c>
      <x:c r="K2" s="12" t="str">
        <x:v>Brand Director</x:v>
      </x:c>
      <x:c r="L2" s="12" t="str">
        <x:f>IF(G2&gt;H2,"BREACH","OK")</x:f>
        <x:v>BREACH</x:v>
      </x:c>
    </x:row>
    <x:row r="3">
      <x:c r="A3" s="12" t="str">
        <x:v>PRC-00002</x:v>
      </x:c>
      <x:c r="B3" s="18" t="n">
        <x:v>46212</x:v>
      </x:c>
      <x:c r="C3" s="12" t="str">
        <x:v>DLR-017</x:v>
      </x:c>
      <x:c r="D3" s="12" t="str">
        <x:v>VinFast Quốc Oai</x:v>
      </x:c>
      <x:c r="E3" s="12" t="str">
        <x:v>VinFast</x:v>
      </x:c>
      <x:c r="F3" s="12" t="n">
        <x:v>1.587</x:v>
      </x:c>
      <x:c r="G3" s="34" t="n">
        <x:v>0.06411060913517728</x:v>
      </x:c>
      <x:c r="H3" s="34" t="n">
        <x:v>0.05</x:v>
      </x:c>
      <x:c r="I3" s="12" t="n">
        <x:v>1.486</x:v>
      </x:c>
      <x:c r="J3" s="12" t="n">
        <x:v>0.0224</x:v>
      </x:c>
      <x:c r="K3" s="12" t="str">
        <x:v>Dealer Manager</x:v>
      </x:c>
      <x:c r="L3" s="12" t="str">
        <x:f>IF(G3&gt;H3,"BREACH","OK")</x:f>
        <x:v>BREACH</x:v>
      </x:c>
    </x:row>
    <x:row r="4">
      <x:c r="A4" s="12" t="str">
        <x:v>PRC-00003</x:v>
      </x:c>
      <x:c r="B4" s="18" t="n">
        <x:v>46221</x:v>
      </x:c>
      <x:c r="C4" s="12" t="str">
        <x:v>DLR-003</x:v>
      </x:c>
      <x:c r="D4" s="12" t="str">
        <x:v>Mỹ Đình Ford</x:v>
      </x:c>
      <x:c r="E4" s="12" t="str">
        <x:v>Ford</x:v>
      </x:c>
      <x:c r="F4" s="12" t="n">
        <x:v>1.456</x:v>
      </x:c>
      <x:c r="G4" s="34" t="n">
        <x:v>0.03252557480948766</x:v>
      </x:c>
      <x:c r="H4" s="34" t="n">
        <x:v>0.045</x:v>
      </x:c>
      <x:c r="I4" s="12" t="n">
        <x:v>1.408</x:v>
      </x:c>
      <x:c r="J4" s="12" t="n">
        <x:v>0</x:v>
      </x:c>
      <x:c r="K4" s="12" t="str">
        <x:v>Dealer Manager</x:v>
      </x:c>
      <x:c r="L4" s="12" t="str">
        <x:f>IF(G4&gt;H4,"BREACH","OK")</x:f>
        <x:v>OK</x:v>
      </x:c>
    </x:row>
    <x:row r="5">
      <x:c r="A5" s="12" t="str">
        <x:v>PRC-00004</x:v>
      </x:c>
      <x:c r="B5" s="18" t="n">
        <x:v>46217</x:v>
      </x:c>
      <x:c r="C5" s="12" t="str">
        <x:v>DLR-010</x:v>
      </x:c>
      <x:c r="D5" s="12" t="str">
        <x:v>VinFast HTA Đàm Quang Trung</x:v>
      </x:c>
      <x:c r="E5" s="12" t="str">
        <x:v>VinFast</x:v>
      </x:c>
      <x:c r="F5" s="12" t="n">
        <x:v>0.829</x:v>
      </x:c>
      <x:c r="G5" s="34" t="n">
        <x:v>0.06027646531616589</x:v>
      </x:c>
      <x:c r="H5" s="34" t="n">
        <x:v>0.05</x:v>
      </x:c>
      <x:c r="I5" s="12" t="n">
        <x:v>0.779</x:v>
      </x:c>
      <x:c r="J5" s="12" t="n">
        <x:v>0.0085</x:v>
      </x:c>
      <x:c r="K5" s="12" t="str">
        <x:v>Commercial Director</x:v>
      </x:c>
      <x:c r="L5" s="12" t="str">
        <x:f>IF(G5&gt;H5,"BREACH","OK")</x:f>
        <x:v>BREACH</x:v>
      </x:c>
    </x:row>
    <x:row r="6">
      <x:c r="A6" s="12" t="str">
        <x:v>PRC-00005</x:v>
      </x:c>
      <x:c r="B6" s="18" t="n">
        <x:v>46210</x:v>
      </x:c>
      <x:c r="C6" s="12" t="str">
        <x:v>DLR-010</x:v>
      </x:c>
      <x:c r="D6" s="12" t="str">
        <x:v>VinFast HTA Đàm Quang Trung</x:v>
      </x:c>
      <x:c r="E6" s="12" t="str">
        <x:v>VinFast</x:v>
      </x:c>
      <x:c r="F6" s="12" t="n">
        <x:v>0.936</x:v>
      </x:c>
      <x:c r="G6" s="34" t="n">
        <x:v>0.02815147858298931</x:v>
      </x:c>
      <x:c r="H6" s="34" t="n">
        <x:v>0.05</x:v>
      </x:c>
      <x:c r="I6" s="12" t="n">
        <x:v>0.91</x:v>
      </x:c>
      <x:c r="J6" s="12" t="n">
        <x:v>0</x:v>
      </x:c>
      <x:c r="K6" s="12" t="str">
        <x:v>Dealer Manager</x:v>
      </x:c>
      <x:c r="L6" s="12" t="str">
        <x:f>IF(G6&gt;H6,"BREACH","OK")</x:f>
        <x:v>OK</x:v>
      </x:c>
    </x:row>
    <x:row r="7">
      <x:c r="A7" s="12" t="str">
        <x:v>PRC-00006</x:v>
      </x:c>
      <x:c r="B7" s="18" t="n">
        <x:v>46208</x:v>
      </x:c>
      <x:c r="C7" s="12" t="str">
        <x:v>DLR-003</x:v>
      </x:c>
      <x:c r="D7" s="12" t="str">
        <x:v>Mỹ Đình Ford</x:v>
      </x:c>
      <x:c r="E7" s="12" t="str">
        <x:v>Ford</x:v>
      </x:c>
      <x:c r="F7" s="12" t="n">
        <x:v>1.641</x:v>
      </x:c>
      <x:c r="G7" s="34" t="n">
        <x:v>0.041064610197600146</x:v>
      </x:c>
      <x:c r="H7" s="34" t="n">
        <x:v>0.04</x:v>
      </x:c>
      <x:c r="I7" s="12" t="n">
        <x:v>1.574</x:v>
      </x:c>
      <x:c r="J7" s="12" t="n">
        <x:v>0.0017</x:v>
      </x:c>
      <x:c r="K7" s="12" t="str">
        <x:v>Commercial Director</x:v>
      </x:c>
      <x:c r="L7" s="12" t="str">
        <x:f>IF(G7&gt;H7,"BREACH","OK")</x:f>
        <x:v>BREACH</x:v>
      </x:c>
    </x:row>
    <x:row r="8">
      <x:c r="A8" s="12" t="str">
        <x:v>PRC-00007</x:v>
      </x:c>
      <x:c r="B8" s="18" t="n">
        <x:v>46205</x:v>
      </x:c>
      <x:c r="C8" s="12" t="str">
        <x:v>DLR-007</x:v>
      </x:c>
      <x:c r="D8" s="12" t="str">
        <x:v>BYD Hà Đông</x:v>
      </x:c>
      <x:c r="E8" s="12" t="str">
        <x:v>BYD</x:v>
      </x:c>
      <x:c r="F8" s="12" t="n">
        <x:v>0.705</x:v>
      </x:c>
      <x:c r="G8" s="34" t="n">
        <x:v>0.0634763584489287</x:v>
      </x:c>
      <x:c r="H8" s="34" t="n">
        <x:v>0.03</x:v>
      </x:c>
      <x:c r="I8" s="12" t="n">
        <x:v>0.661</x:v>
      </x:c>
      <x:c r="J8" s="12" t="n">
        <x:v>0.0236</x:v>
      </x:c>
      <x:c r="K8" s="12" t="str">
        <x:v>Commercial Director</x:v>
      </x:c>
      <x:c r="L8" s="12" t="str">
        <x:f>IF(G8&gt;H8,"BREACH","OK")</x:f>
        <x:v>BREACH</x:v>
      </x:c>
    </x:row>
    <x:row r="9">
      <x:c r="A9" s="12" t="str">
        <x:v>PRC-00008</x:v>
      </x:c>
      <x:c r="B9" s="18" t="n">
        <x:v>46212</x:v>
      </x:c>
      <x:c r="C9" s="12" t="str">
        <x:v>DLR-002</x:v>
      </x:c>
      <x:c r="D9" s="12" t="str">
        <x:v>Hà Thành Ford - Mỹ Đình</x:v>
      </x:c>
      <x:c r="E9" s="12" t="str">
        <x:v>Ford</x:v>
      </x:c>
      <x:c r="F9" s="12" t="n">
        <x:v>1.591</x:v>
      </x:c>
      <x:c r="G9" s="34" t="n">
        <x:v>0.021619615083590712</x:v>
      </x:c>
      <x:c r="H9" s="34" t="n">
        <x:v>0.04</x:v>
      </x:c>
      <x:c r="I9" s="12" t="n">
        <x:v>1.557</x:v>
      </x:c>
      <x:c r="J9" s="12" t="n">
        <x:v>0</x:v>
      </x:c>
      <x:c r="K9" s="12" t="str">
        <x:v>Commercial Director</x:v>
      </x:c>
      <x:c r="L9" s="12" t="str">
        <x:f>IF(G9&gt;H9,"BREACH","OK")</x:f>
        <x:v>OK</x:v>
      </x:c>
    </x:row>
    <x:row r="10">
      <x:c r="A10" s="12" t="str">
        <x:v>PRC-00009</x:v>
      </x:c>
      <x:c r="B10" s="18" t="n">
        <x:v>46206</x:v>
      </x:c>
      <x:c r="C10" s="12" t="str">
        <x:v>DLR-017</x:v>
      </x:c>
      <x:c r="D10" s="12" t="str">
        <x:v>VinFast Quốc Oai</x:v>
      </x:c>
      <x:c r="E10" s="12" t="str">
        <x:v>VinFast</x:v>
      </x:c>
      <x:c r="F10" s="12" t="n">
        <x:v>1.441</x:v>
      </x:c>
      <x:c r="G10" s="34" t="n">
        <x:v>0.06420702400301637</x:v>
      </x:c>
      <x:c r="H10" s="34" t="n">
        <x:v>0.03</x:v>
      </x:c>
      <x:c r="I10" s="12" t="n">
        <x:v>1.348</x:v>
      </x:c>
      <x:c r="J10" s="12" t="n">
        <x:v>0.0493</x:v>
      </x:c>
      <x:c r="K10" s="12" t="str">
        <x:v>Commercial Director</x:v>
      </x:c>
      <x:c r="L10" s="12" t="str">
        <x:f>IF(G10&gt;H10,"BREACH","OK")</x:f>
        <x:v>BREACH</x:v>
      </x:c>
    </x:row>
    <x:row r="11">
      <x:c r="A11" s="12" t="str">
        <x:v>PRC-00010</x:v>
      </x:c>
      <x:c r="B11" s="18" t="n">
        <x:v>46223</x:v>
      </x:c>
      <x:c r="C11" s="12" t="str">
        <x:v>DLR-015</x:v>
      </x:c>
      <x:c r="D11" s="12" t="str">
        <x:v>VinFast HTA Văn Phú</x:v>
      </x:c>
      <x:c r="E11" s="12" t="str">
        <x:v>VinFast</x:v>
      </x:c>
      <x:c r="F11" s="12" t="n">
        <x:v>1.209</x:v>
      </x:c>
      <x:c r="G11" s="34" t="n">
        <x:v>0.05730125219602542</x:v>
      </x:c>
      <x:c r="H11" s="34" t="n">
        <x:v>0.05</x:v>
      </x:c>
      <x:c r="I11" s="12" t="n">
        <x:v>1.14</x:v>
      </x:c>
      <x:c r="J11" s="12" t="n">
        <x:v>0.0088</x:v>
      </x:c>
      <x:c r="K11" s="12" t="str">
        <x:v>Dealer Manager</x:v>
      </x:c>
      <x:c r="L11" s="12" t="str">
        <x:f>IF(G11&gt;H11,"BREACH","OK")</x:f>
        <x:v>BREACH</x:v>
      </x:c>
    </x:row>
    <x:row r="12">
      <x:c r="A12" s="12" t="str">
        <x:v>PRC-00011</x:v>
      </x:c>
      <x:c r="B12" s="18" t="n">
        <x:v>46211</x:v>
      </x:c>
      <x:c r="C12" s="12" t="str">
        <x:v>DLR-018</x:v>
      </x:c>
      <x:c r="D12" s="12" t="str">
        <x:v>OMODA &amp; JAECOO HTA Nam Từ Liêm</x:v>
      </x:c>
      <x:c r="E12" s="12" t="str">
        <x:v>OMODA &amp; JAECOO</x:v>
      </x:c>
      <x:c r="F12" s="12" t="n">
        <x:v>1.093</x:v>
      </x:c>
      <x:c r="G12" s="34" t="n">
        <x:v>0.017621781973751423</x:v>
      </x:c>
      <x:c r="H12" s="34" t="n">
        <x:v>0.045</x:v>
      </x:c>
      <x:c r="I12" s="12" t="n">
        <x:v>1.073</x:v>
      </x:c>
      <x:c r="J12" s="12" t="n">
        <x:v>0</x:v>
      </x:c>
      <x:c r="K12" s="12" t="str">
        <x:v>Brand Director</x:v>
      </x:c>
      <x:c r="L12" s="12" t="str">
        <x:f>IF(G12&gt;H12,"BREACH","OK")</x:f>
        <x:v>OK</x:v>
      </x:c>
    </x:row>
    <x:row r="13">
      <x:c r="A13" s="12" t="str">
        <x:v>PRC-00012</x:v>
      </x:c>
      <x:c r="B13" s="18" t="n">
        <x:v>46214</x:v>
      </x:c>
      <x:c r="C13" s="12" t="str">
        <x:v>DLR-012</x:v>
      </x:c>
      <x:c r="D13" s="12" t="str">
        <x:v>VinFast HTA Võ Chí Công</x:v>
      </x:c>
      <x:c r="E13" s="12" t="str">
        <x:v>VinFast</x:v>
      </x:c>
      <x:c r="F13" s="12" t="n">
        <x:v>0.686</x:v>
      </x:c>
      <x:c r="G13" s="34" t="n">
        <x:v>0.06742268849383715</x:v>
      </x:c>
      <x:c r="H13" s="34" t="n">
        <x:v>0.045</x:v>
      </x:c>
      <x:c r="I13" s="12" t="n">
        <x:v>0.639</x:v>
      </x:c>
      <x:c r="J13" s="12" t="n">
        <x:v>0.0154</x:v>
      </x:c>
      <x:c r="K13" s="12" t="str">
        <x:v>Dealer Manager</x:v>
      </x:c>
      <x:c r="L13" s="12" t="str">
        <x:f>IF(G13&gt;H13,"BREACH","OK")</x:f>
        <x:v>BREACH</x:v>
      </x:c>
    </x:row>
    <x:row r="14">
      <x:c r="A14" s="12" t="str">
        <x:v>PRC-00013</x:v>
      </x:c>
      <x:c r="B14" s="18" t="n">
        <x:v>46224</x:v>
      </x:c>
      <x:c r="C14" s="12" t="str">
        <x:v>DLR-006</x:v>
      </x:c>
      <x:c r="D14" s="12" t="str">
        <x:v>BYD HTA Hoàn Kiếm</x:v>
      </x:c>
      <x:c r="E14" s="12" t="str">
        <x:v>BYD</x:v>
      </x:c>
      <x:c r="F14" s="12" t="n">
        <x:v>1.695</x:v>
      </x:c>
      <x:c r="G14" s="34" t="n">
        <x:v>0.056209789789178004</x:v>
      </x:c>
      <x:c r="H14" s="34" t="n">
        <x:v>0.045</x:v>
      </x:c>
      <x:c r="I14" s="12" t="n">
        <x:v>1.6</x:v>
      </x:c>
      <x:c r="J14" s="12" t="n">
        <x:v>0.019</x:v>
      </x:c>
      <x:c r="K14" s="12" t="str">
        <x:v>Commercial Director</x:v>
      </x:c>
      <x:c r="L14" s="12" t="str">
        <x:f>IF(G14&gt;H14,"BREACH","OK")</x:f>
        <x:v>BREACH</x:v>
      </x:c>
    </x:row>
    <x:row r="15">
      <x:c r="A15" s="12" t="str">
        <x:v>PRC-00014</x:v>
      </x:c>
      <x:c r="B15" s="18" t="n">
        <x:v>46215</x:v>
      </x:c>
      <x:c r="C15" s="12" t="str">
        <x:v>DLR-005</x:v>
      </x:c>
      <x:c r="D15" s="12" t="str">
        <x:v>BYD HTA Tây Hồ</x:v>
      </x:c>
      <x:c r="E15" s="12" t="str">
        <x:v>BYD</x:v>
      </x:c>
      <x:c r="F15" s="12" t="n">
        <x:v>1.422</x:v>
      </x:c>
      <x:c r="G15" s="34" t="n">
        <x:v>0.019349599338847834</x:v>
      </x:c>
      <x:c r="H15" s="34" t="n">
        <x:v>0.03</x:v>
      </x:c>
      <x:c r="I15" s="12" t="n">
        <x:v>1.395</x:v>
      </x:c>
      <x:c r="J15" s="12" t="n">
        <x:v>0</x:v>
      </x:c>
      <x:c r="K15" s="12" t="str">
        <x:v>Dealer Manager</x:v>
      </x:c>
      <x:c r="L15" s="12" t="str">
        <x:f>IF(G15&gt;H15,"BREACH","OK")</x:f>
        <x:v>OK</x:v>
      </x:c>
    </x:row>
    <x:row r="16">
      <x:c r="A16" s="12" t="str">
        <x:v>PRC-00015</x:v>
      </x:c>
      <x:c r="B16" s="18" t="n">
        <x:v>46207</x:v>
      </x:c>
      <x:c r="C16" s="12" t="str">
        <x:v>DLR-008</x:v>
      </x:c>
      <x:c r="D16" s="12" t="str">
        <x:v>VinFast HTA Nguyễn Văn Linh</x:v>
      </x:c>
      <x:c r="E16" s="12" t="str">
        <x:v>VinFast</x:v>
      </x:c>
      <x:c r="F16" s="12" t="n">
        <x:v>0.831</x:v>
      </x:c>
      <x:c r="G16" s="34" t="n">
        <x:v>0.05716240820490499</x:v>
      </x:c>
      <x:c r="H16" s="34" t="n">
        <x:v>0.04</x:v>
      </x:c>
      <x:c r="I16" s="12" t="n">
        <x:v>0.783</x:v>
      </x:c>
      <x:c r="J16" s="12" t="n">
        <x:v>0.0143</x:v>
      </x:c>
      <x:c r="K16" s="12" t="str">
        <x:v>Dealer Manager</x:v>
      </x:c>
      <x:c r="L16" s="12" t="str">
        <x:f>IF(G16&gt;H16,"BREACH","OK")</x:f>
        <x:v>BREACH</x:v>
      </x:c>
    </x:row>
    <x:row r="17">
      <x:c r="A17" s="12" t="str">
        <x:v>PRC-00016</x:v>
      </x:c>
      <x:c r="B17" s="18" t="n">
        <x:v>46212</x:v>
      </x:c>
      <x:c r="C17" s="12" t="str">
        <x:v>DLR-002</x:v>
      </x:c>
      <x:c r="D17" s="12" t="str">
        <x:v>Hà Thành Ford - Mỹ Đình</x:v>
      </x:c>
      <x:c r="E17" s="12" t="str">
        <x:v>Ford</x:v>
      </x:c>
      <x:c r="F17" s="12" t="n">
        <x:v>1.301</x:v>
      </x:c>
      <x:c r="G17" s="34" t="n">
        <x:v>0.015199449090765154</x:v>
      </x:c>
      <x:c r="H17" s="34" t="n">
        <x:v>0.05</x:v>
      </x:c>
      <x:c r="I17" s="12" t="n">
        <x:v>1.281</x:v>
      </x:c>
      <x:c r="J17" s="12" t="n">
        <x:v>0</x:v>
      </x:c>
      <x:c r="K17" s="12" t="str">
        <x:v>Brand Director</x:v>
      </x:c>
      <x:c r="L17" s="12" t="str">
        <x:f>IF(G17&gt;H17,"BREACH","OK")</x:f>
        <x:v>OK</x:v>
      </x:c>
    </x:row>
    <x:row r="18">
      <x:c r="A18" s="12" t="str">
        <x:v>PRC-00017</x:v>
      </x:c>
      <x:c r="B18" s="18" t="n">
        <x:v>46208</x:v>
      </x:c>
      <x:c r="C18" s="12" t="str">
        <x:v>DLR-003</x:v>
      </x:c>
      <x:c r="D18" s="12" t="str">
        <x:v>Mỹ Đình Ford</x:v>
      </x:c>
      <x:c r="E18" s="12" t="str">
        <x:v>Ford</x:v>
      </x:c>
      <x:c r="F18" s="12" t="n">
        <x:v>1.619</x:v>
      </x:c>
      <x:c r="G18" s="34" t="n">
        <x:v>0.05383502312655741</x:v>
      </x:c>
      <x:c r="H18" s="34" t="n">
        <x:v>0.03</x:v>
      </x:c>
      <x:c r="I18" s="12" t="n">
        <x:v>1.532</x:v>
      </x:c>
      <x:c r="J18" s="12" t="n">
        <x:v>0.0386</x:v>
      </x:c>
      <x:c r="K18" s="12" t="str">
        <x:v>Commercial Director</x:v>
      </x:c>
      <x:c r="L18" s="12" t="str">
        <x:f>IF(G18&gt;H18,"BREACH","OK")</x:f>
        <x:v>BREACH</x:v>
      </x:c>
    </x:row>
    <x:row r="19">
      <x:c r="A19" s="12" t="str">
        <x:v>PRC-00018</x:v>
      </x:c>
      <x:c r="B19" s="18" t="n">
        <x:v>46222</x:v>
      </x:c>
      <x:c r="C19" s="12" t="str">
        <x:v>DLR-016</x:v>
      </x:c>
      <x:c r="D19" s="12" t="str">
        <x:v>VinFast HTA Mỹ Đình</x:v>
      </x:c>
      <x:c r="E19" s="12" t="str">
        <x:v>VinFast</x:v>
      </x:c>
      <x:c r="F19" s="12" t="n">
        <x:v>0.419</x:v>
      </x:c>
      <x:c r="G19" s="34" t="n">
        <x:v>0.04380062012361332</x:v>
      </x:c>
      <x:c r="H19" s="34" t="n">
        <x:v>0.03</x:v>
      </x:c>
      <x:c r="I19" s="12" t="n">
        <x:v>0.4</x:v>
      </x:c>
      <x:c r="J19" s="12" t="n">
        <x:v>0.0058</x:v>
      </x:c>
      <x:c r="K19" s="12" t="str">
        <x:v>Commercial Director</x:v>
      </x:c>
      <x:c r="L19" s="12" t="str">
        <x:f>IF(G19&gt;H19,"BREACH","OK")</x:f>
        <x:v>BREACH</x:v>
      </x:c>
    </x:row>
    <x:row r="20">
      <x:c r="A20" s="12" t="str">
        <x:v>PRC-00019</x:v>
      </x:c>
      <x:c r="B20" s="18" t="n">
        <x:v>46212</x:v>
      </x:c>
      <x:c r="C20" s="12" t="str">
        <x:v>DLR-013</x:v>
      </x:c>
      <x:c r="D20" s="12" t="str">
        <x:v>VinFast HTA Ninh Bình</x:v>
      </x:c>
      <x:c r="E20" s="12" t="str">
        <x:v>VinFast</x:v>
      </x:c>
      <x:c r="F20" s="12" t="n">
        <x:v>0.451</x:v>
      </x:c>
      <x:c r="G20" s="34" t="n">
        <x:v>0.014758147242782384</x:v>
      </x:c>
      <x:c r="H20" s="34" t="n">
        <x:v>0.05</x:v>
      </x:c>
      <x:c r="I20" s="12" t="n">
        <x:v>0.445</x:v>
      </x:c>
      <x:c r="J20" s="12" t="n">
        <x:v>0</x:v>
      </x:c>
      <x:c r="K20" s="12" t="str">
        <x:v>Brand Director</x:v>
      </x:c>
      <x:c r="L20" s="12" t="str">
        <x:f>IF(G20&gt;H20,"BREACH","OK")</x:f>
        <x:v>OK</x:v>
      </x:c>
    </x:row>
    <x:row r="21">
      <x:c r="A21" s="12" t="str">
        <x:v>PRC-00020</x:v>
      </x:c>
      <x:c r="B21" s="18" t="n">
        <x:v>46218</x:v>
      </x:c>
      <x:c r="C21" s="12" t="str">
        <x:v>DLR-013</x:v>
      </x:c>
      <x:c r="D21" s="12" t="str">
        <x:v>VinFast HTA Ninh Bình</x:v>
      </x:c>
      <x:c r="E21" s="12" t="str">
        <x:v>VinFast</x:v>
      </x:c>
      <x:c r="F21" s="12" t="n">
        <x:v>0.672</x:v>
      </x:c>
      <x:c r="G21" s="34" t="n">
        <x:v>0.07538971365922818</x:v>
      </x:c>
      <x:c r="H21" s="34" t="n">
        <x:v>0.04</x:v>
      </x:c>
      <x:c r="I21" s="12" t="n">
        <x:v>0.622</x:v>
      </x:c>
      <x:c r="J21" s="12" t="n">
        <x:v>0.0238</x:v>
      </x:c>
      <x:c r="K21" s="12" t="str">
        <x:v>Dealer Manager</x:v>
      </x:c>
      <x:c r="L21" s="12" t="str">
        <x:f>IF(G21&gt;H21,"BREACH","OK")</x:f>
        <x:v>BREACH</x:v>
      </x:c>
    </x:row>
    <x:row r="22">
      <x:c r="A22" s="12" t="str">
        <x:v>PRC-00021</x:v>
      </x:c>
      <x:c r="B22" s="18" t="n">
        <x:v>46219</x:v>
      </x:c>
      <x:c r="C22" s="12" t="str">
        <x:v>DLR-005</x:v>
      </x:c>
      <x:c r="D22" s="12" t="str">
        <x:v>BYD HTA Tây Hồ</x:v>
      </x:c>
      <x:c r="E22" s="12" t="str">
        <x:v>BYD</x:v>
      </x:c>
      <x:c r="F22" s="12" t="n">
        <x:v>1.244</x:v>
      </x:c>
      <x:c r="G22" s="34" t="n">
        <x:v>0.058734867016747724</x:v>
      </x:c>
      <x:c r="H22" s="34" t="n">
        <x:v>0.03</x:v>
      </x:c>
      <x:c r="I22" s="12" t="n">
        <x:v>1.171</x:v>
      </x:c>
      <x:c r="J22" s="12" t="n">
        <x:v>0.0357</x:v>
      </x:c>
      <x:c r="K22" s="12" t="str">
        <x:v>Dealer Manager</x:v>
      </x:c>
      <x:c r="L22" s="12" t="str">
        <x:f>IF(G22&gt;H22,"BREACH","OK")</x:f>
        <x:v>BREACH</x:v>
      </x:c>
    </x:row>
    <x:row r="23">
      <x:c r="A23" s="12" t="str">
        <x:v>PRC-00022</x:v>
      </x:c>
      <x:c r="B23" s="18" t="n">
        <x:v>46216</x:v>
      </x:c>
      <x:c r="C23" s="12" t="str">
        <x:v>DLR-020</x:v>
      </x:c>
      <x:c r="D23" s="12" t="str">
        <x:v>Wuling HTA Long Biên</x:v>
      </x:c>
      <x:c r="E23" s="12" t="str">
        <x:v>Wuling</x:v>
      </x:c>
      <x:c r="F23" s="12" t="n">
        <x:v>0.375</x:v>
      </x:c>
      <x:c r="G23" s="34" t="n">
        <x:v>0.06280773200831304</x:v>
      </x:c>
      <x:c r="H23" s="34" t="n">
        <x:v>0.04</x:v>
      </x:c>
      <x:c r="I23" s="12" t="n">
        <x:v>0.351</x:v>
      </x:c>
      <x:c r="J23" s="12" t="n">
        <x:v>0.0085</x:v>
      </x:c>
      <x:c r="K23" s="12" t="str">
        <x:v>Commercial Director</x:v>
      </x:c>
      <x:c r="L23" s="12" t="str">
        <x:f>IF(G23&gt;H23,"BREACH","OK")</x:f>
        <x:v>BREACH</x:v>
      </x:c>
    </x:row>
    <x:row r="24">
      <x:c r="A24" s="12" t="str">
        <x:v>PRC-00023</x:v>
      </x:c>
      <x:c r="B24" s="18" t="n">
        <x:v>46209</x:v>
      </x:c>
      <x:c r="C24" s="12" t="str">
        <x:v>DLR-008</x:v>
      </x:c>
      <x:c r="D24" s="12" t="str">
        <x:v>VinFast HTA Nguyễn Văn Linh</x:v>
      </x:c>
      <x:c r="E24" s="12" t="str">
        <x:v>VinFast</x:v>
      </x:c>
      <x:c r="F24" s="12" t="n">
        <x:v>1.596</x:v>
      </x:c>
      <x:c r="G24" s="34" t="n">
        <x:v>0.07699465195478503</x:v>
      </x:c>
      <x:c r="H24" s="34" t="n">
        <x:v>0.045</x:v>
      </x:c>
      <x:c r="I24" s="12" t="n">
        <x:v>1.473</x:v>
      </x:c>
      <x:c r="J24" s="12" t="n">
        <x:v>0.0511</x:v>
      </x:c>
      <x:c r="K24" s="12" t="str">
        <x:v>Commercial Director</x:v>
      </x:c>
      <x:c r="L24" s="12" t="str">
        <x:f>IF(G24&gt;H24,"BREACH","OK")</x:f>
        <x:v>BREACH</x:v>
      </x:c>
    </x:row>
    <x:row r="25">
      <x:c r="A25" s="12" t="str">
        <x:v>PRC-00024</x:v>
      </x:c>
      <x:c r="B25" s="18" t="n">
        <x:v>46210</x:v>
      </x:c>
      <x:c r="C25" s="12" t="str">
        <x:v>DLR-012</x:v>
      </x:c>
      <x:c r="D25" s="12" t="str">
        <x:v>VinFast HTA Võ Chí Công</x:v>
      </x:c>
      <x:c r="E25" s="12" t="str">
        <x:v>VinFast</x:v>
      </x:c>
      <x:c r="F25" s="12" t="n">
        <x:v>1.031</x:v>
      </x:c>
      <x:c r="G25" s="34" t="n">
        <x:v>0.0276280853507984</x:v>
      </x:c>
      <x:c r="H25" s="34" t="n">
        <x:v>0.04</x:v>
      </x:c>
      <x:c r="I25" s="12" t="n">
        <x:v>1.002</x:v>
      </x:c>
      <x:c r="J25" s="12" t="n">
        <x:v>0</x:v>
      </x:c>
      <x:c r="K25" s="12" t="str">
        <x:v>Brand Director</x:v>
      </x:c>
      <x:c r="L25" s="12" t="str">
        <x:f>IF(G25&gt;H25,"BREACH","OK")</x:f>
        <x:v>OK</x:v>
      </x:c>
    </x:row>
    <x:row r="26">
      <x:c r="A26" s="12" t="str">
        <x:v>PRC-00025</x:v>
      </x:c>
      <x:c r="B26" s="18" t="n">
        <x:v>46215</x:v>
      </x:c>
      <x:c r="C26" s="12" t="str">
        <x:v>DLR-017</x:v>
      </x:c>
      <x:c r="D26" s="12" t="str">
        <x:v>VinFast Quốc Oai</x:v>
      </x:c>
      <x:c r="E26" s="12" t="str">
        <x:v>VinFast</x:v>
      </x:c>
      <x:c r="F26" s="12" t="n">
        <x:v>1.65</x:v>
      </x:c>
      <x:c r="G26" s="34" t="n">
        <x:v>0.014099649873718163</x:v>
      </x:c>
      <x:c r="H26" s="34" t="n">
        <x:v>0.05</x:v>
      </x:c>
      <x:c r="I26" s="12" t="n">
        <x:v>1.627</x:v>
      </x:c>
      <x:c r="J26" s="12" t="n">
        <x:v>0</x:v>
      </x:c>
      <x:c r="K26" s="12" t="str">
        <x:v>Brand Director</x:v>
      </x:c>
      <x:c r="L26" s="12" t="str">
        <x:f>IF(G26&gt;H26,"BREACH","OK")</x:f>
        <x:v>OK</x:v>
      </x:c>
    </x:row>
    <x:row r="27">
      <x:c r="A27" s="12" t="str">
        <x:v>PRC-00026</x:v>
      </x:c>
      <x:c r="B27" s="18" t="n">
        <x:v>46213</x:v>
      </x:c>
      <x:c r="C27" s="12" t="str">
        <x:v>DLR-001</x:v>
      </x:c>
      <x:c r="D27" s="12" t="str">
        <x:v>Hà Thành Ford</x:v>
      </x:c>
      <x:c r="E27" s="12" t="str">
        <x:v>Ford</x:v>
      </x:c>
      <x:c r="F27" s="12" t="n">
        <x:v>0.82</x:v>
      </x:c>
      <x:c r="G27" s="34" t="n">
        <x:v>0.02773273868627596</x:v>
      </x:c>
      <x:c r="H27" s="34" t="n">
        <x:v>0.04</x:v>
      </x:c>
      <x:c r="I27" s="12" t="n">
        <x:v>0.797</x:v>
      </x:c>
      <x:c r="J27" s="12" t="n">
        <x:v>0</x:v>
      </x:c>
      <x:c r="K27" s="12" t="str">
        <x:v>Brand Director</x:v>
      </x:c>
      <x:c r="L27" s="12" t="str">
        <x:f>IF(G27&gt;H27,"BREACH","OK")</x:f>
        <x:v>OK</x:v>
      </x:c>
    </x:row>
    <x:row r="28">
      <x:c r="A28" s="12" t="str">
        <x:v>PRC-00027</x:v>
      </x:c>
      <x:c r="B28" s="18" t="n">
        <x:v>46221</x:v>
      </x:c>
      <x:c r="C28" s="12" t="str">
        <x:v>DLR-011</x:v>
      </x:c>
      <x:c r="D28" s="12" t="str">
        <x:v>VinFast HTA Phạm Văn Đồng</x:v>
      </x:c>
      <x:c r="E28" s="12" t="str">
        <x:v>VinFast</x:v>
      </x:c>
      <x:c r="F28" s="12" t="n">
        <x:v>0.539</x:v>
      </x:c>
      <x:c r="G28" s="34" t="n">
        <x:v>0.06134166205901642</x:v>
      </x:c>
      <x:c r="H28" s="34" t="n">
        <x:v>0.05</x:v>
      </x:c>
      <x:c r="I28" s="12" t="n">
        <x:v>0.506</x:v>
      </x:c>
      <x:c r="J28" s="12" t="n">
        <x:v>0.0061</x:v>
      </x:c>
      <x:c r="K28" s="12" t="str">
        <x:v>Dealer Manager</x:v>
      </x:c>
      <x:c r="L28" s="12" t="str">
        <x:f>IF(G28&gt;H28,"BREACH","OK")</x:f>
        <x:v>BREACH</x:v>
      </x:c>
    </x:row>
    <x:row r="29">
      <x:c r="A29" s="12" t="str">
        <x:v>PRC-00028</x:v>
      </x:c>
      <x:c r="B29" s="18" t="n">
        <x:v>46216</x:v>
      </x:c>
      <x:c r="C29" s="12" t="str">
        <x:v>DLR-019</x:v>
      </x:c>
      <x:c r="D29" s="12" t="str">
        <x:v>OMODA &amp; JAECOO HTA Việt Trì</x:v>
      </x:c>
      <x:c r="E29" s="12" t="str">
        <x:v>OMODA &amp; JAECOO</x:v>
      </x:c>
      <x:c r="F29" s="12" t="n">
        <x:v>1.288</x:v>
      </x:c>
      <x:c r="G29" s="34" t="n">
        <x:v>0.0380173437936094</x:v>
      </x:c>
      <x:c r="H29" s="34" t="n">
        <x:v>0.05</x:v>
      </x:c>
      <x:c r="I29" s="12" t="n">
        <x:v>1.239</x:v>
      </x:c>
      <x:c r="J29" s="12" t="n">
        <x:v>0</x:v>
      </x:c>
      <x:c r="K29" s="12" t="str">
        <x:v>Dealer Manager</x:v>
      </x:c>
      <x:c r="L29" s="12" t="str">
        <x:f>IF(G29&gt;H29,"BREACH","OK")</x:f>
        <x:v>OK</x:v>
      </x:c>
    </x:row>
    <x:row r="30">
      <x:c r="A30" s="12" t="str">
        <x:v>PRC-00029</x:v>
      </x:c>
      <x:c r="B30" s="18" t="n">
        <x:v>46213</x:v>
      </x:c>
      <x:c r="C30" s="12" t="str">
        <x:v>DLR-004</x:v>
      </x:c>
      <x:c r="D30" s="12" t="str">
        <x:v>Việt Trì Ford</x:v>
      </x:c>
      <x:c r="E30" s="12" t="str">
        <x:v>Ford</x:v>
      </x:c>
      <x:c r="F30" s="12" t="n">
        <x:v>0.62</x:v>
      </x:c>
      <x:c r="G30" s="34" t="n">
        <x:v>0.030678460141923533</x:v>
      </x:c>
      <x:c r="H30" s="34" t="n">
        <x:v>0.03</x:v>
      </x:c>
      <x:c r="I30" s="12" t="n">
        <x:v>0.601</x:v>
      </x:c>
      <x:c r="J30" s="12" t="n">
        <x:v>0.0004</x:v>
      </x:c>
      <x:c r="K30" s="12" t="str">
        <x:v>Brand Director</x:v>
      </x:c>
      <x:c r="L30" s="12" t="str">
        <x:f>IF(G30&gt;H30,"BREACH","OK")</x:f>
        <x:v>BREACH</x:v>
      </x:c>
    </x:row>
    <x:row r="31">
      <x:c r="A31" s="12" t="str">
        <x:v>PRC-00030</x:v>
      </x:c>
      <x:c r="B31" s="18" t="n">
        <x:v>46216</x:v>
      </x:c>
      <x:c r="C31" s="12" t="str">
        <x:v>DLR-008</x:v>
      </x:c>
      <x:c r="D31" s="12" t="str">
        <x:v>VinFast HTA Nguyễn Văn Linh</x:v>
      </x:c>
      <x:c r="E31" s="12" t="str">
        <x:v>VinFast</x:v>
      </x:c>
      <x:c r="F31" s="12" t="n">
        <x:v>0.667</x:v>
      </x:c>
      <x:c r="G31" s="34" t="n">
        <x:v>0.023025838009101053</x:v>
      </x:c>
      <x:c r="H31" s="34" t="n">
        <x:v>0.03</x:v>
      </x:c>
      <x:c r="I31" s="12" t="n">
        <x:v>0.651</x:v>
      </x:c>
      <x:c r="J31" s="12" t="n">
        <x:v>0</x:v>
      </x:c>
      <x:c r="K31" s="12" t="str">
        <x:v>Brand Director</x:v>
      </x:c>
      <x:c r="L31" s="12" t="str">
        <x:f>IF(G31&gt;H31,"BREACH","OK")</x:f>
        <x:v>OK</x:v>
      </x:c>
    </x:row>
    <x:row r="32">
      <x:c r="A32" s="12" t="str">
        <x:v>PRC-00031</x:v>
      </x:c>
      <x:c r="B32" s="18" t="n">
        <x:v>46208</x:v>
      </x:c>
      <x:c r="C32" s="12" t="str">
        <x:v>DLR-010</x:v>
      </x:c>
      <x:c r="D32" s="12" t="str">
        <x:v>VinFast HTA Đàm Quang Trung</x:v>
      </x:c>
      <x:c r="E32" s="12" t="str">
        <x:v>VinFast</x:v>
      </x:c>
      <x:c r="F32" s="12" t="n">
        <x:v>0.554</x:v>
      </x:c>
      <x:c r="G32" s="34" t="n">
        <x:v>0.05893455330413757</x:v>
      </x:c>
      <x:c r="H32" s="34" t="n">
        <x:v>0.045</x:v>
      </x:c>
      <x:c r="I32" s="12" t="n">
        <x:v>0.521</x:v>
      </x:c>
      <x:c r="J32" s="12" t="n">
        <x:v>0.0077</x:v>
      </x:c>
      <x:c r="K32" s="12" t="str">
        <x:v>Brand Director</x:v>
      </x:c>
      <x:c r="L32" s="12" t="str">
        <x:f>IF(G32&gt;H32,"BREACH","OK")</x:f>
        <x:v>BREACH</x:v>
      </x:c>
    </x:row>
    <x:row r="33">
      <x:c r="A33" s="12" t="str">
        <x:v>PRC-00032</x:v>
      </x:c>
      <x:c r="B33" s="18" t="n">
        <x:v>46215</x:v>
      </x:c>
      <x:c r="C33" s="12" t="str">
        <x:v>DLR-010</x:v>
      </x:c>
      <x:c r="D33" s="12" t="str">
        <x:v>VinFast HTA Đàm Quang Trung</x:v>
      </x:c>
      <x:c r="E33" s="12" t="str">
        <x:v>VinFast</x:v>
      </x:c>
      <x:c r="F33" s="12" t="n">
        <x:v>0.778</x:v>
      </x:c>
      <x:c r="G33" s="34" t="n">
        <x:v>0.013462354878880128</x:v>
      </x:c>
      <x:c r="H33" s="34" t="n">
        <x:v>0.04</x:v>
      </x:c>
      <x:c r="I33" s="12" t="n">
        <x:v>0.768</x:v>
      </x:c>
      <x:c r="J33" s="12" t="n">
        <x:v>0</x:v>
      </x:c>
      <x:c r="K33" s="12" t="str">
        <x:v>Dealer Manager</x:v>
      </x:c>
      <x:c r="L33" s="12" t="str">
        <x:f>IF(G33&gt;H33,"BREACH","OK")</x:f>
        <x:v>OK</x:v>
      </x:c>
    </x:row>
    <x:row r="34">
      <x:c r="A34" s="12" t="str">
        <x:v>PRC-00033</x:v>
      </x:c>
      <x:c r="B34" s="18" t="n">
        <x:v>46219</x:v>
      </x:c>
      <x:c r="C34" s="12" t="str">
        <x:v>DLR-016</x:v>
      </x:c>
      <x:c r="D34" s="12" t="str">
        <x:v>VinFast HTA Mỹ Đình</x:v>
      </x:c>
      <x:c r="E34" s="12" t="str">
        <x:v>VinFast</x:v>
      </x:c>
      <x:c r="F34" s="12" t="n">
        <x:v>0.544</x:v>
      </x:c>
      <x:c r="G34" s="34" t="n">
        <x:v>0.03124969632236975</x:v>
      </x:c>
      <x:c r="H34" s="34" t="n">
        <x:v>0.03</x:v>
      </x:c>
      <x:c r="I34" s="12" t="n">
        <x:v>0.527</x:v>
      </x:c>
      <x:c r="J34" s="12" t="n">
        <x:v>0.0007</x:v>
      </x:c>
      <x:c r="K34" s="12" t="str">
        <x:v>Dealer Manager</x:v>
      </x:c>
      <x:c r="L34" s="12" t="str">
        <x:f>IF(G34&gt;H34,"BREACH","OK")</x:f>
        <x:v>BREACH</x:v>
      </x:c>
    </x:row>
    <x:row r="35">
      <x:c r="A35" s="12" t="str">
        <x:v>PRC-00034</x:v>
      </x:c>
      <x:c r="B35" s="18" t="n">
        <x:v>46223</x:v>
      </x:c>
      <x:c r="C35" s="12" t="str">
        <x:v>DLR-004</x:v>
      </x:c>
      <x:c r="D35" s="12" t="str">
        <x:v>Việt Trì Ford</x:v>
      </x:c>
      <x:c r="E35" s="12" t="str">
        <x:v>Ford</x:v>
      </x:c>
      <x:c r="F35" s="12" t="n">
        <x:v>1.501</x:v>
      </x:c>
      <x:c r="G35" s="34" t="n">
        <x:v>0.017228826097936398</x:v>
      </x:c>
      <x:c r="H35" s="34" t="n">
        <x:v>0.045</x:v>
      </x:c>
      <x:c r="I35" s="12" t="n">
        <x:v>1.475</x:v>
      </x:c>
      <x:c r="J35" s="12" t="n">
        <x:v>0</x:v>
      </x:c>
      <x:c r="K35" s="12" t="str">
        <x:v>Brand Director</x:v>
      </x:c>
      <x:c r="L35" s="12" t="str">
        <x:f>IF(G35&gt;H35,"BREACH","OK")</x:f>
        <x:v>OK</x:v>
      </x:c>
    </x:row>
    <x:row r="36">
      <x:c r="A36" s="12" t="str">
        <x:v>PRC-00035</x:v>
      </x:c>
      <x:c r="B36" s="18" t="n">
        <x:v>46212</x:v>
      </x:c>
      <x:c r="C36" s="12" t="str">
        <x:v>DLR-011</x:v>
      </x:c>
      <x:c r="D36" s="12" t="str">
        <x:v>VinFast HTA Phạm Văn Đồng</x:v>
      </x:c>
      <x:c r="E36" s="12" t="str">
        <x:v>VinFast</x:v>
      </x:c>
      <x:c r="F36" s="12" t="n">
        <x:v>0.976</x:v>
      </x:c>
      <x:c r="G36" s="34" t="n">
        <x:v>0.05812778913065485</x:v>
      </x:c>
      <x:c r="H36" s="34" t="n">
        <x:v>0.045</x:v>
      </x:c>
      <x:c r="I36" s="12" t="n">
        <x:v>0.919</x:v>
      </x:c>
      <x:c r="J36" s="12" t="n">
        <x:v>0.0128</x:v>
      </x:c>
      <x:c r="K36" s="12" t="str">
        <x:v>Dealer Manager</x:v>
      </x:c>
      <x:c r="L36" s="12" t="str">
        <x:f>IF(G36&gt;H36,"BREACH","OK")</x:f>
        <x:v>BREACH</x:v>
      </x:c>
    </x:row>
    <x:row r="37">
      <x:c r="A37" s="12" t="str">
        <x:v>PRC-00036</x:v>
      </x:c>
      <x:c r="B37" s="18" t="n">
        <x:v>46216</x:v>
      </x:c>
      <x:c r="C37" s="12" t="str">
        <x:v>DLR-009</x:v>
      </x:c>
      <x:c r="D37" s="12" t="str">
        <x:v>VinFast HTA Đông Anh</x:v>
      </x:c>
      <x:c r="E37" s="12" t="str">
        <x:v>VinFast</x:v>
      </x:c>
      <x:c r="F37" s="12" t="n">
        <x:v>1.402</x:v>
      </x:c>
      <x:c r="G37" s="34" t="n">
        <x:v>0.015343200212225159</x:v>
      </x:c>
      <x:c r="H37" s="34" t="n">
        <x:v>0.045</x:v>
      </x:c>
      <x:c r="I37" s="12" t="n">
        <x:v>1.38</x:v>
      </x:c>
      <x:c r="J37" s="12" t="n">
        <x:v>0</x:v>
      </x:c>
      <x:c r="K37" s="12" t="str">
        <x:v>Commercial Director</x:v>
      </x:c>
      <x:c r="L37" s="12" t="str">
        <x:f>IF(G37&gt;H37,"BREACH","OK")</x:f>
        <x:v>OK</x:v>
      </x:c>
    </x:row>
    <x:row r="38">
      <x:c r="A38" s="12" t="str">
        <x:v>PRC-00037</x:v>
      </x:c>
      <x:c r="B38" s="18" t="n">
        <x:v>46206</x:v>
      </x:c>
      <x:c r="C38" s="12" t="str">
        <x:v>DLR-020</x:v>
      </x:c>
      <x:c r="D38" s="12" t="str">
        <x:v>Wuling HTA Long Biên</x:v>
      </x:c>
      <x:c r="E38" s="12" t="str">
        <x:v>Wuling</x:v>
      </x:c>
      <x:c r="F38" s="12" t="n">
        <x:v>0.833</x:v>
      </x:c>
      <x:c r="G38" s="34" t="n">
        <x:v>0.022351639048464718</x:v>
      </x:c>
      <x:c r="H38" s="34" t="n">
        <x:v>0.04</x:v>
      </x:c>
      <x:c r="I38" s="12" t="n">
        <x:v>0.815</x:v>
      </x:c>
      <x:c r="J38" s="12" t="n">
        <x:v>0</x:v>
      </x:c>
      <x:c r="K38" s="12" t="str">
        <x:v>Brand Director</x:v>
      </x:c>
      <x:c r="L38" s="12" t="str">
        <x:f>IF(G38&gt;H38,"BREACH","OK")</x:f>
        <x:v>OK</x:v>
      </x:c>
    </x:row>
    <x:row r="39">
      <x:c r="A39" s="12" t="str">
        <x:v>PRC-00038</x:v>
      </x:c>
      <x:c r="B39" s="18" t="n">
        <x:v>46224</x:v>
      </x:c>
      <x:c r="C39" s="12" t="str">
        <x:v>DLR-016</x:v>
      </x:c>
      <x:c r="D39" s="12" t="str">
        <x:v>VinFast HTA Mỹ Đình</x:v>
      </x:c>
      <x:c r="E39" s="12" t="str">
        <x:v>VinFast</x:v>
      </x:c>
      <x:c r="F39" s="12" t="n">
        <x:v>1.581</x:v>
      </x:c>
      <x:c r="G39" s="34" t="n">
        <x:v>0.038124405864246744</x:v>
      </x:c>
      <x:c r="H39" s="34" t="n">
        <x:v>0.045</x:v>
      </x:c>
      <x:c r="I39" s="12" t="n">
        <x:v>1.52</x:v>
      </x:c>
      <x:c r="J39" s="12" t="n">
        <x:v>0</x:v>
      </x:c>
      <x:c r="K39" s="12" t="str">
        <x:v>Brand Director</x:v>
      </x:c>
      <x:c r="L39" s="12" t="str">
        <x:f>IF(G39&gt;H39,"BREACH","OK")</x:f>
        <x:v>OK</x:v>
      </x:c>
    </x:row>
    <x:row r="40">
      <x:c r="A40" s="12" t="str">
        <x:v>PRC-00039</x:v>
      </x:c>
      <x:c r="B40" s="18" t="n">
        <x:v>46217</x:v>
      </x:c>
      <x:c r="C40" s="12" t="str">
        <x:v>DLR-016</x:v>
      </x:c>
      <x:c r="D40" s="12" t="str">
        <x:v>VinFast HTA Mỹ Đình</x:v>
      </x:c>
      <x:c r="E40" s="12" t="str">
        <x:v>VinFast</x:v>
      </x:c>
      <x:c r="F40" s="12" t="n">
        <x:v>0.345</x:v>
      </x:c>
      <x:c r="G40" s="34" t="n">
        <x:v>0.016995658975223035</x:v>
      </x:c>
      <x:c r="H40" s="34" t="n">
        <x:v>0.045</x:v>
      </x:c>
      <x:c r="I40" s="12" t="n">
        <x:v>0.339</x:v>
      </x:c>
      <x:c r="J40" s="12" t="n">
        <x:v>0</x:v>
      </x:c>
      <x:c r="K40" s="12" t="str">
        <x:v>Dealer Manager</x:v>
      </x:c>
      <x:c r="L40" s="12" t="str">
        <x:f>IF(G40&gt;H40,"BREACH","OK")</x:f>
        <x:v>OK</x:v>
      </x:c>
    </x:row>
    <x:row r="41">
      <x:c r="A41" s="12" t="str">
        <x:v>PRC-00040</x:v>
      </x:c>
      <x:c r="B41" s="18" t="n">
        <x:v>46206</x:v>
      </x:c>
      <x:c r="C41" s="12" t="str">
        <x:v>DLR-010</x:v>
      </x:c>
      <x:c r="D41" s="12" t="str">
        <x:v>VinFast HTA Đàm Quang Trung</x:v>
      </x:c>
      <x:c r="E41" s="12" t="str">
        <x:v>VinFast</x:v>
      </x:c>
      <x:c r="F41" s="12" t="n">
        <x:v>0.91</x:v>
      </x:c>
      <x:c r="G41" s="34" t="n">
        <x:v>0.028820903169798406</x:v>
      </x:c>
      <x:c r="H41" s="34" t="n">
        <x:v>0.05</x:v>
      </x:c>
      <x:c r="I41" s="12" t="n">
        <x:v>0.884</x:v>
      </x:c>
      <x:c r="J41" s="12" t="n">
        <x:v>0</x:v>
      </x:c>
      <x:c r="K41" s="12" t="str">
        <x:v>Brand Director</x:v>
      </x:c>
      <x:c r="L41" s="12" t="str">
        <x:f>IF(G41&gt;H41,"BREACH","OK")</x:f>
        <x:v>OK</x:v>
      </x:c>
    </x:row>
    <x:row r="42">
      <x:c r="A42" s="12" t="str">
        <x:v>PRC-00041</x:v>
      </x:c>
      <x:c r="B42" s="18" t="n">
        <x:v>46208</x:v>
      </x:c>
      <x:c r="C42" s="12" t="str">
        <x:v>DLR-006</x:v>
      </x:c>
      <x:c r="D42" s="12" t="str">
        <x:v>BYD HTA Hoàn Kiếm</x:v>
      </x:c>
      <x:c r="E42" s="12" t="str">
        <x:v>BYD</x:v>
      </x:c>
      <x:c r="F42" s="12" t="n">
        <x:v>0.365</x:v>
      </x:c>
      <x:c r="G42" s="34" t="n">
        <x:v>0.07426435570234713</x:v>
      </x:c>
      <x:c r="H42" s="34" t="n">
        <x:v>0.045</x:v>
      </x:c>
      <x:c r="I42" s="12" t="n">
        <x:v>0.338</x:v>
      </x:c>
      <x:c r="J42" s="12" t="n">
        <x:v>0.0107</x:v>
      </x:c>
      <x:c r="K42" s="12" t="str">
        <x:v>Brand Director</x:v>
      </x:c>
      <x:c r="L42" s="12" t="str">
        <x:f>IF(G42&gt;H42,"BREACH","OK")</x:f>
        <x:v>BREACH</x:v>
      </x:c>
    </x:row>
    <x:row r="43">
      <x:c r="A43" s="12" t="str">
        <x:v>PRC-00042</x:v>
      </x:c>
      <x:c r="B43" s="18" t="n">
        <x:v>46207</x:v>
      </x:c>
      <x:c r="C43" s="12" t="str">
        <x:v>DLR-016</x:v>
      </x:c>
      <x:c r="D43" s="12" t="str">
        <x:v>VinFast HTA Mỹ Đình</x:v>
      </x:c>
      <x:c r="E43" s="12" t="str">
        <x:v>VinFast</x:v>
      </x:c>
      <x:c r="F43" s="12" t="n">
        <x:v>1.675</x:v>
      </x:c>
      <x:c r="G43" s="34" t="n">
        <x:v>0.04179584409884191</x:v>
      </x:c>
      <x:c r="H43" s="34" t="n">
        <x:v>0.05</x:v>
      </x:c>
      <x:c r="I43" s="12" t="n">
        <x:v>1.605</x:v>
      </x:c>
      <x:c r="J43" s="12" t="n">
        <x:v>0</x:v>
      </x:c>
      <x:c r="K43" s="12" t="str">
        <x:v>Commercial Director</x:v>
      </x:c>
      <x:c r="L43" s="12" t="str">
        <x:f>IF(G43&gt;H43,"BREACH","OK")</x:f>
        <x:v>OK</x:v>
      </x:c>
    </x:row>
    <x:row r="44">
      <x:c r="A44" s="12" t="str">
        <x:v>PRC-00043</x:v>
      </x:c>
      <x:c r="B44" s="18" t="n">
        <x:v>46209</x:v>
      </x:c>
      <x:c r="C44" s="12" t="str">
        <x:v>DLR-003</x:v>
      </x:c>
      <x:c r="D44" s="12" t="str">
        <x:v>Mỹ Đình Ford</x:v>
      </x:c>
      <x:c r="E44" s="12" t="str">
        <x:v>Ford</x:v>
      </x:c>
      <x:c r="F44" s="12" t="n">
        <x:v>0.341</x:v>
      </x:c>
      <x:c r="G44" s="34" t="n">
        <x:v>0.0375577813475837</x:v>
      </x:c>
      <x:c r="H44" s="34" t="n">
        <x:v>0.03</x:v>
      </x:c>
      <x:c r="I44" s="12" t="n">
        <x:v>0.328</x:v>
      </x:c>
      <x:c r="J44" s="12" t="n">
        <x:v>0.0026</x:v>
      </x:c>
      <x:c r="K44" s="12" t="str">
        <x:v>Brand Director</x:v>
      </x:c>
      <x:c r="L44" s="12" t="str">
        <x:f>IF(G44&gt;H44,"BREACH","OK")</x:f>
        <x:v>BREACH</x:v>
      </x:c>
    </x:row>
    <x:row r="45">
      <x:c r="A45" s="12" t="str">
        <x:v>PRC-00044</x:v>
      </x:c>
      <x:c r="B45" s="18" t="n">
        <x:v>46206</x:v>
      </x:c>
      <x:c r="C45" s="12" t="str">
        <x:v>DLR-019</x:v>
      </x:c>
      <x:c r="D45" s="12" t="str">
        <x:v>OMODA &amp; JAECOO HTA Việt Trì</x:v>
      </x:c>
      <x:c r="E45" s="12" t="str">
        <x:v>OMODA &amp; JAECOO</x:v>
      </x:c>
      <x:c r="F45" s="12" t="n">
        <x:v>0.794</x:v>
      </x:c>
      <x:c r="G45" s="34" t="n">
        <x:v>0.018995162506222504</x:v>
      </x:c>
      <x:c r="H45" s="34" t="n">
        <x:v>0.04</x:v>
      </x:c>
      <x:c r="I45" s="12" t="n">
        <x:v>0.779</x:v>
      </x:c>
      <x:c r="J45" s="12" t="n">
        <x:v>0</x:v>
      </x:c>
      <x:c r="K45" s="12" t="str">
        <x:v>Commercial Director</x:v>
      </x:c>
      <x:c r="L45" s="12" t="str">
        <x:f>IF(G45&gt;H45,"BREACH","OK")</x:f>
        <x:v>OK</x:v>
      </x:c>
    </x:row>
    <x:row r="46">
      <x:c r="A46" s="12" t="str">
        <x:v>PRC-00045</x:v>
      </x:c>
      <x:c r="B46" s="18" t="n">
        <x:v>46204</x:v>
      </x:c>
      <x:c r="C46" s="12" t="str">
        <x:v>DLR-011</x:v>
      </x:c>
      <x:c r="D46" s="12" t="str">
        <x:v>VinFast HTA Phạm Văn Đồng</x:v>
      </x:c>
      <x:c r="E46" s="12" t="str">
        <x:v>VinFast</x:v>
      </x:c>
      <x:c r="F46" s="12" t="n">
        <x:v>1.125</x:v>
      </x:c>
      <x:c r="G46" s="34" t="n">
        <x:v>0.02194452248722129</x:v>
      </x:c>
      <x:c r="H46" s="34" t="n">
        <x:v>0.03</x:v>
      </x:c>
      <x:c r="I46" s="12" t="n">
        <x:v>1.101</x:v>
      </x:c>
      <x:c r="J46" s="12" t="n">
        <x:v>0</x:v>
      </x:c>
      <x:c r="K46" s="12" t="str">
        <x:v>Commercial Director</x:v>
      </x:c>
      <x:c r="L46" s="12" t="str">
        <x:f>IF(G46&gt;H46,"BREACH","OK")</x:f>
        <x:v>OK</x:v>
      </x:c>
    </x:row>
    <x:row r="47">
      <x:c r="A47" s="12" t="str">
        <x:v>PRC-00046</x:v>
      </x:c>
      <x:c r="B47" s="18" t="n">
        <x:v>46220</x:v>
      </x:c>
      <x:c r="C47" s="12" t="str">
        <x:v>DLR-017</x:v>
      </x:c>
      <x:c r="D47" s="12" t="str">
        <x:v>VinFast Quốc Oai</x:v>
      </x:c>
      <x:c r="E47" s="12" t="str">
        <x:v>VinFast</x:v>
      </x:c>
      <x:c r="F47" s="12" t="n">
        <x:v>0.728</x:v>
      </x:c>
      <x:c r="G47" s="34" t="n">
        <x:v>0.03027194113118089</x:v>
      </x:c>
      <x:c r="H47" s="34" t="n">
        <x:v>0.05</x:v>
      </x:c>
      <x:c r="I47" s="12" t="n">
        <x:v>0.706</x:v>
      </x:c>
      <x:c r="J47" s="12" t="n">
        <x:v>0</x:v>
      </x:c>
      <x:c r="K47" s="12" t="str">
        <x:v>Commercial Director</x:v>
      </x:c>
      <x:c r="L47" s="12" t="str">
        <x:f>IF(G47&gt;H47,"BREACH","OK")</x:f>
        <x:v>OK</x:v>
      </x:c>
    </x:row>
    <x:row r="48">
      <x:c r="A48" s="12" t="str">
        <x:v>PRC-00047</x:v>
      </x:c>
      <x:c r="B48" s="18" t="n">
        <x:v>46221</x:v>
      </x:c>
      <x:c r="C48" s="12" t="str">
        <x:v>DLR-002</x:v>
      </x:c>
      <x:c r="D48" s="12" t="str">
        <x:v>Hà Thành Ford - Mỹ Đình</x:v>
      </x:c>
      <x:c r="E48" s="12" t="str">
        <x:v>Ford</x:v>
      </x:c>
      <x:c r="F48" s="12" t="n">
        <x:v>1.324</x:v>
      </x:c>
      <x:c r="G48" s="34" t="n">
        <x:v>0.03643448197929494</x:v>
      </x:c>
      <x:c r="H48" s="34" t="n">
        <x:v>0.04</x:v>
      </x:c>
      <x:c r="I48" s="12" t="n">
        <x:v>1.276</x:v>
      </x:c>
      <x:c r="J48" s="12" t="n">
        <x:v>0</x:v>
      </x:c>
      <x:c r="K48" s="12" t="str">
        <x:v>Commercial Director</x:v>
      </x:c>
      <x:c r="L48" s="12" t="str">
        <x:f>IF(G48&gt;H48,"BREACH","OK")</x:f>
        <x:v>OK</x:v>
      </x:c>
    </x:row>
    <x:row r="49">
      <x:c r="A49" s="12" t="str">
        <x:v>PRC-00048</x:v>
      </x:c>
      <x:c r="B49" s="18" t="n">
        <x:v>46225</x:v>
      </x:c>
      <x:c r="C49" s="12" t="str">
        <x:v>DLR-008</x:v>
      </x:c>
      <x:c r="D49" s="12" t="str">
        <x:v>VinFast HTA Nguyễn Văn Linh</x:v>
      </x:c>
      <x:c r="E49" s="12" t="str">
        <x:v>VinFast</x:v>
      </x:c>
      <x:c r="F49" s="12" t="n">
        <x:v>0.757</x:v>
      </x:c>
      <x:c r="G49" s="34" t="n">
        <x:v>0.03956962387647106</x:v>
      </x:c>
      <x:c r="H49" s="34" t="n">
        <x:v>0.04</x:v>
      </x:c>
      <x:c r="I49" s="12" t="n">
        <x:v>0.727</x:v>
      </x:c>
      <x:c r="J49" s="12" t="n">
        <x:v>0</x:v>
      </x:c>
      <x:c r="K49" s="12" t="str">
        <x:v>Brand Director</x:v>
      </x:c>
      <x:c r="L49" s="12" t="str">
        <x:f>IF(G49&gt;H49,"BREACH","OK")</x:f>
        <x:v>OK</x:v>
      </x:c>
    </x:row>
    <x:row r="50">
      <x:c r="A50" s="12" t="str">
        <x:v>PRC-00049</x:v>
      </x:c>
      <x:c r="B50" s="18" t="n">
        <x:v>46209</x:v>
      </x:c>
      <x:c r="C50" s="12" t="str">
        <x:v>DLR-003</x:v>
      </x:c>
      <x:c r="D50" s="12" t="str">
        <x:v>Mỹ Đình Ford</x:v>
      </x:c>
      <x:c r="E50" s="12" t="str">
        <x:v>Ford</x:v>
      </x:c>
      <x:c r="F50" s="12" t="n">
        <x:v>1.526</x:v>
      </x:c>
      <x:c r="G50" s="34" t="n">
        <x:v>0.025021123052570024</x:v>
      </x:c>
      <x:c r="H50" s="34" t="n">
        <x:v>0.04</x:v>
      </x:c>
      <x:c r="I50" s="12" t="n">
        <x:v>1.488</x:v>
      </x:c>
      <x:c r="J50" s="12" t="n">
        <x:v>0</x:v>
      </x:c>
      <x:c r="K50" s="12" t="str">
        <x:v>Dealer Manager</x:v>
      </x:c>
      <x:c r="L50" s="12" t="str">
        <x:f>IF(G50&gt;H50,"BREACH","OK")</x:f>
        <x:v>OK</x:v>
      </x:c>
    </x:row>
    <x:row r="51">
      <x:c r="A51" s="12" t="str">
        <x:v>PRC-00050</x:v>
      </x:c>
      <x:c r="B51" s="18" t="n">
        <x:v>46223</x:v>
      </x:c>
      <x:c r="C51" s="12" t="str">
        <x:v>DLR-013</x:v>
      </x:c>
      <x:c r="D51" s="12" t="str">
        <x:v>VinFast HTA Ninh Bình</x:v>
      </x:c>
      <x:c r="E51" s="12" t="str">
        <x:v>VinFast</x:v>
      </x:c>
      <x:c r="F51" s="12" t="n">
        <x:v>0.951</x:v>
      </x:c>
      <x:c r="G51" s="34" t="n">
        <x:v>0.03560207741354631</x:v>
      </x:c>
      <x:c r="H51" s="34" t="n">
        <x:v>0.04</x:v>
      </x:c>
      <x:c r="I51" s="12" t="n">
        <x:v>0.918</x:v>
      </x:c>
      <x:c r="J51" s="12" t="n">
        <x:v>0</x:v>
      </x:c>
      <x:c r="K51" s="12" t="str">
        <x:v>Brand Director</x:v>
      </x:c>
      <x:c r="L51" s="12" t="str">
        <x:f>IF(G51&gt;H51,"BREACH","OK")</x:f>
        <x:v>OK</x:v>
      </x:c>
    </x:row>
    <x:row r="52">
      <x:c r="A52" s="12" t="str">
        <x:v>PRC-00051</x:v>
      </x:c>
      <x:c r="B52" s="18" t="n">
        <x:v>46220</x:v>
      </x:c>
      <x:c r="C52" s="12" t="str">
        <x:v>DLR-005</x:v>
      </x:c>
      <x:c r="D52" s="12" t="str">
        <x:v>BYD HTA Tây Hồ</x:v>
      </x:c>
      <x:c r="E52" s="12" t="str">
        <x:v>BYD</x:v>
      </x:c>
      <x:c r="F52" s="12" t="n">
        <x:v>0.504</x:v>
      </x:c>
      <x:c r="G52" s="34" t="n">
        <x:v>0.048190403554512935</x:v>
      </x:c>
      <x:c r="H52" s="34" t="n">
        <x:v>0.04</x:v>
      </x:c>
      <x:c r="I52" s="12" t="n">
        <x:v>0.48</x:v>
      </x:c>
      <x:c r="J52" s="12" t="n">
        <x:v>0.0041</x:v>
      </x:c>
      <x:c r="K52" s="12" t="str">
        <x:v>Dealer Manager</x:v>
      </x:c>
      <x:c r="L52" s="12" t="str">
        <x:f>IF(G52&gt;H52,"BREACH","OK")</x:f>
        <x:v>BREACH</x:v>
      </x:c>
    </x:row>
    <x:row r="53">
      <x:c r="A53" s="12" t="str">
        <x:v>PRC-00052</x:v>
      </x:c>
      <x:c r="B53" s="18" t="n">
        <x:v>46221</x:v>
      </x:c>
      <x:c r="C53" s="12" t="str">
        <x:v>DLR-017</x:v>
      </x:c>
      <x:c r="D53" s="12" t="str">
        <x:v>VinFast Quốc Oai</x:v>
      </x:c>
      <x:c r="E53" s="12" t="str">
        <x:v>VinFast</x:v>
      </x:c>
      <x:c r="F53" s="12" t="n">
        <x:v>1.112</x:v>
      </x:c>
      <x:c r="G53" s="34" t="n">
        <x:v>0.013700304427984623</x:v>
      </x:c>
      <x:c r="H53" s="34" t="n">
        <x:v>0.045</x:v>
      </x:c>
      <x:c r="I53" s="12" t="n">
        <x:v>1.097</x:v>
      </x:c>
      <x:c r="J53" s="12" t="n">
        <x:v>0</x:v>
      </x:c>
      <x:c r="K53" s="12" t="str">
        <x:v>Brand Director</x:v>
      </x:c>
      <x:c r="L53" s="12" t="str">
        <x:f>IF(G53&gt;H53,"BREACH","OK")</x:f>
        <x:v>OK</x:v>
      </x:c>
    </x:row>
    <x:row r="54">
      <x:c r="A54" s="12" t="str">
        <x:v>PRC-00053</x:v>
      </x:c>
      <x:c r="B54" s="18" t="n">
        <x:v>46209</x:v>
      </x:c>
      <x:c r="C54" s="12" t="str">
        <x:v>DLR-019</x:v>
      </x:c>
      <x:c r="D54" s="12" t="str">
        <x:v>OMODA &amp; JAECOO HTA Việt Trì</x:v>
      </x:c>
      <x:c r="E54" s="12" t="str">
        <x:v>OMODA &amp; JAECOO</x:v>
      </x:c>
      <x:c r="F54" s="12" t="n">
        <x:v>0.834</x:v>
      </x:c>
      <x:c r="G54" s="34" t="n">
        <x:v>0.03596768363334584</x:v>
      </x:c>
      <x:c r="H54" s="34" t="n">
        <x:v>0.045</x:v>
      </x:c>
      <x:c r="I54" s="12" t="n">
        <x:v>0.804</x:v>
      </x:c>
      <x:c r="J54" s="12" t="n">
        <x:v>0</x:v>
      </x:c>
      <x:c r="K54" s="12" t="str">
        <x:v>Dealer Manager</x:v>
      </x:c>
      <x:c r="L54" s="12" t="str">
        <x:f>IF(G54&gt;H54,"BREACH","OK")</x:f>
        <x:v>OK</x:v>
      </x:c>
    </x:row>
    <x:row r="55">
      <x:c r="A55" s="12" t="str">
        <x:v>PRC-00054</x:v>
      </x:c>
      <x:c r="B55" s="18" t="n">
        <x:v>46207</x:v>
      </x:c>
      <x:c r="C55" s="12" t="str">
        <x:v>DLR-005</x:v>
      </x:c>
      <x:c r="D55" s="12" t="str">
        <x:v>BYD HTA Tây Hồ</x:v>
      </x:c>
      <x:c r="E55" s="12" t="str">
        <x:v>BYD</x:v>
      </x:c>
      <x:c r="F55" s="12" t="n">
        <x:v>1.237</x:v>
      </x:c>
      <x:c r="G55" s="34" t="n">
        <x:v>0.062406372861503606</x:v>
      </x:c>
      <x:c r="H55" s="34" t="n">
        <x:v>0.045</x:v>
      </x:c>
      <x:c r="I55" s="12" t="n">
        <x:v>1.16</x:v>
      </x:c>
      <x:c r="J55" s="12" t="n">
        <x:v>0.0215</x:v>
      </x:c>
      <x:c r="K55" s="12" t="str">
        <x:v>Brand Director</x:v>
      </x:c>
      <x:c r="L55" s="12" t="str">
        <x:f>IF(G55&gt;H55,"BREACH","OK")</x:f>
        <x:v>BREACH</x:v>
      </x:c>
    </x:row>
    <x:row r="56">
      <x:c r="A56" s="12" t="str">
        <x:v>PRC-00055</x:v>
      </x:c>
      <x:c r="B56" s="18" t="n">
        <x:v>46221</x:v>
      </x:c>
      <x:c r="C56" s="12" t="str">
        <x:v>DLR-010</x:v>
      </x:c>
      <x:c r="D56" s="12" t="str">
        <x:v>VinFast HTA Đàm Quang Trung</x:v>
      </x:c>
      <x:c r="E56" s="12" t="str">
        <x:v>VinFast</x:v>
      </x:c>
      <x:c r="F56" s="12" t="n">
        <x:v>1.338</x:v>
      </x:c>
      <x:c r="G56" s="34" t="n">
        <x:v>0.06442791514747172</x:v>
      </x:c>
      <x:c r="H56" s="34" t="n">
        <x:v>0.04</x:v>
      </x:c>
      <x:c r="I56" s="12" t="n">
        <x:v>1.252</x:v>
      </x:c>
      <x:c r="J56" s="12" t="n">
        <x:v>0.0327</x:v>
      </x:c>
      <x:c r="K56" s="12" t="str">
        <x:v>Brand Director</x:v>
      </x:c>
      <x:c r="L56" s="12" t="str">
        <x:f>IF(G56&gt;H56,"BREACH","OK")</x:f>
        <x:v>BREACH</x:v>
      </x:c>
    </x:row>
    <x:row r="57">
      <x:c r="A57" s="12" t="str">
        <x:v>PRC-00056</x:v>
      </x:c>
      <x:c r="B57" s="18" t="n">
        <x:v>46223</x:v>
      </x:c>
      <x:c r="C57" s="12" t="str">
        <x:v>DLR-015</x:v>
      </x:c>
      <x:c r="D57" s="12" t="str">
        <x:v>VinFast HTA Văn Phú</x:v>
      </x:c>
      <x:c r="E57" s="12" t="str">
        <x:v>VinFast</x:v>
      </x:c>
      <x:c r="F57" s="12" t="n">
        <x:v>0.346</x:v>
      </x:c>
      <x:c r="G57" s="34" t="n">
        <x:v>0.056611483039833516</x:v>
      </x:c>
      <x:c r="H57" s="34" t="n">
        <x:v>0.04</x:v>
      </x:c>
      <x:c r="I57" s="12" t="n">
        <x:v>0.327</x:v>
      </x:c>
      <x:c r="J57" s="12" t="n">
        <x:v>0.0058</x:v>
      </x:c>
      <x:c r="K57" s="12" t="str">
        <x:v>Brand Director</x:v>
      </x:c>
      <x:c r="L57" s="12" t="str">
        <x:f>IF(G57&gt;H57,"BREACH","OK")</x:f>
        <x:v>BREACH</x:v>
      </x:c>
    </x:row>
    <x:row r="58">
      <x:c r="A58" s="12" t="str">
        <x:v>PRC-00057</x:v>
      </x:c>
      <x:c r="B58" s="18" t="n">
        <x:v>46225</x:v>
      </x:c>
      <x:c r="C58" s="12" t="str">
        <x:v>DLR-017</x:v>
      </x:c>
      <x:c r="D58" s="12" t="str">
        <x:v>VinFast Quốc Oai</x:v>
      </x:c>
      <x:c r="E58" s="12" t="str">
        <x:v>VinFast</x:v>
      </x:c>
      <x:c r="F58" s="12" t="n">
        <x:v>0.489</x:v>
      </x:c>
      <x:c r="G58" s="34" t="n">
        <x:v>0.07547695644952296</x:v>
      </x:c>
      <x:c r="H58" s="34" t="n">
        <x:v>0.03</x:v>
      </x:c>
      <x:c r="I58" s="12" t="n">
        <x:v>0.452</x:v>
      </x:c>
      <x:c r="J58" s="12" t="n">
        <x:v>0.0222</x:v>
      </x:c>
      <x:c r="K58" s="12" t="str">
        <x:v>Dealer Manager</x:v>
      </x:c>
      <x:c r="L58" s="12" t="str">
        <x:f>IF(G58&gt;H58,"BREACH","OK")</x:f>
        <x:v>BREACH</x:v>
      </x:c>
    </x:row>
    <x:row r="59">
      <x:c r="A59" s="12" t="str">
        <x:v>PRC-00058</x:v>
      </x:c>
      <x:c r="B59" s="18" t="n">
        <x:v>46217</x:v>
      </x:c>
      <x:c r="C59" s="12" t="str">
        <x:v>DLR-005</x:v>
      </x:c>
      <x:c r="D59" s="12" t="str">
        <x:v>BYD HTA Tây Hồ</x:v>
      </x:c>
      <x:c r="E59" s="12" t="str">
        <x:v>BYD</x:v>
      </x:c>
      <x:c r="F59" s="12" t="n">
        <x:v>0.367</x:v>
      </x:c>
      <x:c r="G59" s="34" t="n">
        <x:v>0.03682175606770517</x:v>
      </x:c>
      <x:c r="H59" s="34" t="n">
        <x:v>0.04</x:v>
      </x:c>
      <x:c r="I59" s="12" t="n">
        <x:v>0.354</x:v>
      </x:c>
      <x:c r="J59" s="12" t="n">
        <x:v>0</x:v>
      </x:c>
      <x:c r="K59" s="12" t="str">
        <x:v>Commercial Director</x:v>
      </x:c>
      <x:c r="L59" s="12" t="str">
        <x:f>IF(G59&gt;H59,"BREACH","OK")</x:f>
        <x:v>OK</x:v>
      </x:c>
    </x:row>
    <x:row r="60">
      <x:c r="A60" s="12" t="str">
        <x:v>PRC-00059</x:v>
      </x:c>
      <x:c r="B60" s="18" t="n">
        <x:v>46214</x:v>
      </x:c>
      <x:c r="C60" s="12" t="str">
        <x:v>DLR-019</x:v>
      </x:c>
      <x:c r="D60" s="12" t="str">
        <x:v>OMODA &amp; JAECOO HTA Việt Trì</x:v>
      </x:c>
      <x:c r="E60" s="12" t="str">
        <x:v>OMODA &amp; JAECOO</x:v>
      </x:c>
      <x:c r="F60" s="12" t="n">
        <x:v>1.256</x:v>
      </x:c>
      <x:c r="G60" s="34" t="n">
        <x:v>0.028557275755572743</x:v>
      </x:c>
      <x:c r="H60" s="34" t="n">
        <x:v>0.045</x:v>
      </x:c>
      <x:c r="I60" s="12" t="n">
        <x:v>1.22</x:v>
      </x:c>
      <x:c r="J60" s="12" t="n">
        <x:v>0</x:v>
      </x:c>
      <x:c r="K60" s="12" t="str">
        <x:v>Dealer Manager</x:v>
      </x:c>
      <x:c r="L60" s="12" t="str">
        <x:f>IF(G60&gt;H60,"BREACH","OK")</x:f>
        <x:v>OK</x:v>
      </x:c>
    </x:row>
    <x:row r="61">
      <x:c r="A61" s="12" t="str">
        <x:v>PRC-00060</x:v>
      </x:c>
      <x:c r="B61" s="18" t="n">
        <x:v>46211</x:v>
      </x:c>
      <x:c r="C61" s="12" t="str">
        <x:v>DLR-011</x:v>
      </x:c>
      <x:c r="D61" s="12" t="str">
        <x:v>VinFast HTA Phạm Văn Đồng</x:v>
      </x:c>
      <x:c r="E61" s="12" t="str">
        <x:v>VinFast</x:v>
      </x:c>
      <x:c r="F61" s="12" t="n">
        <x:v>1.278</x:v>
      </x:c>
      <x:c r="G61" s="34" t="n">
        <x:v>0.01999178838355821</x:v>
      </x:c>
      <x:c r="H61" s="34" t="n">
        <x:v>0.045</x:v>
      </x:c>
      <x:c r="I61" s="12" t="n">
        <x:v>1.252</x:v>
      </x:c>
      <x:c r="J61" s="12" t="n">
        <x:v>0</x:v>
      </x:c>
      <x:c r="K61" s="12" t="str">
        <x:v>Dealer Manager</x:v>
      </x:c>
      <x:c r="L61" s="12" t="str">
        <x:f>IF(G61&gt;H61,"BREACH","OK")</x:f>
        <x:v>OK</x:v>
      </x:c>
    </x:row>
    <x:row r="62">
      <x:c r="A62" s="12" t="str">
        <x:v>PRC-00061</x:v>
      </x:c>
      <x:c r="B62" s="18" t="n">
        <x:v>46222</x:v>
      </x:c>
      <x:c r="C62" s="12" t="str">
        <x:v>DLR-017</x:v>
      </x:c>
      <x:c r="D62" s="12" t="str">
        <x:v>VinFast Quốc Oai</x:v>
      </x:c>
      <x:c r="E62" s="12" t="str">
        <x:v>VinFast</x:v>
      </x:c>
      <x:c r="F62" s="12" t="n">
        <x:v>1.382</x:v>
      </x:c>
      <x:c r="G62" s="34" t="n">
        <x:v>0.06862077303113424</x:v>
      </x:c>
      <x:c r="H62" s="34" t="n">
        <x:v>0.045</x:v>
      </x:c>
      <x:c r="I62" s="12" t="n">
        <x:v>1.287</x:v>
      </x:c>
      <x:c r="J62" s="12" t="n">
        <x:v>0.0326</x:v>
      </x:c>
      <x:c r="K62" s="12" t="str">
        <x:v>Commercial Director</x:v>
      </x:c>
      <x:c r="L62" s="12" t="str">
        <x:f>IF(G62&gt;H62,"BREACH","OK")</x:f>
        <x:v>BREACH</x:v>
      </x:c>
    </x:row>
    <x:row r="63">
      <x:c r="A63" s="12" t="str">
        <x:v>PRC-00062</x:v>
      </x:c>
      <x:c r="B63" s="18" t="n">
        <x:v>46225</x:v>
      </x:c>
      <x:c r="C63" s="12" t="str">
        <x:v>DLR-007</x:v>
      </x:c>
      <x:c r="D63" s="12" t="str">
        <x:v>BYD Hà Đông</x:v>
      </x:c>
      <x:c r="E63" s="12" t="str">
        <x:v>BYD</x:v>
      </x:c>
      <x:c r="F63" s="12" t="n">
        <x:v>0.794</x:v>
      </x:c>
      <x:c r="G63" s="34" t="n">
        <x:v>0.02302009819357071</x:v>
      </x:c>
      <x:c r="H63" s="34" t="n">
        <x:v>0.03</x:v>
      </x:c>
      <x:c r="I63" s="12" t="n">
        <x:v>0.776</x:v>
      </x:c>
      <x:c r="J63" s="12" t="n">
        <x:v>0</x:v>
      </x:c>
      <x:c r="K63" s="12" t="str">
        <x:v>Commercial Director</x:v>
      </x:c>
      <x:c r="L63" s="12" t="str">
        <x:f>IF(G63&gt;H63,"BREACH","OK")</x:f>
        <x:v>OK</x:v>
      </x:c>
    </x:row>
    <x:row r="64">
      <x:c r="A64" s="12" t="str">
        <x:v>PRC-00063</x:v>
      </x:c>
      <x:c r="B64" s="18" t="n">
        <x:v>46217</x:v>
      </x:c>
      <x:c r="C64" s="12" t="str">
        <x:v>DLR-003</x:v>
      </x:c>
      <x:c r="D64" s="12" t="str">
        <x:v>Mỹ Đình Ford</x:v>
      </x:c>
      <x:c r="E64" s="12" t="str">
        <x:v>Ford</x:v>
      </x:c>
      <x:c r="F64" s="12" t="n">
        <x:v>1.289</x:v>
      </x:c>
      <x:c r="G64" s="34" t="n">
        <x:v>0.013362808577913839</x:v>
      </x:c>
      <x:c r="H64" s="34" t="n">
        <x:v>0.05</x:v>
      </x:c>
      <x:c r="I64" s="12" t="n">
        <x:v>1.271</x:v>
      </x:c>
      <x:c r="J64" s="12" t="n">
        <x:v>0</x:v>
      </x:c>
      <x:c r="K64" s="12" t="str">
        <x:v>Brand Director</x:v>
      </x:c>
      <x:c r="L64" s="12" t="str">
        <x:f>IF(G64&gt;H64,"BREACH","OK")</x:f>
        <x:v>OK</x:v>
      </x:c>
    </x:row>
    <x:row r="65">
      <x:c r="A65" s="12" t="str">
        <x:v>PRC-00064</x:v>
      </x:c>
      <x:c r="B65" s="18" t="n">
        <x:v>46210</x:v>
      </x:c>
      <x:c r="C65" s="12" t="str">
        <x:v>DLR-010</x:v>
      </x:c>
      <x:c r="D65" s="12" t="str">
        <x:v>VinFast HTA Đàm Quang Trung</x:v>
      </x:c>
      <x:c r="E65" s="12" t="str">
        <x:v>VinFast</x:v>
      </x:c>
      <x:c r="F65" s="12" t="n">
        <x:v>1.617</x:v>
      </x:c>
      <x:c r="G65" s="34" t="n">
        <x:v>0.06827932142041068</x:v>
      </x:c>
      <x:c r="H65" s="34" t="n">
        <x:v>0.05</x:v>
      </x:c>
      <x:c r="I65" s="12" t="n">
        <x:v>1.507</x:v>
      </x:c>
      <x:c r="J65" s="12" t="n">
        <x:v>0.0296</x:v>
      </x:c>
      <x:c r="K65" s="12" t="str">
        <x:v>Dealer Manager</x:v>
      </x:c>
      <x:c r="L65" s="12" t="str">
        <x:f>IF(G65&gt;H65,"BREACH","OK")</x:f>
        <x:v>BREACH</x:v>
      </x:c>
    </x:row>
    <x:row r="66">
      <x:c r="A66" s="12" t="str">
        <x:v>PRC-00065</x:v>
      </x:c>
      <x:c r="B66" s="18" t="n">
        <x:v>46204</x:v>
      </x:c>
      <x:c r="C66" s="12" t="str">
        <x:v>DLR-001</x:v>
      </x:c>
      <x:c r="D66" s="12" t="str">
        <x:v>Hà Thành Ford</x:v>
      </x:c>
      <x:c r="E66" s="12" t="str">
        <x:v>Ford</x:v>
      </x:c>
      <x:c r="F66" s="12" t="n">
        <x:v>1.628</x:v>
      </x:c>
      <x:c r="G66" s="34" t="n">
        <x:v>0.06299916421981776</x:v>
      </x:c>
      <x:c r="H66" s="34" t="n">
        <x:v>0.045</x:v>
      </x:c>
      <x:c r="I66" s="12" t="n">
        <x:v>1.526</x:v>
      </x:c>
      <x:c r="J66" s="12" t="n">
        <x:v>0.0293</x:v>
      </x:c>
      <x:c r="K66" s="12" t="str">
        <x:v>Commercial Director</x:v>
      </x:c>
      <x:c r="L66" s="12" t="str">
        <x:f>IF(G66&gt;H66,"BREACH","OK")</x:f>
        <x:v>BREACH</x:v>
      </x:c>
    </x:row>
    <x:row r="67">
      <x:c r="A67" s="12" t="str">
        <x:v>PRC-00066</x:v>
      </x:c>
      <x:c r="B67" s="18" t="n">
        <x:v>46225</x:v>
      </x:c>
      <x:c r="C67" s="12" t="str">
        <x:v>DLR-013</x:v>
      </x:c>
      <x:c r="D67" s="12" t="str">
        <x:v>VinFast HTA Ninh Bình</x:v>
      </x:c>
      <x:c r="E67" s="12" t="str">
        <x:v>VinFast</x:v>
      </x:c>
      <x:c r="F67" s="12" t="n">
        <x:v>0.982</x:v>
      </x:c>
      <x:c r="G67" s="34" t="n">
        <x:v>0.018203547124529852</x:v>
      </x:c>
      <x:c r="H67" s="34" t="n">
        <x:v>0.03</x:v>
      </x:c>
      <x:c r="I67" s="12" t="n">
        <x:v>0.964</x:v>
      </x:c>
      <x:c r="J67" s="12" t="n">
        <x:v>0</x:v>
      </x:c>
      <x:c r="K67" s="12" t="str">
        <x:v>Commercial Director</x:v>
      </x:c>
      <x:c r="L67" s="12" t="str">
        <x:f>IF(G67&gt;H67,"BREACH","OK")</x:f>
        <x:v>OK</x:v>
      </x:c>
    </x:row>
    <x:row r="68">
      <x:c r="A68" s="12" t="str">
        <x:v>PRC-00067</x:v>
      </x:c>
      <x:c r="B68" s="18" t="n">
        <x:v>46207</x:v>
      </x:c>
      <x:c r="C68" s="12" t="str">
        <x:v>DLR-003</x:v>
      </x:c>
      <x:c r="D68" s="12" t="str">
        <x:v>Mỹ Đình Ford</x:v>
      </x:c>
      <x:c r="E68" s="12" t="str">
        <x:v>Ford</x:v>
      </x:c>
      <x:c r="F68" s="12" t="n">
        <x:v>0.925</x:v>
      </x:c>
      <x:c r="G68" s="34" t="n">
        <x:v>0.027526439073335483</x:v>
      </x:c>
      <x:c r="H68" s="34" t="n">
        <x:v>0.04</x:v>
      </x:c>
      <x:c r="I68" s="12" t="n">
        <x:v>0.899</x:v>
      </x:c>
      <x:c r="J68" s="12" t="n">
        <x:v>0</x:v>
      </x:c>
      <x:c r="K68" s="12" t="str">
        <x:v>Brand Director</x:v>
      </x:c>
      <x:c r="L68" s="12" t="str">
        <x:f>IF(G68&gt;H68,"BREACH","OK")</x:f>
        <x:v>OK</x:v>
      </x:c>
    </x:row>
    <x:row r="69">
      <x:c r="A69" s="12" t="str">
        <x:v>PRC-00068</x:v>
      </x:c>
      <x:c r="B69" s="18" t="n">
        <x:v>46211</x:v>
      </x:c>
      <x:c r="C69" s="12" t="str">
        <x:v>DLR-015</x:v>
      </x:c>
      <x:c r="D69" s="12" t="str">
        <x:v>VinFast HTA Văn Phú</x:v>
      </x:c>
      <x:c r="E69" s="12" t="str">
        <x:v>VinFast</x:v>
      </x:c>
      <x:c r="F69" s="12" t="n">
        <x:v>1.426</x:v>
      </x:c>
      <x:c r="G69" s="34" t="n">
        <x:v>0.04723166696791134</x:v>
      </x:c>
      <x:c r="H69" s="34" t="n">
        <x:v>0.045</x:v>
      </x:c>
      <x:c r="I69" s="12" t="n">
        <x:v>1.359</x:v>
      </x:c>
      <x:c r="J69" s="12" t="n">
        <x:v>0.0032</x:v>
      </x:c>
      <x:c r="K69" s="12" t="str">
        <x:v>Brand Director</x:v>
      </x:c>
      <x:c r="L69" s="12" t="str">
        <x:f>IF(G69&gt;H69,"BREACH","OK")</x:f>
        <x:v>BREACH</x:v>
      </x:c>
    </x:row>
    <x:row r="70">
      <x:c r="A70" s="12" t="str">
        <x:v>PRC-00069</x:v>
      </x:c>
      <x:c r="B70" s="18" t="n">
        <x:v>46218</x:v>
      </x:c>
      <x:c r="C70" s="12" t="str">
        <x:v>DLR-012</x:v>
      </x:c>
      <x:c r="D70" s="12" t="str">
        <x:v>VinFast HTA Võ Chí Công</x:v>
      </x:c>
      <x:c r="E70" s="12" t="str">
        <x:v>VinFast</x:v>
      </x:c>
      <x:c r="F70" s="12" t="n">
        <x:v>1.074</x:v>
      </x:c>
      <x:c r="G70" s="34" t="n">
        <x:v>0.06002925800796686</x:v>
      </x:c>
      <x:c r="H70" s="34" t="n">
        <x:v>0.05</x:v>
      </x:c>
      <x:c r="I70" s="12" t="n">
        <x:v>1.009</x:v>
      </x:c>
      <x:c r="J70" s="12" t="n">
        <x:v>0.0108</x:v>
      </x:c>
      <x:c r="K70" s="12" t="str">
        <x:v>Commercial Director</x:v>
      </x:c>
      <x:c r="L70" s="12" t="str">
        <x:f>IF(G70&gt;H70,"BREACH","OK")</x:f>
        <x:v>BREACH</x:v>
      </x:c>
    </x:row>
    <x:row r="71">
      <x:c r="A71" s="12" t="str">
        <x:v>PRC-00070</x:v>
      </x:c>
      <x:c r="B71" s="18" t="n">
        <x:v>46208</x:v>
      </x:c>
      <x:c r="C71" s="12" t="str">
        <x:v>DLR-018</x:v>
      </x:c>
      <x:c r="D71" s="12" t="str">
        <x:v>OMODA &amp; JAECOO HTA Nam Từ Liêm</x:v>
      </x:c>
      <x:c r="E71" s="12" t="str">
        <x:v>OMODA &amp; JAECOO</x:v>
      </x:c>
      <x:c r="F71" s="12" t="n">
        <x:v>0.903</x:v>
      </x:c>
      <x:c r="G71" s="34" t="n">
        <x:v>0.04915831641624078</x:v>
      </x:c>
      <x:c r="H71" s="34" t="n">
        <x:v>0.03</x:v>
      </x:c>
      <x:c r="I71" s="12" t="n">
        <x:v>0.859</x:v>
      </x:c>
      <x:c r="J71" s="12" t="n">
        <x:v>0.0173</x:v>
      </x:c>
      <x:c r="K71" s="12" t="str">
        <x:v>Commercial Director</x:v>
      </x:c>
      <x:c r="L71" s="12" t="str">
        <x:f>IF(G71&gt;H71,"BREACH","OK")</x:f>
        <x:v>BREACH</x:v>
      </x:c>
    </x:row>
    <x:row r="72">
      <x:c r="A72" s="12" t="str">
        <x:v>PRC-00071</x:v>
      </x:c>
      <x:c r="B72" s="18" t="n">
        <x:v>46215</x:v>
      </x:c>
      <x:c r="C72" s="12" t="str">
        <x:v>DLR-015</x:v>
      </x:c>
      <x:c r="D72" s="12" t="str">
        <x:v>VinFast HTA Văn Phú</x:v>
      </x:c>
      <x:c r="E72" s="12" t="str">
        <x:v>VinFast</x:v>
      </x:c>
      <x:c r="F72" s="12" t="n">
        <x:v>1.689</x:v>
      </x:c>
      <x:c r="G72" s="34" t="n">
        <x:v>0.05270847929233609</x:v>
      </x:c>
      <x:c r="H72" s="34" t="n">
        <x:v>0.04</x:v>
      </x:c>
      <x:c r="I72" s="12" t="n">
        <x:v>1.6</x:v>
      </x:c>
      <x:c r="J72" s="12" t="n">
        <x:v>0.0215</x:v>
      </x:c>
      <x:c r="K72" s="12" t="str">
        <x:v>Brand Director</x:v>
      </x:c>
      <x:c r="L72" s="12" t="str">
        <x:f>IF(G72&gt;H72,"BREACH","OK")</x:f>
        <x:v>BREACH</x:v>
      </x:c>
    </x:row>
    <x:row r="73">
      <x:c r="A73" s="12" t="str">
        <x:v>PRC-00072</x:v>
      </x:c>
      <x:c r="B73" s="18" t="n">
        <x:v>46220</x:v>
      </x:c>
      <x:c r="C73" s="12" t="str">
        <x:v>DLR-016</x:v>
      </x:c>
      <x:c r="D73" s="12" t="str">
        <x:v>VinFast HTA Mỹ Đình</x:v>
      </x:c>
      <x:c r="E73" s="12" t="str">
        <x:v>VinFast</x:v>
      </x:c>
      <x:c r="F73" s="12" t="n">
        <x:v>0.967</x:v>
      </x:c>
      <x:c r="G73" s="34" t="n">
        <x:v>0.07340013187101468</x:v>
      </x:c>
      <x:c r="H73" s="34" t="n">
        <x:v>0.045</x:v>
      </x:c>
      <x:c r="I73" s="12" t="n">
        <x:v>0.896</x:v>
      </x:c>
      <x:c r="J73" s="12" t="n">
        <x:v>0.0275</x:v>
      </x:c>
      <x:c r="K73" s="12" t="str">
        <x:v>Brand Director</x:v>
      </x:c>
      <x:c r="L73" s="12" t="str">
        <x:f>IF(G73&gt;H73,"BREACH","OK")</x:f>
        <x:v>BREACH</x:v>
      </x:c>
    </x:row>
    <x:row r="74">
      <x:c r="A74" s="12" t="str">
        <x:v>PRC-00073</x:v>
      </x:c>
      <x:c r="B74" s="18" t="n">
        <x:v>46216</x:v>
      </x:c>
      <x:c r="C74" s="12" t="str">
        <x:v>DLR-005</x:v>
      </x:c>
      <x:c r="D74" s="12" t="str">
        <x:v>BYD HTA Tây Hồ</x:v>
      </x:c>
      <x:c r="E74" s="12" t="str">
        <x:v>BYD</x:v>
      </x:c>
      <x:c r="F74" s="12" t="n">
        <x:v>0.396</x:v>
      </x:c>
      <x:c r="G74" s="34" t="n">
        <x:v>0.07390310873561566</x:v>
      </x:c>
      <x:c r="H74" s="34" t="n">
        <x:v>0.04</x:v>
      </x:c>
      <x:c r="I74" s="12" t="n">
        <x:v>0.367</x:v>
      </x:c>
      <x:c r="J74" s="12" t="n">
        <x:v>0.0134</x:v>
      </x:c>
      <x:c r="K74" s="12" t="str">
        <x:v>Commercial Director</x:v>
      </x:c>
      <x:c r="L74" s="12" t="str">
        <x:f>IF(G74&gt;H74,"BREACH","OK")</x:f>
        <x:v>BREACH</x:v>
      </x:c>
    </x:row>
    <x:row r="75">
      <x:c r="A75" s="12" t="str">
        <x:v>PRC-00074</x:v>
      </x:c>
      <x:c r="B75" s="18" t="n">
        <x:v>46217</x:v>
      </x:c>
      <x:c r="C75" s="12" t="str">
        <x:v>DLR-014</x:v>
      </x:c>
      <x:c r="D75" s="12" t="str">
        <x:v>VinFast HTA Nam Từ Liêm</x:v>
      </x:c>
      <x:c r="E75" s="12" t="str">
        <x:v>VinFast</x:v>
      </x:c>
      <x:c r="F75" s="12" t="n">
        <x:v>1.237</x:v>
      </x:c>
      <x:c r="G75" s="34" t="n">
        <x:v>0.011644682192798695</x:v>
      </x:c>
      <x:c r="H75" s="34" t="n">
        <x:v>0.03</x:v>
      </x:c>
      <x:c r="I75" s="12" t="n">
        <x:v>1.223</x:v>
      </x:c>
      <x:c r="J75" s="12" t="n">
        <x:v>0</x:v>
      </x:c>
      <x:c r="K75" s="12" t="str">
        <x:v>Brand Director</x:v>
      </x:c>
      <x:c r="L75" s="12" t="str">
        <x:f>IF(G75&gt;H75,"BREACH","OK")</x:f>
        <x:v>OK</x:v>
      </x:c>
    </x:row>
    <x:row r="76">
      <x:c r="A76" s="12" t="str">
        <x:v>PRC-00075</x:v>
      </x:c>
      <x:c r="B76" s="18" t="n">
        <x:v>46207</x:v>
      </x:c>
      <x:c r="C76" s="12" t="str">
        <x:v>DLR-005</x:v>
      </x:c>
      <x:c r="D76" s="12" t="str">
        <x:v>BYD HTA Tây Hồ</x:v>
      </x:c>
      <x:c r="E76" s="12" t="str">
        <x:v>BYD</x:v>
      </x:c>
      <x:c r="F76" s="12" t="n">
        <x:v>0.347</x:v>
      </x:c>
      <x:c r="G76" s="34" t="n">
        <x:v>0.07596167030578875</x:v>
      </x:c>
      <x:c r="H76" s="34" t="n">
        <x:v>0.045</x:v>
      </x:c>
      <x:c r="I76" s="12" t="n">
        <x:v>0.321</x:v>
      </x:c>
      <x:c r="J76" s="12" t="n">
        <x:v>0.0107</x:v>
      </x:c>
      <x:c r="K76" s="12" t="str">
        <x:v>Brand Director</x:v>
      </x:c>
      <x:c r="L76" s="12" t="str">
        <x:f>IF(G76&gt;H76,"BREACH","OK")</x:f>
        <x:v>BREACH</x:v>
      </x:c>
    </x:row>
    <x:row r="77">
      <x:c r="A77" s="12" t="str">
        <x:v>PRC-00076</x:v>
      </x:c>
      <x:c r="B77" s="18" t="n">
        <x:v>46208</x:v>
      </x:c>
      <x:c r="C77" s="12" t="str">
        <x:v>DLR-007</x:v>
      </x:c>
      <x:c r="D77" s="12" t="str">
        <x:v>BYD Hà Đông</x:v>
      </x:c>
      <x:c r="E77" s="12" t="str">
        <x:v>BYD</x:v>
      </x:c>
      <x:c r="F77" s="12" t="n">
        <x:v>0.74</x:v>
      </x:c>
      <x:c r="G77" s="34" t="n">
        <x:v>0.07937712597809694</x:v>
      </x:c>
      <x:c r="H77" s="34" t="n">
        <x:v>0.03</x:v>
      </x:c>
      <x:c r="I77" s="12" t="n">
        <x:v>0.681</x:v>
      </x:c>
      <x:c r="J77" s="12" t="n">
        <x:v>0.0365</x:v>
      </x:c>
      <x:c r="K77" s="12" t="str">
        <x:v>Dealer Manager</x:v>
      </x:c>
      <x:c r="L77" s="12" t="str">
        <x:f>IF(G77&gt;H77,"BREACH","OK")</x:f>
        <x:v>BREACH</x:v>
      </x:c>
    </x:row>
    <x:row r="78">
      <x:c r="A78" s="12" t="str">
        <x:v>PRC-00077</x:v>
      </x:c>
      <x:c r="B78" s="18" t="n">
        <x:v>46218</x:v>
      </x:c>
      <x:c r="C78" s="12" t="str">
        <x:v>DLR-020</x:v>
      </x:c>
      <x:c r="D78" s="12" t="str">
        <x:v>Wuling HTA Long Biên</x:v>
      </x:c>
      <x:c r="E78" s="12" t="str">
        <x:v>Wuling</x:v>
      </x:c>
      <x:c r="F78" s="12" t="n">
        <x:v>0.601</x:v>
      </x:c>
      <x:c r="G78" s="34" t="n">
        <x:v>0.010995650941957738</x:v>
      </x:c>
      <x:c r="H78" s="34" t="n">
        <x:v>0.05</x:v>
      </x:c>
      <x:c r="I78" s="12" t="n">
        <x:v>0.594</x:v>
      </x:c>
      <x:c r="J78" s="12" t="n">
        <x:v>0</x:v>
      </x:c>
      <x:c r="K78" s="12" t="str">
        <x:v>Commercial Director</x:v>
      </x:c>
      <x:c r="L78" s="12" t="str">
        <x:f>IF(G78&gt;H78,"BREACH","OK")</x:f>
        <x:v>OK</x:v>
      </x:c>
    </x:row>
    <x:row r="79">
      <x:c r="A79" s="12" t="str">
        <x:v>PRC-00078</x:v>
      </x:c>
      <x:c r="B79" s="18" t="n">
        <x:v>46225</x:v>
      </x:c>
      <x:c r="C79" s="12" t="str">
        <x:v>DLR-010</x:v>
      </x:c>
      <x:c r="D79" s="12" t="str">
        <x:v>VinFast HTA Đàm Quang Trung</x:v>
      </x:c>
      <x:c r="E79" s="12" t="str">
        <x:v>VinFast</x:v>
      </x:c>
      <x:c r="F79" s="12" t="n">
        <x:v>1.647</x:v>
      </x:c>
      <x:c r="G79" s="34" t="n">
        <x:v>0.019786992737420156</x:v>
      </x:c>
      <x:c r="H79" s="34" t="n">
        <x:v>0.03</x:v>
      </x:c>
      <x:c r="I79" s="12" t="n">
        <x:v>1.615</x:v>
      </x:c>
      <x:c r="J79" s="12" t="n">
        <x:v>0</x:v>
      </x:c>
      <x:c r="K79" s="12" t="str">
        <x:v>Brand Director</x:v>
      </x:c>
      <x:c r="L79" s="12" t="str">
        <x:f>IF(G79&gt;H79,"BREACH","OK")</x:f>
        <x:v>OK</x:v>
      </x:c>
    </x:row>
    <x:row r="80">
      <x:c r="A80" s="12" t="str">
        <x:v>PRC-00079</x:v>
      </x:c>
      <x:c r="B80" s="18" t="n">
        <x:v>46220</x:v>
      </x:c>
      <x:c r="C80" s="12" t="str">
        <x:v>DLR-010</x:v>
      </x:c>
      <x:c r="D80" s="12" t="str">
        <x:v>VinFast HTA Đàm Quang Trung</x:v>
      </x:c>
      <x:c r="E80" s="12" t="str">
        <x:v>VinFast</x:v>
      </x:c>
      <x:c r="F80" s="12" t="n">
        <x:v>0.4</x:v>
      </x:c>
      <x:c r="G80" s="34" t="n">
        <x:v>0.056356855734219495</x:v>
      </x:c>
      <x:c r="H80" s="34" t="n">
        <x:v>0.03</x:v>
      </x:c>
      <x:c r="I80" s="12" t="n">
        <x:v>0.378</x:v>
      </x:c>
      <x:c r="J80" s="12" t="n">
        <x:v>0.0106</x:v>
      </x:c>
      <x:c r="K80" s="12" t="str">
        <x:v>Brand Director</x:v>
      </x:c>
      <x:c r="L80" s="12" t="str">
        <x:f>IF(G80&gt;H80,"BREACH","OK")</x:f>
        <x:v>BREACH</x:v>
      </x:c>
    </x:row>
    <x:row r="81">
      <x:c r="A81" s="12" t="str">
        <x:v>PRC-00080</x:v>
      </x:c>
      <x:c r="B81" s="18" t="n">
        <x:v>46205</x:v>
      </x:c>
      <x:c r="C81" s="12" t="str">
        <x:v>DLR-018</x:v>
      </x:c>
      <x:c r="D81" s="12" t="str">
        <x:v>OMODA &amp; JAECOO HTA Nam Từ Liêm</x:v>
      </x:c>
      <x:c r="E81" s="12" t="str">
        <x:v>OMODA &amp; JAECOO</x:v>
      </x:c>
      <x:c r="F81" s="12" t="n">
        <x:v>0.465</x:v>
      </x:c>
      <x:c r="G81" s="34" t="n">
        <x:v>0.07467002671441221</x:v>
      </x:c>
      <x:c r="H81" s="34" t="n">
        <x:v>0.04</x:v>
      </x:c>
      <x:c r="I81" s="12" t="n">
        <x:v>0.43</x:v>
      </x:c>
      <x:c r="J81" s="12" t="n">
        <x:v>0.0161</x:v>
      </x:c>
      <x:c r="K81" s="12" t="str">
        <x:v>Brand Director</x:v>
      </x:c>
      <x:c r="L81" s="12" t="str">
        <x:f>IF(G81&gt;H81,"BREACH","OK")</x:f>
        <x:v>BREACH</x:v>
      </x:c>
    </x:row>
    <x:row r="82">
      <x:c r="A82" s="12" t="str">
        <x:v>PRC-00081</x:v>
      </x:c>
      <x:c r="B82" s="18" t="n">
        <x:v>46209</x:v>
      </x:c>
      <x:c r="C82" s="12" t="str">
        <x:v>DLR-002</x:v>
      </x:c>
      <x:c r="D82" s="12" t="str">
        <x:v>Hà Thành Ford - Mỹ Đình</x:v>
      </x:c>
      <x:c r="E82" s="12" t="str">
        <x:v>Ford</x:v>
      </x:c>
      <x:c r="F82" s="12" t="n">
        <x:v>1.551</x:v>
      </x:c>
      <x:c r="G82" s="34" t="n">
        <x:v>0.03395105270016131</x:v>
      </x:c>
      <x:c r="H82" s="34" t="n">
        <x:v>0.03</x:v>
      </x:c>
      <x:c r="I82" s="12" t="n">
        <x:v>1.498</x:v>
      </x:c>
      <x:c r="J82" s="12" t="n">
        <x:v>0.0061</x:v>
      </x:c>
      <x:c r="K82" s="12" t="str">
        <x:v>Dealer Manager</x:v>
      </x:c>
      <x:c r="L82" s="12" t="str">
        <x:f>IF(G82&gt;H82,"BREACH","OK")</x:f>
        <x:v>BREACH</x:v>
      </x:c>
    </x:row>
    <x:row r="83">
      <x:c r="A83" s="12" t="str">
        <x:v>PRC-00082</x:v>
      </x:c>
      <x:c r="B83" s="18" t="n">
        <x:v>46207</x:v>
      </x:c>
      <x:c r="C83" s="12" t="str">
        <x:v>DLR-011</x:v>
      </x:c>
      <x:c r="D83" s="12" t="str">
        <x:v>VinFast HTA Phạm Văn Đồng</x:v>
      </x:c>
      <x:c r="E83" s="12" t="str">
        <x:v>VinFast</x:v>
      </x:c>
      <x:c r="F83" s="12" t="n">
        <x:v>1.263</x:v>
      </x:c>
      <x:c r="G83" s="34" t="n">
        <x:v>0.07487360517146398</x:v>
      </x:c>
      <x:c r="H83" s="34" t="n">
        <x:v>0.045</x:v>
      </x:c>
      <x:c r="I83" s="12" t="n">
        <x:v>1.168</x:v>
      </x:c>
      <x:c r="J83" s="12" t="n">
        <x:v>0.0377</x:v>
      </x:c>
      <x:c r="K83" s="12" t="str">
        <x:v>Dealer Manager</x:v>
      </x:c>
      <x:c r="L83" s="12" t="str">
        <x:f>IF(G83&gt;H83,"BREACH","OK")</x:f>
        <x:v>BREACH</x:v>
      </x:c>
    </x:row>
    <x:row r="84">
      <x:c r="A84" s="12" t="str">
        <x:v>PRC-00083</x:v>
      </x:c>
      <x:c r="B84" s="18" t="n">
        <x:v>46213</x:v>
      </x:c>
      <x:c r="C84" s="12" t="str">
        <x:v>DLR-006</x:v>
      </x:c>
      <x:c r="D84" s="12" t="str">
        <x:v>BYD HTA Hoàn Kiếm</x:v>
      </x:c>
      <x:c r="E84" s="12" t="str">
        <x:v>BYD</x:v>
      </x:c>
      <x:c r="F84" s="12" t="n">
        <x:v>1.691</x:v>
      </x:c>
      <x:c r="G84" s="34" t="n">
        <x:v>0.031226889734673614</x:v>
      </x:c>
      <x:c r="H84" s="34" t="n">
        <x:v>0.03</x:v>
      </x:c>
      <x:c r="I84" s="12" t="n">
        <x:v>1.638</x:v>
      </x:c>
      <x:c r="J84" s="12" t="n">
        <x:v>0.0021</x:v>
      </x:c>
      <x:c r="K84" s="12" t="str">
        <x:v>Dealer Manager</x:v>
      </x:c>
      <x:c r="L84" s="12" t="str">
        <x:f>IF(G84&gt;H84,"BREACH","OK")</x:f>
        <x:v>BREACH</x:v>
      </x:c>
    </x:row>
    <x:row r="85">
      <x:c r="A85" s="12" t="str">
        <x:v>PRC-00084</x:v>
      </x:c>
      <x:c r="B85" s="18" t="n">
        <x:v>46211</x:v>
      </x:c>
      <x:c r="C85" s="12" t="str">
        <x:v>DLR-014</x:v>
      </x:c>
      <x:c r="D85" s="12" t="str">
        <x:v>VinFast HTA Nam Từ Liêm</x:v>
      </x:c>
      <x:c r="E85" s="12" t="str">
        <x:v>VinFast</x:v>
      </x:c>
      <x:c r="F85" s="12" t="n">
        <x:v>1.36</x:v>
      </x:c>
      <x:c r="G85" s="34" t="n">
        <x:v>0.04776241224890394</x:v>
      </x:c>
      <x:c r="H85" s="34" t="n">
        <x:v>0.03</x:v>
      </x:c>
      <x:c r="I85" s="12" t="n">
        <x:v>1.295</x:v>
      </x:c>
      <x:c r="J85" s="12" t="n">
        <x:v>0.0242</x:v>
      </x:c>
      <x:c r="K85" s="12" t="str">
        <x:v>Dealer Manager</x:v>
      </x:c>
      <x:c r="L85" s="12" t="str">
        <x:f>IF(G85&gt;H85,"BREACH","OK")</x:f>
        <x:v>BREACH</x:v>
      </x:c>
    </x:row>
    <x:row r="86">
      <x:c r="A86" s="12" t="str">
        <x:v>PRC-00085</x:v>
      </x:c>
      <x:c r="B86" s="18" t="n">
        <x:v>46222</x:v>
      </x:c>
      <x:c r="C86" s="12" t="str">
        <x:v>DLR-018</x:v>
      </x:c>
      <x:c r="D86" s="12" t="str">
        <x:v>OMODA &amp; JAECOO HTA Nam Từ Liêm</x:v>
      </x:c>
      <x:c r="E86" s="12" t="str">
        <x:v>OMODA &amp; JAECOO</x:v>
      </x:c>
      <x:c r="F86" s="12" t="n">
        <x:v>0.793</x:v>
      </x:c>
      <x:c r="G86" s="34" t="n">
        <x:v>0.026171371353462328</x:v>
      </x:c>
      <x:c r="H86" s="34" t="n">
        <x:v>0.05</x:v>
      </x:c>
      <x:c r="I86" s="12" t="n">
        <x:v>0.772</x:v>
      </x:c>
      <x:c r="J86" s="12" t="n">
        <x:v>0</x:v>
      </x:c>
      <x:c r="K86" s="12" t="str">
        <x:v>Commercial Director</x:v>
      </x:c>
      <x:c r="L86" s="12" t="str">
        <x:f>IF(G86&gt;H86,"BREACH","OK")</x:f>
        <x:v>OK</x:v>
      </x:c>
    </x:row>
    <x:row r="87">
      <x:c r="A87" s="12" t="str">
        <x:v>PRC-00086</x:v>
      </x:c>
      <x:c r="B87" s="18" t="n">
        <x:v>46212</x:v>
      </x:c>
      <x:c r="C87" s="12" t="str">
        <x:v>DLR-001</x:v>
      </x:c>
      <x:c r="D87" s="12" t="str">
        <x:v>Hà Thành Ford</x:v>
      </x:c>
      <x:c r="E87" s="12" t="str">
        <x:v>Ford</x:v>
      </x:c>
      <x:c r="F87" s="12" t="n">
        <x:v>1.438</x:v>
      </x:c>
      <x:c r="G87" s="34" t="n">
        <x:v>0.07857518345295332</x:v>
      </x:c>
      <x:c r="H87" s="34" t="n">
        <x:v>0.05</x:v>
      </x:c>
      <x:c r="I87" s="12" t="n">
        <x:v>1.325</x:v>
      </x:c>
      <x:c r="J87" s="12" t="n">
        <x:v>0.0411</x:v>
      </x:c>
      <x:c r="K87" s="12" t="str">
        <x:v>Brand Director</x:v>
      </x:c>
      <x:c r="L87" s="12" t="str">
        <x:f>IF(G87&gt;H87,"BREACH","OK")</x:f>
        <x:v>BREACH</x:v>
      </x:c>
    </x:row>
    <x:row r="88">
      <x:c r="A88" s="12" t="str">
        <x:v>PRC-00087</x:v>
      </x:c>
      <x:c r="B88" s="18" t="n">
        <x:v>46211</x:v>
      </x:c>
      <x:c r="C88" s="12" t="str">
        <x:v>DLR-017</x:v>
      </x:c>
      <x:c r="D88" s="12" t="str">
        <x:v>VinFast Quốc Oai</x:v>
      </x:c>
      <x:c r="E88" s="12" t="str">
        <x:v>VinFast</x:v>
      </x:c>
      <x:c r="F88" s="12" t="n">
        <x:v>0.565</x:v>
      </x:c>
      <x:c r="G88" s="34" t="n">
        <x:v>0.032682285292357026</x:v>
      </x:c>
      <x:c r="H88" s="34" t="n">
        <x:v>0.05</x:v>
      </x:c>
      <x:c r="I88" s="12" t="n">
        <x:v>0.547</x:v>
      </x:c>
      <x:c r="J88" s="12" t="n">
        <x:v>0</x:v>
      </x:c>
      <x:c r="K88" s="12" t="str">
        <x:v>Dealer Manager</x:v>
      </x:c>
      <x:c r="L88" s="12" t="str">
        <x:f>IF(G88&gt;H88,"BREACH","OK")</x:f>
        <x:v>OK</x:v>
      </x:c>
    </x:row>
    <x:row r="89">
      <x:c r="A89" s="12" t="str">
        <x:v>PRC-00088</x:v>
      </x:c>
      <x:c r="B89" s="18" t="n">
        <x:v>46209</x:v>
      </x:c>
      <x:c r="C89" s="12" t="str">
        <x:v>DLR-008</x:v>
      </x:c>
      <x:c r="D89" s="12" t="str">
        <x:v>VinFast HTA Nguyễn Văn Linh</x:v>
      </x:c>
      <x:c r="E89" s="12" t="str">
        <x:v>VinFast</x:v>
      </x:c>
      <x:c r="F89" s="12" t="n">
        <x:v>0.513</x:v>
      </x:c>
      <x:c r="G89" s="34" t="n">
        <x:v>0.04618814511534356</x:v>
      </x:c>
      <x:c r="H89" s="34" t="n">
        <x:v>0.045</x:v>
      </x:c>
      <x:c r="I89" s="12" t="n">
        <x:v>0.489</x:v>
      </x:c>
      <x:c r="J89" s="12" t="n">
        <x:v>0.0006</x:v>
      </x:c>
      <x:c r="K89" s="12" t="str">
        <x:v>Brand Director</x:v>
      </x:c>
      <x:c r="L89" s="12" t="str">
        <x:f>IF(G89&gt;H89,"BREACH","OK")</x:f>
        <x:v>BREACH</x:v>
      </x:c>
    </x:row>
    <x:row r="90">
      <x:c r="A90" s="12" t="str">
        <x:v>PRC-00089</x:v>
      </x:c>
      <x:c r="B90" s="18" t="n">
        <x:v>46209</x:v>
      </x:c>
      <x:c r="C90" s="12" t="str">
        <x:v>DLR-005</x:v>
      </x:c>
      <x:c r="D90" s="12" t="str">
        <x:v>BYD HTA Tây Hồ</x:v>
      </x:c>
      <x:c r="E90" s="12" t="str">
        <x:v>BYD</x:v>
      </x:c>
      <x:c r="F90" s="12" t="n">
        <x:v>0.695</x:v>
      </x:c>
      <x:c r="G90" s="34" t="n">
        <x:v>0.03075507497763217</x:v>
      </x:c>
      <x:c r="H90" s="34" t="n">
        <x:v>0.03</x:v>
      </x:c>
      <x:c r="I90" s="12" t="n">
        <x:v>0.674</x:v>
      </x:c>
      <x:c r="J90" s="12" t="n">
        <x:v>0.0005</x:v>
      </x:c>
      <x:c r="K90" s="12" t="str">
        <x:v>Dealer Manager</x:v>
      </x:c>
      <x:c r="L90" s="12" t="str">
        <x:f>IF(G90&gt;H90,"BREACH","OK")</x:f>
        <x:v>BREACH</x:v>
      </x:c>
    </x:row>
    <x:row r="91">
      <x:c r="A91" s="12" t="str">
        <x:v>PRC-00090</x:v>
      </x:c>
      <x:c r="B91" s="18" t="n">
        <x:v>46223</x:v>
      </x:c>
      <x:c r="C91" s="12" t="str">
        <x:v>DLR-016</x:v>
      </x:c>
      <x:c r="D91" s="12" t="str">
        <x:v>VinFast HTA Mỹ Đình</x:v>
      </x:c>
      <x:c r="E91" s="12" t="str">
        <x:v>VinFast</x:v>
      </x:c>
      <x:c r="F91" s="12" t="n">
        <x:v>0.499</x:v>
      </x:c>
      <x:c r="G91" s="34" t="n">
        <x:v>0.06203261976368564</x:v>
      </x:c>
      <x:c r="H91" s="34" t="n">
        <x:v>0.045</x:v>
      </x:c>
      <x:c r="I91" s="12" t="n">
        <x:v>0.468</x:v>
      </x:c>
      <x:c r="J91" s="12" t="n">
        <x:v>0.0085</x:v>
      </x:c>
      <x:c r="K91" s="12" t="str">
        <x:v>Dealer Manager</x:v>
      </x:c>
      <x:c r="L91" s="12" t="str">
        <x:f>IF(G91&gt;H91,"BREACH","OK")</x:f>
        <x:v>BREACH</x:v>
      </x:c>
    </x:row>
    <x:row r="92">
      <x:c r="A92" s="12" t="str">
        <x:v>PRC-00091</x:v>
      </x:c>
      <x:c r="B92" s="18" t="n">
        <x:v>46219</x:v>
      </x:c>
      <x:c r="C92" s="12" t="str">
        <x:v>DLR-017</x:v>
      </x:c>
      <x:c r="D92" s="12" t="str">
        <x:v>VinFast Quốc Oai</x:v>
      </x:c>
      <x:c r="E92" s="12" t="str">
        <x:v>VinFast</x:v>
      </x:c>
      <x:c r="F92" s="12" t="n">
        <x:v>1.125</x:v>
      </x:c>
      <x:c r="G92" s="34" t="n">
        <x:v>0.06092074715351819</x:v>
      </x:c>
      <x:c r="H92" s="34" t="n">
        <x:v>0.04</x:v>
      </x:c>
      <x:c r="I92" s="12" t="n">
        <x:v>1.056</x:v>
      </x:c>
      <x:c r="J92" s="12" t="n">
        <x:v>0.0235</x:v>
      </x:c>
      <x:c r="K92" s="12" t="str">
        <x:v>Dealer Manager</x:v>
      </x:c>
      <x:c r="L92" s="12" t="str">
        <x:f>IF(G92&gt;H92,"BREACH","OK")</x:f>
        <x:v>BREACH</x:v>
      </x:c>
    </x:row>
    <x:row r="93">
      <x:c r="A93" s="12" t="str">
        <x:v>PRC-00092</x:v>
      </x:c>
      <x:c r="B93" s="18" t="n">
        <x:v>46212</x:v>
      </x:c>
      <x:c r="C93" s="12" t="str">
        <x:v>DLR-007</x:v>
      </x:c>
      <x:c r="D93" s="12" t="str">
        <x:v>BYD Hà Đông</x:v>
      </x:c>
      <x:c r="E93" s="12" t="str">
        <x:v>BYD</x:v>
      </x:c>
      <x:c r="F93" s="12" t="n">
        <x:v>0.365</x:v>
      </x:c>
      <x:c r="G93" s="34" t="n">
        <x:v>0.07118333952789274</x:v>
      </x:c>
      <x:c r="H93" s="34" t="n">
        <x:v>0.04</x:v>
      </x:c>
      <x:c r="I93" s="12" t="n">
        <x:v>0.339</x:v>
      </x:c>
      <x:c r="J93" s="12" t="n">
        <x:v>0.0114</x:v>
      </x:c>
      <x:c r="K93" s="12" t="str">
        <x:v>Commercial Director</x:v>
      </x:c>
      <x:c r="L93" s="12" t="str">
        <x:f>IF(G93&gt;H93,"BREACH","OK")</x:f>
        <x:v>BREACH</x:v>
      </x:c>
    </x:row>
    <x:row r="94">
      <x:c r="A94" s="12" t="str">
        <x:v>PRC-00093</x:v>
      </x:c>
      <x:c r="B94" s="18" t="n">
        <x:v>46212</x:v>
      </x:c>
      <x:c r="C94" s="12" t="str">
        <x:v>DLR-020</x:v>
      </x:c>
      <x:c r="D94" s="12" t="str">
        <x:v>Wuling HTA Long Biên</x:v>
      </x:c>
      <x:c r="E94" s="12" t="str">
        <x:v>Wuling</x:v>
      </x:c>
      <x:c r="F94" s="12" t="n">
        <x:v>1.366</x:v>
      </x:c>
      <x:c r="G94" s="34" t="n">
        <x:v>0.07889719476624132</x:v>
      </x:c>
      <x:c r="H94" s="34" t="n">
        <x:v>0.045</x:v>
      </x:c>
      <x:c r="I94" s="12" t="n">
        <x:v>1.258</x:v>
      </x:c>
      <x:c r="J94" s="12" t="n">
        <x:v>0.0463</x:v>
      </x:c>
      <x:c r="K94" s="12" t="str">
        <x:v>Brand Director</x:v>
      </x:c>
      <x:c r="L94" s="12" t="str">
        <x:f>IF(G94&gt;H94,"BREACH","OK")</x:f>
        <x:v>BREACH</x:v>
      </x:c>
    </x:row>
    <x:row r="95">
      <x:c r="A95" s="12" t="str">
        <x:v>PRC-00094</x:v>
      </x:c>
      <x:c r="B95" s="18" t="n">
        <x:v>46224</x:v>
      </x:c>
      <x:c r="C95" s="12" t="str">
        <x:v>DLR-006</x:v>
      </x:c>
      <x:c r="D95" s="12" t="str">
        <x:v>BYD HTA Hoàn Kiếm</x:v>
      </x:c>
      <x:c r="E95" s="12" t="str">
        <x:v>BYD</x:v>
      </x:c>
      <x:c r="F95" s="12" t="n">
        <x:v>1.407</x:v>
      </x:c>
      <x:c r="G95" s="34" t="n">
        <x:v>0.06729879962193358</x:v>
      </x:c>
      <x:c r="H95" s="34" t="n">
        <x:v>0.04</x:v>
      </x:c>
      <x:c r="I95" s="12" t="n">
        <x:v>1.312</x:v>
      </x:c>
      <x:c r="J95" s="12" t="n">
        <x:v>0.0384</x:v>
      </x:c>
      <x:c r="K95" s="12" t="str">
        <x:v>Dealer Manager</x:v>
      </x:c>
      <x:c r="L95" s="12" t="str">
        <x:f>IF(G95&gt;H95,"BREACH","OK")</x:f>
        <x:v>BREACH</x:v>
      </x:c>
    </x:row>
    <x:row r="96">
      <x:c r="A96" s="12" t="str">
        <x:v>PRC-00095</x:v>
      </x:c>
      <x:c r="B96" s="18" t="n">
        <x:v>46221</x:v>
      </x:c>
      <x:c r="C96" s="12" t="str">
        <x:v>DLR-007</x:v>
      </x:c>
      <x:c r="D96" s="12" t="str">
        <x:v>BYD Hà Đông</x:v>
      </x:c>
      <x:c r="E96" s="12" t="str">
        <x:v>BYD</x:v>
      </x:c>
      <x:c r="F96" s="12" t="n">
        <x:v>1.347</x:v>
      </x:c>
      <x:c r="G96" s="34" t="n">
        <x:v>0.03963260099503648</x:v>
      </x:c>
      <x:c r="H96" s="34" t="n">
        <x:v>0.03</x:v>
      </x:c>
      <x:c r="I96" s="12" t="n">
        <x:v>1.294</x:v>
      </x:c>
      <x:c r="J96" s="12" t="n">
        <x:v>0.013</x:v>
      </x:c>
      <x:c r="K96" s="12" t="str">
        <x:v>Dealer Manager</x:v>
      </x:c>
      <x:c r="L96" s="12" t="str">
        <x:f>IF(G96&gt;H96,"BREACH","OK")</x:f>
        <x:v>BREACH</x:v>
      </x:c>
    </x:row>
    <x:row r="97">
      <x:c r="A97" s="12" t="str">
        <x:v>PRC-00096</x:v>
      </x:c>
      <x:c r="B97" s="18" t="n">
        <x:v>46213</x:v>
      </x:c>
      <x:c r="C97" s="12" t="str">
        <x:v>DLR-018</x:v>
      </x:c>
      <x:c r="D97" s="12" t="str">
        <x:v>OMODA &amp; JAECOO HTA Nam Từ Liêm</x:v>
      </x:c>
      <x:c r="E97" s="12" t="str">
        <x:v>OMODA &amp; JAECOO</x:v>
      </x:c>
      <x:c r="F97" s="12" t="n">
        <x:v>0.811</x:v>
      </x:c>
      <x:c r="G97" s="34" t="n">
        <x:v>0.039016352120204295</x:v>
      </x:c>
      <x:c r="H97" s="34" t="n">
        <x:v>0.045</x:v>
      </x:c>
      <x:c r="I97" s="12" t="n">
        <x:v>0.779</x:v>
      </x:c>
      <x:c r="J97" s="12" t="n">
        <x:v>0</x:v>
      </x:c>
      <x:c r="K97" s="12" t="str">
        <x:v>Dealer Manager</x:v>
      </x:c>
      <x:c r="L97" s="12" t="str">
        <x:f>IF(G97&gt;H97,"BREACH","OK")</x:f>
        <x:v>OK</x:v>
      </x:c>
    </x:row>
    <x:row r="98">
      <x:c r="A98" s="12" t="str">
        <x:v>PRC-00097</x:v>
      </x:c>
      <x:c r="B98" s="18" t="n">
        <x:v>46218</x:v>
      </x:c>
      <x:c r="C98" s="12" t="str">
        <x:v>DLR-010</x:v>
      </x:c>
      <x:c r="D98" s="12" t="str">
        <x:v>VinFast HTA Đàm Quang Trung</x:v>
      </x:c>
      <x:c r="E98" s="12" t="str">
        <x:v>VinFast</x:v>
      </x:c>
      <x:c r="F98" s="12" t="n">
        <x:v>1.7</x:v>
      </x:c>
      <x:c r="G98" s="34" t="n">
        <x:v>0.014102520385194831</x:v>
      </x:c>
      <x:c r="H98" s="34" t="n">
        <x:v>0.05</x:v>
      </x:c>
      <x:c r="I98" s="12" t="n">
        <x:v>1.676</x:v>
      </x:c>
      <x:c r="J98" s="12" t="n">
        <x:v>0</x:v>
      </x:c>
      <x:c r="K98" s="12" t="str">
        <x:v>Commercial Director</x:v>
      </x:c>
      <x:c r="L98" s="12" t="str">
        <x:f>IF(G98&gt;H98,"BREACH","OK")</x:f>
        <x:v>OK</x:v>
      </x:c>
    </x:row>
    <x:row r="99">
      <x:c r="A99" s="12" t="str">
        <x:v>PRC-00098</x:v>
      </x:c>
      <x:c r="B99" s="18" t="n">
        <x:v>46209</x:v>
      </x:c>
      <x:c r="C99" s="12" t="str">
        <x:v>DLR-014</x:v>
      </x:c>
      <x:c r="D99" s="12" t="str">
        <x:v>VinFast HTA Nam Từ Liêm</x:v>
      </x:c>
      <x:c r="E99" s="12" t="str">
        <x:v>VinFast</x:v>
      </x:c>
      <x:c r="F99" s="12" t="n">
        <x:v>0.818</x:v>
      </x:c>
      <x:c r="G99" s="34" t="n">
        <x:v>0.037332588092609226</x:v>
      </x:c>
      <x:c r="H99" s="34" t="n">
        <x:v>0.03</x:v>
      </x:c>
      <x:c r="I99" s="12" t="n">
        <x:v>0.787</x:v>
      </x:c>
      <x:c r="J99" s="12" t="n">
        <x:v>0.006</x:v>
      </x:c>
      <x:c r="K99" s="12" t="str">
        <x:v>Commercial Director</x:v>
      </x:c>
      <x:c r="L99" s="12" t="str">
        <x:f>IF(G99&gt;H99,"BREACH","OK")</x:f>
        <x:v>BREACH</x:v>
      </x:c>
    </x:row>
    <x:row r="100">
      <x:c r="A100" s="12" t="str">
        <x:v>PRC-00099</x:v>
      </x:c>
      <x:c r="B100" s="18" t="n">
        <x:v>46220</x:v>
      </x:c>
      <x:c r="C100" s="12" t="str">
        <x:v>DLR-015</x:v>
      </x:c>
      <x:c r="D100" s="12" t="str">
        <x:v>VinFast HTA Văn Phú</x:v>
      </x:c>
      <x:c r="E100" s="12" t="str">
        <x:v>VinFast</x:v>
      </x:c>
      <x:c r="F100" s="12" t="n">
        <x:v>1.646</x:v>
      </x:c>
      <x:c r="G100" s="34" t="n">
        <x:v>0.02663886781229302</x:v>
      </x:c>
      <x:c r="H100" s="34" t="n">
        <x:v>0.03</x:v>
      </x:c>
      <x:c r="I100" s="12" t="n">
        <x:v>1.602</x:v>
      </x:c>
      <x:c r="J100" s="12" t="n">
        <x:v>0</x:v>
      </x:c>
      <x:c r="K100" s="12" t="str">
        <x:v>Dealer Manager</x:v>
      </x:c>
      <x:c r="L100" s="12" t="str">
        <x:f>IF(G100&gt;H100,"BREACH","OK")</x:f>
        <x:v>OK</x:v>
      </x:c>
    </x:row>
    <x:row r="101">
      <x:c r="A101" s="12" t="str">
        <x:v>PRC-00100</x:v>
      </x:c>
      <x:c r="B101" s="18" t="n">
        <x:v>46205</x:v>
      </x:c>
      <x:c r="C101" s="12" t="str">
        <x:v>DLR-005</x:v>
      </x:c>
      <x:c r="D101" s="12" t="str">
        <x:v>BYD HTA Tây Hồ</x:v>
      </x:c>
      <x:c r="E101" s="12" t="str">
        <x:v>BYD</x:v>
      </x:c>
      <x:c r="F101" s="12" t="n">
        <x:v>0.996</x:v>
      </x:c>
      <x:c r="G101" s="34" t="n">
        <x:v>0.06289392666903747</x:v>
      </x:c>
      <x:c r="H101" s="34" t="n">
        <x:v>0.05</x:v>
      </x:c>
      <x:c r="I101" s="12" t="n">
        <x:v>0.934</x:v>
      </x:c>
      <x:c r="J101" s="12" t="n">
        <x:v>0.0128</x:v>
      </x:c>
      <x:c r="K101" s="12" t="str">
        <x:v>Brand Director</x:v>
      </x:c>
      <x:c r="L101" s="12" t="str">
        <x:f>IF(G101&gt;H101,"BREACH","OK")</x:f>
        <x:v>BREACH</x:v>
      </x:c>
    </x:row>
    <x:row r="102">
      <x:c r="A102" s="12" t="str">
        <x:v>PRC-00101</x:v>
      </x:c>
      <x:c r="B102" s="18" t="n">
        <x:v>46224</x:v>
      </x:c>
      <x:c r="C102" s="12" t="str">
        <x:v>DLR-001</x:v>
      </x:c>
      <x:c r="D102" s="12" t="str">
        <x:v>Hà Thành Ford</x:v>
      </x:c>
      <x:c r="E102" s="12" t="str">
        <x:v>Ford</x:v>
      </x:c>
      <x:c r="F102" s="12" t="n">
        <x:v>1.308</x:v>
      </x:c>
      <x:c r="G102" s="34" t="n">
        <x:v>0.0741017028672738</x:v>
      </x:c>
      <x:c r="H102" s="34" t="n">
        <x:v>0.03</x:v>
      </x:c>
      <x:c r="I102" s="12" t="n">
        <x:v>1.211</x:v>
      </x:c>
      <x:c r="J102" s="12" t="n">
        <x:v>0.0577</x:v>
      </x:c>
      <x:c r="K102" s="12" t="str">
        <x:v>Brand Director</x:v>
      </x:c>
      <x:c r="L102" s="12" t="str">
        <x:f>IF(G102&gt;H102,"BREACH","OK")</x:f>
        <x:v>BREACH</x:v>
      </x:c>
    </x:row>
    <x:row r="103">
      <x:c r="A103" s="12" t="str">
        <x:v>PRC-00102</x:v>
      </x:c>
      <x:c r="B103" s="18" t="n">
        <x:v>46224</x:v>
      </x:c>
      <x:c r="C103" s="12" t="str">
        <x:v>DLR-009</x:v>
      </x:c>
      <x:c r="D103" s="12" t="str">
        <x:v>VinFast HTA Đông Anh</x:v>
      </x:c>
      <x:c r="E103" s="12" t="str">
        <x:v>VinFast</x:v>
      </x:c>
      <x:c r="F103" s="12" t="n">
        <x:v>1.68</x:v>
      </x:c>
      <x:c r="G103" s="34" t="n">
        <x:v>0.05650150697723956</x:v>
      </x:c>
      <x:c r="H103" s="34" t="n">
        <x:v>0.045</x:v>
      </x:c>
      <x:c r="I103" s="12" t="n">
        <x:v>1.585</x:v>
      </x:c>
      <x:c r="J103" s="12" t="n">
        <x:v>0.0193</x:v>
      </x:c>
      <x:c r="K103" s="12" t="str">
        <x:v>Commercial Director</x:v>
      </x:c>
      <x:c r="L103" s="12" t="str">
        <x:f>IF(G103&gt;H103,"BREACH","OK")</x:f>
        <x:v>BREACH</x:v>
      </x:c>
    </x:row>
    <x:row r="104">
      <x:c r="A104" s="12" t="str">
        <x:v>PRC-00103</x:v>
      </x:c>
      <x:c r="B104" s="18" t="n">
        <x:v>46211</x:v>
      </x:c>
      <x:c r="C104" s="12" t="str">
        <x:v>DLR-011</x:v>
      </x:c>
      <x:c r="D104" s="12" t="str">
        <x:v>VinFast HTA Phạm Văn Đồng</x:v>
      </x:c>
      <x:c r="E104" s="12" t="str">
        <x:v>VinFast</x:v>
      </x:c>
      <x:c r="F104" s="12" t="n">
        <x:v>1.498</x:v>
      </x:c>
      <x:c r="G104" s="34" t="n">
        <x:v>0.0339703788598035</x:v>
      </x:c>
      <x:c r="H104" s="34" t="n">
        <x:v>0.04</x:v>
      </x:c>
      <x:c r="I104" s="12" t="n">
        <x:v>1.447</x:v>
      </x:c>
      <x:c r="J104" s="12" t="n">
        <x:v>0</x:v>
      </x:c>
      <x:c r="K104" s="12" t="str">
        <x:v>Commercial Director</x:v>
      </x:c>
      <x:c r="L104" s="12" t="str">
        <x:f>IF(G104&gt;H104,"BREACH","OK")</x:f>
        <x:v>OK</x:v>
      </x:c>
    </x:row>
    <x:row r="105">
      <x:c r="A105" s="12" t="str">
        <x:v>PRC-00104</x:v>
      </x:c>
      <x:c r="B105" s="18" t="n">
        <x:v>46205</x:v>
      </x:c>
      <x:c r="C105" s="12" t="str">
        <x:v>DLR-003</x:v>
      </x:c>
      <x:c r="D105" s="12" t="str">
        <x:v>Mỹ Đình Ford</x:v>
      </x:c>
      <x:c r="E105" s="12" t="str">
        <x:v>Ford</x:v>
      </x:c>
      <x:c r="F105" s="12" t="n">
        <x:v>1.16</x:v>
      </x:c>
      <x:c r="G105" s="34" t="n">
        <x:v>0.01608075866133163</x:v>
      </x:c>
      <x:c r="H105" s="34" t="n">
        <x:v>0.045</x:v>
      </x:c>
      <x:c r="I105" s="12" t="n">
        <x:v>1.141</x:v>
      </x:c>
      <x:c r="J105" s="12" t="n">
        <x:v>0</x:v>
      </x:c>
      <x:c r="K105" s="12" t="str">
        <x:v>Commercial Director</x:v>
      </x:c>
      <x:c r="L105" s="12" t="str">
        <x:f>IF(G105&gt;H105,"BREACH","OK")</x:f>
        <x:v>OK</x:v>
      </x:c>
    </x:row>
    <x:row r="106">
      <x:c r="A106" s="12" t="str">
        <x:v>PRC-00105</x:v>
      </x:c>
      <x:c r="B106" s="18" t="n">
        <x:v>46209</x:v>
      </x:c>
      <x:c r="C106" s="12" t="str">
        <x:v>DLR-009</x:v>
      </x:c>
      <x:c r="D106" s="12" t="str">
        <x:v>VinFast HTA Đông Anh</x:v>
      </x:c>
      <x:c r="E106" s="12" t="str">
        <x:v>VinFast</x:v>
      </x:c>
      <x:c r="F106" s="12" t="n">
        <x:v>0.745</x:v>
      </x:c>
      <x:c r="G106" s="34" t="n">
        <x:v>0.05738467277592424</x:v>
      </x:c>
      <x:c r="H106" s="34" t="n">
        <x:v>0.05</x:v>
      </x:c>
      <x:c r="I106" s="12" t="n">
        <x:v>0.702</x:v>
      </x:c>
      <x:c r="J106" s="12" t="n">
        <x:v>0.0055</x:v>
      </x:c>
      <x:c r="K106" s="12" t="str">
        <x:v>Dealer Manager</x:v>
      </x:c>
      <x:c r="L106" s="12" t="str">
        <x:f>IF(G106&gt;H106,"BREACH","OK")</x:f>
        <x:v>BREACH</x:v>
      </x:c>
    </x:row>
    <x:row r="107">
      <x:c r="A107" s="12" t="str">
        <x:v>PRC-00106</x:v>
      </x:c>
      <x:c r="B107" s="18" t="n">
        <x:v>46205</x:v>
      </x:c>
      <x:c r="C107" s="12" t="str">
        <x:v>DLR-008</x:v>
      </x:c>
      <x:c r="D107" s="12" t="str">
        <x:v>VinFast HTA Nguyễn Văn Linh</x:v>
      </x:c>
      <x:c r="E107" s="12" t="str">
        <x:v>VinFast</x:v>
      </x:c>
      <x:c r="F107" s="12" t="n">
        <x:v>1.373</x:v>
      </x:c>
      <x:c r="G107" s="34" t="n">
        <x:v>0.010048495485088923</x:v>
      </x:c>
      <x:c r="H107" s="34" t="n">
        <x:v>0.04</x:v>
      </x:c>
      <x:c r="I107" s="12" t="n">
        <x:v>1.359</x:v>
      </x:c>
      <x:c r="J107" s="12" t="n">
        <x:v>0</x:v>
      </x:c>
      <x:c r="K107" s="12" t="str">
        <x:v>Dealer Manager</x:v>
      </x:c>
      <x:c r="L107" s="12" t="str">
        <x:f>IF(G107&gt;H107,"BREACH","OK")</x:f>
        <x:v>OK</x:v>
      </x:c>
    </x:row>
    <x:row r="108">
      <x:c r="A108" s="12" t="str">
        <x:v>PRC-00107</x:v>
      </x:c>
      <x:c r="B108" s="18" t="n">
        <x:v>46215</x:v>
      </x:c>
      <x:c r="C108" s="12" t="str">
        <x:v>DLR-016</x:v>
      </x:c>
      <x:c r="D108" s="12" t="str">
        <x:v>VinFast HTA Mỹ Đình</x:v>
      </x:c>
      <x:c r="E108" s="12" t="str">
        <x:v>VinFast</x:v>
      </x:c>
      <x:c r="F108" s="12" t="n">
        <x:v>1.499</x:v>
      </x:c>
      <x:c r="G108" s="34" t="n">
        <x:v>0.05623260906480584</x:v>
      </x:c>
      <x:c r="H108" s="34" t="n">
        <x:v>0.04</x:v>
      </x:c>
      <x:c r="I108" s="12" t="n">
        <x:v>1.414</x:v>
      </x:c>
      <x:c r="J108" s="12" t="n">
        <x:v>0.0243</x:v>
      </x:c>
      <x:c r="K108" s="12" t="str">
        <x:v>Commercial Director</x:v>
      </x:c>
      <x:c r="L108" s="12" t="str">
        <x:f>IF(G108&gt;H108,"BREACH","OK")</x:f>
        <x:v>BREACH</x:v>
      </x:c>
    </x:row>
    <x:row r="109">
      <x:c r="A109" s="12" t="str">
        <x:v>PRC-00108</x:v>
      </x:c>
      <x:c r="B109" s="18" t="n">
        <x:v>46208</x:v>
      </x:c>
      <x:c r="C109" s="12" t="str">
        <x:v>DLR-011</x:v>
      </x:c>
      <x:c r="D109" s="12" t="str">
        <x:v>VinFast HTA Phạm Văn Đồng</x:v>
      </x:c>
      <x:c r="E109" s="12" t="str">
        <x:v>VinFast</x:v>
      </x:c>
      <x:c r="F109" s="12" t="n">
        <x:v>1.655</x:v>
      </x:c>
      <x:c r="G109" s="34" t="n">
        <x:v>0.017285580593122143</x:v>
      </x:c>
      <x:c r="H109" s="34" t="n">
        <x:v>0.03</x:v>
      </x:c>
      <x:c r="I109" s="12" t="n">
        <x:v>1.627</x:v>
      </x:c>
      <x:c r="J109" s="12" t="n">
        <x:v>0</x:v>
      </x:c>
      <x:c r="K109" s="12" t="str">
        <x:v>Dealer Manager</x:v>
      </x:c>
      <x:c r="L109" s="12" t="str">
        <x:f>IF(G109&gt;H109,"BREACH","OK")</x:f>
        <x:v>OK</x:v>
      </x:c>
    </x:row>
    <x:row r="110">
      <x:c r="A110" s="12" t="str">
        <x:v>PRC-00109</x:v>
      </x:c>
      <x:c r="B110" s="18" t="n">
        <x:v>46222</x:v>
      </x:c>
      <x:c r="C110" s="12" t="str">
        <x:v>DLR-020</x:v>
      </x:c>
      <x:c r="D110" s="12" t="str">
        <x:v>Wuling HTA Long Biên</x:v>
      </x:c>
      <x:c r="E110" s="12" t="str">
        <x:v>Wuling</x:v>
      </x:c>
      <x:c r="F110" s="12" t="n">
        <x:v>1.021</x:v>
      </x:c>
      <x:c r="G110" s="34" t="n">
        <x:v>0.0619039915142672</x:v>
      </x:c>
      <x:c r="H110" s="34" t="n">
        <x:v>0.045</x:v>
      </x:c>
      <x:c r="I110" s="12" t="n">
        <x:v>0.957</x:v>
      </x:c>
      <x:c r="J110" s="12" t="n">
        <x:v>0.0173</x:v>
      </x:c>
      <x:c r="K110" s="12" t="str">
        <x:v>Commercial Director</x:v>
      </x:c>
      <x:c r="L110" s="12" t="str">
        <x:f>IF(G110&gt;H110,"BREACH","OK")</x:f>
        <x:v>BREACH</x:v>
      </x:c>
    </x:row>
    <x:row r="111">
      <x:c r="A111" s="12" t="str">
        <x:v>PRC-00110</x:v>
      </x:c>
      <x:c r="B111" s="18" t="n">
        <x:v>46213</x:v>
      </x:c>
      <x:c r="C111" s="12" t="str">
        <x:v>DLR-002</x:v>
      </x:c>
      <x:c r="D111" s="12" t="str">
        <x:v>Hà Thành Ford - Mỹ Đình</x:v>
      </x:c>
      <x:c r="E111" s="12" t="str">
        <x:v>Ford</x:v>
      </x:c>
      <x:c r="F111" s="12" t="n">
        <x:v>1.339</x:v>
      </x:c>
      <x:c r="G111" s="34" t="n">
        <x:v>0.04667208738071261</x:v>
      </x:c>
      <x:c r="H111" s="34" t="n">
        <x:v>0.045</x:v>
      </x:c>
      <x:c r="I111" s="12" t="n">
        <x:v>1.277</x:v>
      </x:c>
      <x:c r="J111" s="12" t="n">
        <x:v>0.0022</x:v>
      </x:c>
      <x:c r="K111" s="12" t="str">
        <x:v>Commercial Director</x:v>
      </x:c>
      <x:c r="L111" s="12" t="str">
        <x:f>IF(G111&gt;H111,"BREACH","OK")</x:f>
        <x:v>BREACH</x:v>
      </x:c>
    </x:row>
    <x:row r="112">
      <x:c r="A112" s="12" t="str">
        <x:v>PRC-00111</x:v>
      </x:c>
      <x:c r="B112" s="18" t="n">
        <x:v>46212</x:v>
      </x:c>
      <x:c r="C112" s="12" t="str">
        <x:v>DLR-020</x:v>
      </x:c>
      <x:c r="D112" s="12" t="str">
        <x:v>Wuling HTA Long Biên</x:v>
      </x:c>
      <x:c r="E112" s="12" t="str">
        <x:v>Wuling</x:v>
      </x:c>
      <x:c r="F112" s="12" t="n">
        <x:v>0.538</x:v>
      </x:c>
      <x:c r="G112" s="34" t="n">
        <x:v>0.04350705859365458</x:v>
      </x:c>
      <x:c r="H112" s="34" t="n">
        <x:v>0.04</x:v>
      </x:c>
      <x:c r="I112" s="12" t="n">
        <x:v>0.515</x:v>
      </x:c>
      <x:c r="J112" s="12" t="n">
        <x:v>0.0019</x:v>
      </x:c>
      <x:c r="K112" s="12" t="str">
        <x:v>Dealer Manager</x:v>
      </x:c>
      <x:c r="L112" s="12" t="str">
        <x:f>IF(G112&gt;H112,"BREACH","OK")</x:f>
        <x:v>BREACH</x:v>
      </x:c>
    </x:row>
    <x:row r="113">
      <x:c r="A113" s="12" t="str">
        <x:v>PRC-00112</x:v>
      </x:c>
      <x:c r="B113" s="18" t="n">
        <x:v>46220</x:v>
      </x:c>
      <x:c r="C113" s="12" t="str">
        <x:v>DLR-020</x:v>
      </x:c>
      <x:c r="D113" s="12" t="str">
        <x:v>Wuling HTA Long Biên</x:v>
      </x:c>
      <x:c r="E113" s="12" t="str">
        <x:v>Wuling</x:v>
      </x:c>
      <x:c r="F113" s="12" t="n">
        <x:v>0.507</x:v>
      </x:c>
      <x:c r="G113" s="34" t="n">
        <x:v>0.06960018404975818</x:v>
      </x:c>
      <x:c r="H113" s="34" t="n">
        <x:v>0.03</x:v>
      </x:c>
      <x:c r="I113" s="12" t="n">
        <x:v>0.472</x:v>
      </x:c>
      <x:c r="J113" s="12" t="n">
        <x:v>0.0201</x:v>
      </x:c>
      <x:c r="K113" s="12" t="str">
        <x:v>Commercial Director</x:v>
      </x:c>
      <x:c r="L113" s="12" t="str">
        <x:f>IF(G113&gt;H113,"BREACH","OK")</x:f>
        <x:v>BREACH</x:v>
      </x:c>
    </x:row>
    <x:row r="114">
      <x:c r="A114" s="12" t="str">
        <x:v>PRC-00113</x:v>
      </x:c>
      <x:c r="B114" s="18" t="n">
        <x:v>46211</x:v>
      </x:c>
      <x:c r="C114" s="12" t="str">
        <x:v>DLR-010</x:v>
      </x:c>
      <x:c r="D114" s="12" t="str">
        <x:v>VinFast HTA Đàm Quang Trung</x:v>
      </x:c>
      <x:c r="E114" s="12" t="str">
        <x:v>VinFast</x:v>
      </x:c>
      <x:c r="F114" s="12" t="n">
        <x:v>1.376</x:v>
      </x:c>
      <x:c r="G114" s="34" t="n">
        <x:v>0.05145681334264486</x:v>
      </x:c>
      <x:c r="H114" s="34" t="n">
        <x:v>0.045</x:v>
      </x:c>
      <x:c r="I114" s="12" t="n">
        <x:v>1.305</x:v>
      </x:c>
      <x:c r="J114" s="12" t="n">
        <x:v>0.0089</x:v>
      </x:c>
      <x:c r="K114" s="12" t="str">
        <x:v>Commercial Director</x:v>
      </x:c>
      <x:c r="L114" s="12" t="str">
        <x:f>IF(G114&gt;H114,"BREACH","OK")</x:f>
        <x:v>BREACH</x:v>
      </x:c>
    </x:row>
    <x:row r="115">
      <x:c r="A115" s="12" t="str">
        <x:v>PRC-00114</x:v>
      </x:c>
      <x:c r="B115" s="18" t="n">
        <x:v>46211</x:v>
      </x:c>
      <x:c r="C115" s="12" t="str">
        <x:v>DLR-020</x:v>
      </x:c>
      <x:c r="D115" s="12" t="str">
        <x:v>Wuling HTA Long Biên</x:v>
      </x:c>
      <x:c r="E115" s="12" t="str">
        <x:v>Wuling</x:v>
      </x:c>
      <x:c r="F115" s="12" t="n">
        <x:v>0.526</x:v>
      </x:c>
      <x:c r="G115" s="34" t="n">
        <x:v>0.07566625070157465</x:v>
      </x:c>
      <x:c r="H115" s="34" t="n">
        <x:v>0.045</x:v>
      </x:c>
      <x:c r="I115" s="12" t="n">
        <x:v>0.486</x:v>
      </x:c>
      <x:c r="J115" s="12" t="n">
        <x:v>0.0161</x:v>
      </x:c>
      <x:c r="K115" s="12" t="str">
        <x:v>Dealer Manager</x:v>
      </x:c>
      <x:c r="L115" s="12" t="str">
        <x:f>IF(G115&gt;H115,"BREACH","OK")</x:f>
        <x:v>BREACH</x:v>
      </x:c>
    </x:row>
    <x:row r="116">
      <x:c r="A116" s="12" t="str">
        <x:v>PRC-00115</x:v>
      </x:c>
      <x:c r="B116" s="18" t="n">
        <x:v>46225</x:v>
      </x:c>
      <x:c r="C116" s="12" t="str">
        <x:v>DLR-014</x:v>
      </x:c>
      <x:c r="D116" s="12" t="str">
        <x:v>VinFast HTA Nam Từ Liêm</x:v>
      </x:c>
      <x:c r="E116" s="12" t="str">
        <x:v>VinFast</x:v>
      </x:c>
      <x:c r="F116" s="12" t="n">
        <x:v>1.349</x:v>
      </x:c>
      <x:c r="G116" s="34" t="n">
        <x:v>0.035053832690103814</x:v>
      </x:c>
      <x:c r="H116" s="34" t="n">
        <x:v>0.045</x:v>
      </x:c>
      <x:c r="I116" s="12" t="n">
        <x:v>1.301</x:v>
      </x:c>
      <x:c r="J116" s="12" t="n">
        <x:v>0</x:v>
      </x:c>
      <x:c r="K116" s="12" t="str">
        <x:v>Commercial Director</x:v>
      </x:c>
      <x:c r="L116" s="12" t="str">
        <x:f>IF(G116&gt;H116,"BREACH","OK")</x:f>
        <x:v>OK</x:v>
      </x:c>
    </x:row>
    <x:row r="117">
      <x:c r="A117" s="12" t="str">
        <x:v>PRC-00116</x:v>
      </x:c>
      <x:c r="B117" s="18" t="n">
        <x:v>46224</x:v>
      </x:c>
      <x:c r="C117" s="12" t="str">
        <x:v>DLR-017</x:v>
      </x:c>
      <x:c r="D117" s="12" t="str">
        <x:v>VinFast Quốc Oai</x:v>
      </x:c>
      <x:c r="E117" s="12" t="str">
        <x:v>VinFast</x:v>
      </x:c>
      <x:c r="F117" s="12" t="n">
        <x:v>0.774</x:v>
      </x:c>
      <x:c r="G117" s="34" t="n">
        <x:v>0.027533438747321795</x:v>
      </x:c>
      <x:c r="H117" s="34" t="n">
        <x:v>0.05</x:v>
      </x:c>
      <x:c r="I117" s="12" t="n">
        <x:v>0.753</x:v>
      </x:c>
      <x:c r="J117" s="12" t="n">
        <x:v>0</x:v>
      </x:c>
      <x:c r="K117" s="12" t="str">
        <x:v>Brand Director</x:v>
      </x:c>
      <x:c r="L117" s="12" t="str">
        <x:f>IF(G117&gt;H117,"BREACH","OK")</x:f>
        <x:v>OK</x:v>
      </x:c>
    </x:row>
    <x:row r="118">
      <x:c r="A118" s="12" t="str">
        <x:v>PRC-00117</x:v>
      </x:c>
      <x:c r="B118" s="18" t="n">
        <x:v>46212</x:v>
      </x:c>
      <x:c r="C118" s="12" t="str">
        <x:v>DLR-016</x:v>
      </x:c>
      <x:c r="D118" s="12" t="str">
        <x:v>VinFast HTA Mỹ Đình</x:v>
      </x:c>
      <x:c r="E118" s="12" t="str">
        <x:v>VinFast</x:v>
      </x:c>
      <x:c r="F118" s="12" t="n">
        <x:v>0.554</x:v>
      </x:c>
      <x:c r="G118" s="34" t="n">
        <x:v>0.07661845756109155</x:v>
      </x:c>
      <x:c r="H118" s="34" t="n">
        <x:v>0.04</x:v>
      </x:c>
      <x:c r="I118" s="12" t="n">
        <x:v>0.511</x:v>
      </x:c>
      <x:c r="J118" s="12" t="n">
        <x:v>0.0203</x:v>
      </x:c>
      <x:c r="K118" s="12" t="str">
        <x:v>Commercial Director</x:v>
      </x:c>
      <x:c r="L118" s="12" t="str">
        <x:f>IF(G118&gt;H118,"BREACH","OK")</x:f>
        <x:v>BREACH</x:v>
      </x:c>
    </x:row>
    <x:row r="119">
      <x:c r="A119" s="12" t="str">
        <x:v>PRC-00118</x:v>
      </x:c>
      <x:c r="B119" s="18" t="n">
        <x:v>46205</x:v>
      </x:c>
      <x:c r="C119" s="12" t="str">
        <x:v>DLR-006</x:v>
      </x:c>
      <x:c r="D119" s="12" t="str">
        <x:v>BYD HTA Hoàn Kiếm</x:v>
      </x:c>
      <x:c r="E119" s="12" t="str">
        <x:v>BYD</x:v>
      </x:c>
      <x:c r="F119" s="12" t="n">
        <x:v>0.959</x:v>
      </x:c>
      <x:c r="G119" s="34" t="n">
        <x:v>0.011886063634464167</x:v>
      </x:c>
      <x:c r="H119" s="34" t="n">
        <x:v>0.04</x:v>
      </x:c>
      <x:c r="I119" s="12" t="n">
        <x:v>0.948</x:v>
      </x:c>
      <x:c r="J119" s="12" t="n">
        <x:v>0</x:v>
      </x:c>
      <x:c r="K119" s="12" t="str">
        <x:v>Brand Director</x:v>
      </x:c>
      <x:c r="L119" s="12" t="str">
        <x:f>IF(G119&gt;H119,"BREACH","OK")</x:f>
        <x:v>OK</x:v>
      </x:c>
    </x:row>
    <x:row r="120">
      <x:c r="A120" s="12" t="str">
        <x:v>PRC-00119</x:v>
      </x:c>
      <x:c r="B120" s="18" t="n">
        <x:v>46217</x:v>
      </x:c>
      <x:c r="C120" s="12" t="str">
        <x:v>DLR-017</x:v>
      </x:c>
      <x:c r="D120" s="12" t="str">
        <x:v>VinFast Quốc Oai</x:v>
      </x:c>
      <x:c r="E120" s="12" t="str">
        <x:v>VinFast</x:v>
      </x:c>
      <x:c r="F120" s="12" t="n">
        <x:v>1.588</x:v>
      </x:c>
      <x:c r="G120" s="34" t="n">
        <x:v>0.07729046959480267</x:v>
      </x:c>
      <x:c r="H120" s="34" t="n">
        <x:v>0.045</x:v>
      </x:c>
      <x:c r="I120" s="12" t="n">
        <x:v>1.465</x:v>
      </x:c>
      <x:c r="J120" s="12" t="n">
        <x:v>0.0513</x:v>
      </x:c>
      <x:c r="K120" s="12" t="str">
        <x:v>Commercial Director</x:v>
      </x:c>
      <x:c r="L120" s="12" t="str">
        <x:f>IF(G120&gt;H120,"BREACH","OK")</x:f>
        <x:v>BREACH</x:v>
      </x:c>
    </x:row>
    <x:row r="121">
      <x:c r="A121" s="12" t="str">
        <x:v>PRC-00120</x:v>
      </x:c>
      <x:c r="B121" s="18" t="n">
        <x:v>46219</x:v>
      </x:c>
      <x:c r="C121" s="12" t="str">
        <x:v>DLR-001</x:v>
      </x:c>
      <x:c r="D121" s="12" t="str">
        <x:v>Hà Thành Ford</x:v>
      </x:c>
      <x:c r="E121" s="12" t="str">
        <x:v>Ford</x:v>
      </x:c>
      <x:c r="F121" s="12" t="n">
        <x:v>1.17</x:v>
      </x:c>
      <x:c r="G121" s="34" t="n">
        <x:v>0.03548143774577572</x:v>
      </x:c>
      <x:c r="H121" s="34" t="n">
        <x:v>0.05</x:v>
      </x:c>
      <x:c r="I121" s="12" t="n">
        <x:v>1.129</x:v>
      </x:c>
      <x:c r="J121" s="12" t="n">
        <x:v>0</x:v>
      </x:c>
      <x:c r="K121" s="12" t="str">
        <x:v>Dealer Manager</x:v>
      </x:c>
      <x:c r="L121" s="12" t="str">
        <x:f>IF(G121&gt;H121,"BREACH","OK")</x:f>
        <x:v>OK</x:v>
      </x:c>
    </x:row>
    <x:row r="122">
      <x:c r="A122" s="12" t="str">
        <x:v>PRC-00121</x:v>
      </x:c>
      <x:c r="B122" s="18" t="n">
        <x:v>46213</x:v>
      </x:c>
      <x:c r="C122" s="12" t="str">
        <x:v>DLR-009</x:v>
      </x:c>
      <x:c r="D122" s="12" t="str">
        <x:v>VinFast HTA Đông Anh</x:v>
      </x:c>
      <x:c r="E122" s="12" t="str">
        <x:v>VinFast</x:v>
      </x:c>
      <x:c r="F122" s="12" t="n">
        <x:v>1.536</x:v>
      </x:c>
      <x:c r="G122" s="34" t="n">
        <x:v>0.05479855981392939</x:v>
      </x:c>
      <x:c r="H122" s="34" t="n">
        <x:v>0.04</x:v>
      </x:c>
      <x:c r="I122" s="12" t="n">
        <x:v>1.452</x:v>
      </x:c>
      <x:c r="J122" s="12" t="n">
        <x:v>0.0227</x:v>
      </x:c>
      <x:c r="K122" s="12" t="str">
        <x:v>Dealer Manager</x:v>
      </x:c>
      <x:c r="L122" s="12" t="str">
        <x:f>IF(G122&gt;H122,"BREACH","OK")</x:f>
        <x:v>BREACH</x:v>
      </x:c>
    </x:row>
    <x:row r="123">
      <x:c r="A123" s="12" t="str">
        <x:v>PRC-00122</x:v>
      </x:c>
      <x:c r="B123" s="18" t="n">
        <x:v>46223</x:v>
      </x:c>
      <x:c r="C123" s="12" t="str">
        <x:v>DLR-012</x:v>
      </x:c>
      <x:c r="D123" s="12" t="str">
        <x:v>VinFast HTA Võ Chí Công</x:v>
      </x:c>
      <x:c r="E123" s="12" t="str">
        <x:v>VinFast</x:v>
      </x:c>
      <x:c r="F123" s="12" t="n">
        <x:v>1.556</x:v>
      </x:c>
      <x:c r="G123" s="34" t="n">
        <x:v>0.07402202308415627</x:v>
      </x:c>
      <x:c r="H123" s="34" t="n">
        <x:v>0.05</x:v>
      </x:c>
      <x:c r="I123" s="12" t="n">
        <x:v>1.441</x:v>
      </x:c>
      <x:c r="J123" s="12" t="n">
        <x:v>0.0374</x:v>
      </x:c>
      <x:c r="K123" s="12" t="str">
        <x:v>Brand Director</x:v>
      </x:c>
      <x:c r="L123" s="12" t="str">
        <x:f>IF(G123&gt;H123,"BREACH","OK")</x:f>
        <x:v>BREACH</x:v>
      </x:c>
    </x:row>
    <x:row r="124">
      <x:c r="A124" s="12" t="str">
        <x:v>PRC-00123</x:v>
      </x:c>
      <x:c r="B124" s="18" t="n">
        <x:v>46225</x:v>
      </x:c>
      <x:c r="C124" s="12" t="str">
        <x:v>DLR-003</x:v>
      </x:c>
      <x:c r="D124" s="12" t="str">
        <x:v>Mỹ Đình Ford</x:v>
      </x:c>
      <x:c r="E124" s="12" t="str">
        <x:v>Ford</x:v>
      </x:c>
      <x:c r="F124" s="12" t="n">
        <x:v>0.576</x:v>
      </x:c>
      <x:c r="G124" s="34" t="n">
        <x:v>0.04837893089429498</x:v>
      </x:c>
      <x:c r="H124" s="34" t="n">
        <x:v>0.04</x:v>
      </x:c>
      <x:c r="I124" s="12" t="n">
        <x:v>0.549</x:v>
      </x:c>
      <x:c r="J124" s="12" t="n">
        <x:v>0.0048</x:v>
      </x:c>
      <x:c r="K124" s="12" t="str">
        <x:v>Brand Director</x:v>
      </x:c>
      <x:c r="L124" s="12" t="str">
        <x:f>IF(G124&gt;H124,"BREACH","OK")</x:f>
        <x:v>BREACH</x:v>
      </x:c>
    </x:row>
    <x:row r="125">
      <x:c r="A125" s="12" t="str">
        <x:v>PRC-00124</x:v>
      </x:c>
      <x:c r="B125" s="18" t="n">
        <x:v>46212</x:v>
      </x:c>
      <x:c r="C125" s="12" t="str">
        <x:v>DLR-001</x:v>
      </x:c>
      <x:c r="D125" s="12" t="str">
        <x:v>Hà Thành Ford</x:v>
      </x:c>
      <x:c r="E125" s="12" t="str">
        <x:v>Ford</x:v>
      </x:c>
      <x:c r="F125" s="12" t="n">
        <x:v>0.804</x:v>
      </x:c>
      <x:c r="G125" s="34" t="n">
        <x:v>0.01940290322209185</x:v>
      </x:c>
      <x:c r="H125" s="34" t="n">
        <x:v>0.04</x:v>
      </x:c>
      <x:c r="I125" s="12" t="n">
        <x:v>0.788</x:v>
      </x:c>
      <x:c r="J125" s="12" t="n">
        <x:v>0</x:v>
      </x:c>
      <x:c r="K125" s="12" t="str">
        <x:v>Brand Director</x:v>
      </x:c>
      <x:c r="L125" s="12" t="str">
        <x:f>IF(G125&gt;H125,"BREACH","OK")</x:f>
        <x:v>OK</x:v>
      </x:c>
    </x:row>
    <x:row r="126">
      <x:c r="A126" s="12" t="str">
        <x:v>PRC-00125</x:v>
      </x:c>
      <x:c r="B126" s="18" t="n">
        <x:v>46204</x:v>
      </x:c>
      <x:c r="C126" s="12" t="str">
        <x:v>DLR-012</x:v>
      </x:c>
      <x:c r="D126" s="12" t="str">
        <x:v>VinFast HTA Võ Chí Công</x:v>
      </x:c>
      <x:c r="E126" s="12" t="str">
        <x:v>VinFast</x:v>
      </x:c>
      <x:c r="F126" s="12" t="n">
        <x:v>0.72</x:v>
      </x:c>
      <x:c r="G126" s="34" t="n">
        <x:v>0.03968726994408613</x:v>
      </x:c>
      <x:c r="H126" s="34" t="n">
        <x:v>0.045</x:v>
      </x:c>
      <x:c r="I126" s="12" t="n">
        <x:v>0.691</x:v>
      </x:c>
      <x:c r="J126" s="12" t="n">
        <x:v>0</x:v>
      </x:c>
      <x:c r="K126" s="12" t="str">
        <x:v>Commercial Director</x:v>
      </x:c>
      <x:c r="L126" s="12" t="str">
        <x:f>IF(G126&gt;H126,"BREACH","OK")</x:f>
        <x:v>OK</x:v>
      </x:c>
    </x:row>
    <x:row r="127">
      <x:c r="A127" s="12" t="str">
        <x:v>PRC-00126</x:v>
      </x:c>
      <x:c r="B127" s="18" t="n">
        <x:v>46214</x:v>
      </x:c>
      <x:c r="C127" s="12" t="str">
        <x:v>DLR-011</x:v>
      </x:c>
      <x:c r="D127" s="12" t="str">
        <x:v>VinFast HTA Phạm Văn Đồng</x:v>
      </x:c>
      <x:c r="E127" s="12" t="str">
        <x:v>VinFast</x:v>
      </x:c>
      <x:c r="F127" s="12" t="n">
        <x:v>0.385</x:v>
      </x:c>
      <x:c r="G127" s="34" t="n">
        <x:v>0.04053412465872768</x:v>
      </x:c>
      <x:c r="H127" s="34" t="n">
        <x:v>0.04</x:v>
      </x:c>
      <x:c r="I127" s="12" t="n">
        <x:v>0.369</x:v>
      </x:c>
      <x:c r="J127" s="12" t="n">
        <x:v>0.0002</x:v>
      </x:c>
      <x:c r="K127" s="12" t="str">
        <x:v>Brand Director</x:v>
      </x:c>
      <x:c r="L127" s="12" t="str">
        <x:f>IF(G127&gt;H127,"BREACH","OK")</x:f>
        <x:v>BREACH</x:v>
      </x:c>
    </x:row>
    <x:row r="128">
      <x:c r="A128" s="12" t="str">
        <x:v>PRC-00127</x:v>
      </x:c>
      <x:c r="B128" s="18" t="n">
        <x:v>46220</x:v>
      </x:c>
      <x:c r="C128" s="12" t="str">
        <x:v>DLR-006</x:v>
      </x:c>
      <x:c r="D128" s="12" t="str">
        <x:v>BYD HTA Hoàn Kiếm</x:v>
      </x:c>
      <x:c r="E128" s="12" t="str">
        <x:v>BYD</x:v>
      </x:c>
      <x:c r="F128" s="12" t="n">
        <x:v>1.024</x:v>
      </x:c>
      <x:c r="G128" s="34" t="n">
        <x:v>0.0787530587949884</x:v>
      </x:c>
      <x:c r="H128" s="34" t="n">
        <x:v>0.045</x:v>
      </x:c>
      <x:c r="I128" s="12" t="n">
        <x:v>0.943</x:v>
      </x:c>
      <x:c r="J128" s="12" t="n">
        <x:v>0.0345</x:v>
      </x:c>
      <x:c r="K128" s="12" t="str">
        <x:v>Dealer Manager</x:v>
      </x:c>
      <x:c r="L128" s="12" t="str">
        <x:f>IF(G128&gt;H128,"BREACH","OK")</x:f>
        <x:v>BREACH</x:v>
      </x:c>
    </x:row>
    <x:row r="129">
      <x:c r="A129" s="12" t="str">
        <x:v>PRC-00128</x:v>
      </x:c>
      <x:c r="B129" s="18" t="n">
        <x:v>46206</x:v>
      </x:c>
      <x:c r="C129" s="12" t="str">
        <x:v>DLR-005</x:v>
      </x:c>
      <x:c r="D129" s="12" t="str">
        <x:v>BYD HTA Tây Hồ</x:v>
      </x:c>
      <x:c r="E129" s="12" t="str">
        <x:v>BYD</x:v>
      </x:c>
      <x:c r="F129" s="12" t="n">
        <x:v>1.202</x:v>
      </x:c>
      <x:c r="G129" s="34" t="n">
        <x:v>0.05896450238005992</x:v>
      </x:c>
      <x:c r="H129" s="34" t="n">
        <x:v>0.045</x:v>
      </x:c>
      <x:c r="I129" s="12" t="n">
        <x:v>1.131</x:v>
      </x:c>
      <x:c r="J129" s="12" t="n">
        <x:v>0.0168</x:v>
      </x:c>
      <x:c r="K129" s="12" t="str">
        <x:v>Commercial Director</x:v>
      </x:c>
      <x:c r="L129" s="12" t="str">
        <x:f>IF(G129&gt;H129,"BREACH","OK")</x:f>
        <x:v>BREACH</x:v>
      </x:c>
    </x:row>
    <x:row r="130">
      <x:c r="A130" s="12" t="str">
        <x:v>PRC-00129</x:v>
      </x:c>
      <x:c r="B130" s="18" t="n">
        <x:v>46214</x:v>
      </x:c>
      <x:c r="C130" s="12" t="str">
        <x:v>DLR-020</x:v>
      </x:c>
      <x:c r="D130" s="12" t="str">
        <x:v>Wuling HTA Long Biên</x:v>
      </x:c>
      <x:c r="E130" s="12" t="str">
        <x:v>Wuling</x:v>
      </x:c>
      <x:c r="F130" s="12" t="n">
        <x:v>0.411</x:v>
      </x:c>
      <x:c r="G130" s="34" t="n">
        <x:v>0.015294136493813292</x:v>
      </x:c>
      <x:c r="H130" s="34" t="n">
        <x:v>0.05</x:v>
      </x:c>
      <x:c r="I130" s="12" t="n">
        <x:v>0.405</x:v>
      </x:c>
      <x:c r="J130" s="12" t="n">
        <x:v>0</x:v>
      </x:c>
      <x:c r="K130" s="12" t="str">
        <x:v>Commercial Director</x:v>
      </x:c>
      <x:c r="L130" s="12" t="str">
        <x:f>IF(G130&gt;H130,"BREACH","OK")</x:f>
        <x:v>OK</x:v>
      </x:c>
    </x:row>
    <x:row r="131">
      <x:c r="A131" s="12" t="str">
        <x:v>PRC-00130</x:v>
      </x:c>
      <x:c r="B131" s="18" t="n">
        <x:v>46221</x:v>
      </x:c>
      <x:c r="C131" s="12" t="str">
        <x:v>DLR-020</x:v>
      </x:c>
      <x:c r="D131" s="12" t="str">
        <x:v>Wuling HTA Long Biên</x:v>
      </x:c>
      <x:c r="E131" s="12" t="str">
        <x:v>Wuling</x:v>
      </x:c>
      <x:c r="F131" s="12" t="n">
        <x:v>1.483</x:v>
      </x:c>
      <x:c r="G131" s="34" t="n">
        <x:v>0.04129976247644826</x:v>
      </x:c>
      <x:c r="H131" s="34" t="n">
        <x:v>0.05</x:v>
      </x:c>
      <x:c r="I131" s="12" t="n">
        <x:v>1.422</x:v>
      </x:c>
      <x:c r="J131" s="12" t="n">
        <x:v>0</x:v>
      </x:c>
      <x:c r="K131" s="12" t="str">
        <x:v>Commercial Director</x:v>
      </x:c>
      <x:c r="L131" s="12" t="str">
        <x:f>IF(G131&gt;H131,"BREACH","OK")</x:f>
        <x:v>OK</x:v>
      </x:c>
    </x:row>
    <x:row r="132">
      <x:c r="A132" s="12" t="str">
        <x:v>PRC-00131</x:v>
      </x:c>
      <x:c r="B132" s="18" t="n">
        <x:v>46221</x:v>
      </x:c>
      <x:c r="C132" s="12" t="str">
        <x:v>DLR-019</x:v>
      </x:c>
      <x:c r="D132" s="12" t="str">
        <x:v>OMODA &amp; JAECOO HTA Việt Trì</x:v>
      </x:c>
      <x:c r="E132" s="12" t="str">
        <x:v>OMODA &amp; JAECOO</x:v>
      </x:c>
      <x:c r="F132" s="12" t="n">
        <x:v>0.768</x:v>
      </x:c>
      <x:c r="G132" s="34" t="n">
        <x:v>0.017309963377869116</x:v>
      </x:c>
      <x:c r="H132" s="34" t="n">
        <x:v>0.05</x:v>
      </x:c>
      <x:c r="I132" s="12" t="n">
        <x:v>0.755</x:v>
      </x:c>
      <x:c r="J132" s="12" t="n">
        <x:v>0</x:v>
      </x:c>
      <x:c r="K132" s="12" t="str">
        <x:v>Commercial Director</x:v>
      </x:c>
      <x:c r="L132" s="12" t="str">
        <x:f>IF(G132&gt;H132,"BREACH","OK")</x:f>
        <x:v>OK</x:v>
      </x:c>
    </x:row>
    <x:row r="133">
      <x:c r="A133" s="12" t="str">
        <x:v>PRC-00132</x:v>
      </x:c>
      <x:c r="B133" s="18" t="n">
        <x:v>46223</x:v>
      </x:c>
      <x:c r="C133" s="12" t="str">
        <x:v>DLR-002</x:v>
      </x:c>
      <x:c r="D133" s="12" t="str">
        <x:v>Hà Thành Ford - Mỹ Đình</x:v>
      </x:c>
      <x:c r="E133" s="12" t="str">
        <x:v>Ford</x:v>
      </x:c>
      <x:c r="F133" s="12" t="n">
        <x:v>0.514</x:v>
      </x:c>
      <x:c r="G133" s="34" t="n">
        <x:v>0.013966769702105055</x:v>
      </x:c>
      <x:c r="H133" s="34" t="n">
        <x:v>0.05</x:v>
      </x:c>
      <x:c r="I133" s="12" t="n">
        <x:v>0.507</x:v>
      </x:c>
      <x:c r="J133" s="12" t="n">
        <x:v>0</x:v>
      </x:c>
      <x:c r="K133" s="12" t="str">
        <x:v>Commercial Director</x:v>
      </x:c>
      <x:c r="L133" s="12" t="str">
        <x:f>IF(G133&gt;H133,"BREACH","OK")</x:f>
        <x:v>OK</x:v>
      </x:c>
    </x:row>
    <x:row r="134">
      <x:c r="A134" s="12" t="str">
        <x:v>PRC-00133</x:v>
      </x:c>
      <x:c r="B134" s="18" t="n">
        <x:v>46212</x:v>
      </x:c>
      <x:c r="C134" s="12" t="str">
        <x:v>DLR-010</x:v>
      </x:c>
      <x:c r="D134" s="12" t="str">
        <x:v>VinFast HTA Đàm Quang Trung</x:v>
      </x:c>
      <x:c r="E134" s="12" t="str">
        <x:v>VinFast</x:v>
      </x:c>
      <x:c r="F134" s="12" t="n">
        <x:v>1.431</x:v>
      </x:c>
      <x:c r="G134" s="34" t="n">
        <x:v>0.05510455926754085</x:v>
      </x:c>
      <x:c r="H134" s="34" t="n">
        <x:v>0.03</x:v>
      </x:c>
      <x:c r="I134" s="12" t="n">
        <x:v>1.352</x:v>
      </x:c>
      <x:c r="J134" s="12" t="n">
        <x:v>0.0359</x:v>
      </x:c>
      <x:c r="K134" s="12" t="str">
        <x:v>Brand Director</x:v>
      </x:c>
      <x:c r="L134" s="12" t="str">
        <x:f>IF(G134&gt;H134,"BREACH","OK")</x:f>
        <x:v>BREACH</x:v>
      </x:c>
    </x:row>
    <x:row r="135">
      <x:c r="A135" s="12" t="str">
        <x:v>PRC-00134</x:v>
      </x:c>
      <x:c r="B135" s="18" t="n">
        <x:v>46206</x:v>
      </x:c>
      <x:c r="C135" s="12" t="str">
        <x:v>DLR-003</x:v>
      </x:c>
      <x:c r="D135" s="12" t="str">
        <x:v>Mỹ Đình Ford</x:v>
      </x:c>
      <x:c r="E135" s="12" t="str">
        <x:v>Ford</x:v>
      </x:c>
      <x:c r="F135" s="12" t="n">
        <x:v>0.781</x:v>
      </x:c>
      <x:c r="G135" s="34" t="n">
        <x:v>0.05729796997632602</x:v>
      </x:c>
      <x:c r="H135" s="34" t="n">
        <x:v>0.03</x:v>
      </x:c>
      <x:c r="I135" s="12" t="n">
        <x:v>0.736</x:v>
      </x:c>
      <x:c r="J135" s="12" t="n">
        <x:v>0.0213</x:v>
      </x:c>
      <x:c r="K135" s="12" t="str">
        <x:v>Dealer Manager</x:v>
      </x:c>
      <x:c r="L135" s="12" t="str">
        <x:f>IF(G135&gt;H135,"BREACH","OK")</x:f>
        <x:v>BREACH</x:v>
      </x:c>
    </x:row>
    <x:row r="136">
      <x:c r="A136" s="12" t="str">
        <x:v>PRC-00135</x:v>
      </x:c>
      <x:c r="B136" s="18" t="n">
        <x:v>46213</x:v>
      </x:c>
      <x:c r="C136" s="12" t="str">
        <x:v>DLR-008</x:v>
      </x:c>
      <x:c r="D136" s="12" t="str">
        <x:v>VinFast HTA Nguyễn Văn Linh</x:v>
      </x:c>
      <x:c r="E136" s="12" t="str">
        <x:v>VinFast</x:v>
      </x:c>
      <x:c r="F136" s="12" t="n">
        <x:v>0.444</x:v>
      </x:c>
      <x:c r="G136" s="34" t="n">
        <x:v>0.026113772388746813</x:v>
      </x:c>
      <x:c r="H136" s="34" t="n">
        <x:v>0.04</x:v>
      </x:c>
      <x:c r="I136" s="12" t="n">
        <x:v>0.432</x:v>
      </x:c>
      <x:c r="J136" s="12" t="n">
        <x:v>0</x:v>
      </x:c>
      <x:c r="K136" s="12" t="str">
        <x:v>Dealer Manager</x:v>
      </x:c>
      <x:c r="L136" s="12" t="str">
        <x:f>IF(G136&gt;H136,"BREACH","OK")</x:f>
        <x:v>OK</x:v>
      </x:c>
    </x:row>
    <x:row r="137">
      <x:c r="A137" s="12" t="str">
        <x:v>PRC-00136</x:v>
      </x:c>
      <x:c r="B137" s="18" t="n">
        <x:v>46225</x:v>
      </x:c>
      <x:c r="C137" s="12" t="str">
        <x:v>DLR-004</x:v>
      </x:c>
      <x:c r="D137" s="12" t="str">
        <x:v>Việt Trì Ford</x:v>
      </x:c>
      <x:c r="E137" s="12" t="str">
        <x:v>Ford</x:v>
      </x:c>
      <x:c r="F137" s="12" t="n">
        <x:v>1.31</x:v>
      </x:c>
      <x:c r="G137" s="34" t="n">
        <x:v>0.019305419233919006</x:v>
      </x:c>
      <x:c r="H137" s="34" t="n">
        <x:v>0.03</x:v>
      </x:c>
      <x:c r="I137" s="12" t="n">
        <x:v>1.285</x:v>
      </x:c>
      <x:c r="J137" s="12" t="n">
        <x:v>0</x:v>
      </x:c>
      <x:c r="K137" s="12" t="str">
        <x:v>Brand Director</x:v>
      </x:c>
      <x:c r="L137" s="12" t="str">
        <x:f>IF(G137&gt;H137,"BREACH","OK")</x:f>
        <x:v>OK</x:v>
      </x:c>
    </x:row>
    <x:row r="138">
      <x:c r="A138" s="12" t="str">
        <x:v>PRC-00137</x:v>
      </x:c>
      <x:c r="B138" s="18" t="n">
        <x:v>46210</x:v>
      </x:c>
      <x:c r="C138" s="12" t="str">
        <x:v>DLR-010</x:v>
      </x:c>
      <x:c r="D138" s="12" t="str">
        <x:v>VinFast HTA Đàm Quang Trung</x:v>
      </x:c>
      <x:c r="E138" s="12" t="str">
        <x:v>VinFast</x:v>
      </x:c>
      <x:c r="F138" s="12" t="n">
        <x:v>1.066</x:v>
      </x:c>
      <x:c r="G138" s="34" t="n">
        <x:v>0.02787814260902876</x:v>
      </x:c>
      <x:c r="H138" s="34" t="n">
        <x:v>0.045</x:v>
      </x:c>
      <x:c r="I138" s="12" t="n">
        <x:v>1.036</x:v>
      </x:c>
      <x:c r="J138" s="12" t="n">
        <x:v>0</x:v>
      </x:c>
      <x:c r="K138" s="12" t="str">
        <x:v>Commercial Director</x:v>
      </x:c>
      <x:c r="L138" s="12" t="str">
        <x:f>IF(G138&gt;H138,"BREACH","OK")</x:f>
        <x:v>OK</x:v>
      </x:c>
    </x:row>
    <x:row r="139">
      <x:c r="A139" s="12" t="str">
        <x:v>PRC-00138</x:v>
      </x:c>
      <x:c r="B139" s="18" t="n">
        <x:v>46225</x:v>
      </x:c>
      <x:c r="C139" s="12" t="str">
        <x:v>DLR-008</x:v>
      </x:c>
      <x:c r="D139" s="12" t="str">
        <x:v>VinFast HTA Nguyễn Văn Linh</x:v>
      </x:c>
      <x:c r="E139" s="12" t="str">
        <x:v>VinFast</x:v>
      </x:c>
      <x:c r="F139" s="12" t="n">
        <x:v>0.842</x:v>
      </x:c>
      <x:c r="G139" s="34" t="n">
        <x:v>0.022763781841982595</x:v>
      </x:c>
      <x:c r="H139" s="34" t="n">
        <x:v>0.03</x:v>
      </x:c>
      <x:c r="I139" s="12" t="n">
        <x:v>0.823</x:v>
      </x:c>
      <x:c r="J139" s="12" t="n">
        <x:v>0</x:v>
      </x:c>
      <x:c r="K139" s="12" t="str">
        <x:v>Brand Director</x:v>
      </x:c>
      <x:c r="L139" s="12" t="str">
        <x:f>IF(G139&gt;H139,"BREACH","OK")</x:f>
        <x:v>OK</x:v>
      </x:c>
    </x:row>
    <x:row r="140">
      <x:c r="A140" s="12" t="str">
        <x:v>PRC-00139</x:v>
      </x:c>
      <x:c r="B140" s="18" t="n">
        <x:v>46208</x:v>
      </x:c>
      <x:c r="C140" s="12" t="str">
        <x:v>DLR-012</x:v>
      </x:c>
      <x:c r="D140" s="12" t="str">
        <x:v>VinFast HTA Võ Chí Công</x:v>
      </x:c>
      <x:c r="E140" s="12" t="str">
        <x:v>VinFast</x:v>
      </x:c>
      <x:c r="F140" s="12" t="n">
        <x:v>0.42</x:v>
      </x:c>
      <x:c r="G140" s="34" t="n">
        <x:v>0.07912187373916799</x:v>
      </x:c>
      <x:c r="H140" s="34" t="n">
        <x:v>0.05</x:v>
      </x:c>
      <x:c r="I140" s="12" t="n">
        <x:v>0.387</x:v>
      </x:c>
      <x:c r="J140" s="12" t="n">
        <x:v>0.0122</x:v>
      </x:c>
      <x:c r="K140" s="12" t="str">
        <x:v>Commercial Director</x:v>
      </x:c>
      <x:c r="L140" s="12" t="str">
        <x:f>IF(G140&gt;H140,"BREACH","OK")</x:f>
        <x:v>BREACH</x:v>
      </x:c>
    </x:row>
    <x:row r="141">
      <x:c r="A141" s="12" t="str">
        <x:v>PRC-00140</x:v>
      </x:c>
      <x:c r="B141" s="18" t="n">
        <x:v>46209</x:v>
      </x:c>
      <x:c r="C141" s="12" t="str">
        <x:v>DLR-013</x:v>
      </x:c>
      <x:c r="D141" s="12" t="str">
        <x:v>VinFast HTA Ninh Bình</x:v>
      </x:c>
      <x:c r="E141" s="12" t="str">
        <x:v>VinFast</x:v>
      </x:c>
      <x:c r="F141" s="12" t="n">
        <x:v>1.122</x:v>
      </x:c>
      <x:c r="G141" s="34" t="n">
        <x:v>0.0249008308292369</x:v>
      </x:c>
      <x:c r="H141" s="34" t="n">
        <x:v>0.04</x:v>
      </x:c>
      <x:c r="I141" s="12" t="n">
        <x:v>1.094</x:v>
      </x:c>
      <x:c r="J141" s="12" t="n">
        <x:v>0</x:v>
      </x:c>
      <x:c r="K141" s="12" t="str">
        <x:v>Brand Director</x:v>
      </x:c>
      <x:c r="L141" s="12" t="str">
        <x:f>IF(G141&gt;H141,"BREACH","OK")</x:f>
        <x:v>OK</x:v>
      </x:c>
    </x:row>
    <x:row r="142">
      <x:c r="A142" s="12" t="str">
        <x:v>PRC-00141</x:v>
      </x:c>
      <x:c r="B142" s="18" t="n">
        <x:v>46210</x:v>
      </x:c>
      <x:c r="C142" s="12" t="str">
        <x:v>DLR-003</x:v>
      </x:c>
      <x:c r="D142" s="12" t="str">
        <x:v>Mỹ Đình Ford</x:v>
      </x:c>
      <x:c r="E142" s="12" t="str">
        <x:v>Ford</x:v>
      </x:c>
      <x:c r="F142" s="12" t="n">
        <x:v>1.095</x:v>
      </x:c>
      <x:c r="G142" s="34" t="n">
        <x:v>0.06477446697608823</x:v>
      </x:c>
      <x:c r="H142" s="34" t="n">
        <x:v>0.045</x:v>
      </x:c>
      <x:c r="I142" s="12" t="n">
        <x:v>1.024</x:v>
      </x:c>
      <x:c r="J142" s="12" t="n">
        <x:v>0.0217</x:v>
      </x:c>
      <x:c r="K142" s="12" t="str">
        <x:v>Brand Director</x:v>
      </x:c>
      <x:c r="L142" s="12" t="str">
        <x:f>IF(G142&gt;H142,"BREACH","OK")</x:f>
        <x:v>BREACH</x:v>
      </x:c>
    </x:row>
    <x:row r="143">
      <x:c r="A143" s="12" t="str">
        <x:v>PRC-00142</x:v>
      </x:c>
      <x:c r="B143" s="18" t="n">
        <x:v>46224</x:v>
      </x:c>
      <x:c r="C143" s="12" t="str">
        <x:v>DLR-008</x:v>
      </x:c>
      <x:c r="D143" s="12" t="str">
        <x:v>VinFast HTA Nguyễn Văn Linh</x:v>
      </x:c>
      <x:c r="E143" s="12" t="str">
        <x:v>VinFast</x:v>
      </x:c>
      <x:c r="F143" s="12" t="n">
        <x:v>0.816</x:v>
      </x:c>
      <x:c r="G143" s="34" t="n">
        <x:v>0.011128636439595227</x:v>
      </x:c>
      <x:c r="H143" s="34" t="n">
        <x:v>0.045</x:v>
      </x:c>
      <x:c r="I143" s="12" t="n">
        <x:v>0.807</x:v>
      </x:c>
      <x:c r="J143" s="12" t="n">
        <x:v>0</x:v>
      </x:c>
      <x:c r="K143" s="12" t="str">
        <x:v>Commercial Director</x:v>
      </x:c>
      <x:c r="L143" s="12" t="str">
        <x:f>IF(G143&gt;H143,"BREACH","OK")</x:f>
        <x:v>OK</x:v>
      </x:c>
    </x:row>
    <x:row r="144">
      <x:c r="A144" s="12" t="str">
        <x:v>PRC-00143</x:v>
      </x:c>
      <x:c r="B144" s="18" t="n">
        <x:v>46211</x:v>
      </x:c>
      <x:c r="C144" s="12" t="str">
        <x:v>DLR-019</x:v>
      </x:c>
      <x:c r="D144" s="12" t="str">
        <x:v>OMODA &amp; JAECOO HTA Việt Trì</x:v>
      </x:c>
      <x:c r="E144" s="12" t="str">
        <x:v>OMODA &amp; JAECOO</x:v>
      </x:c>
      <x:c r="F144" s="12" t="n">
        <x:v>0.381</x:v>
      </x:c>
      <x:c r="G144" s="34" t="n">
        <x:v>0.020433884981795686</x:v>
      </x:c>
      <x:c r="H144" s="34" t="n">
        <x:v>0.04</x:v>
      </x:c>
      <x:c r="I144" s="12" t="n">
        <x:v>0.373</x:v>
      </x:c>
      <x:c r="J144" s="12" t="n">
        <x:v>0</x:v>
      </x:c>
      <x:c r="K144" s="12" t="str">
        <x:v>Dealer Manager</x:v>
      </x:c>
      <x:c r="L144" s="12" t="str">
        <x:f>IF(G144&gt;H144,"BREACH","OK")</x:f>
        <x:v>OK</x:v>
      </x:c>
    </x:row>
    <x:row r="145">
      <x:c r="A145" s="12" t="str">
        <x:v>PRC-00144</x:v>
      </x:c>
      <x:c r="B145" s="18" t="n">
        <x:v>46223</x:v>
      </x:c>
      <x:c r="C145" s="12" t="str">
        <x:v>DLR-015</x:v>
      </x:c>
      <x:c r="D145" s="12" t="str">
        <x:v>VinFast HTA Văn Phú</x:v>
      </x:c>
      <x:c r="E145" s="12" t="str">
        <x:v>VinFast</x:v>
      </x:c>
      <x:c r="F145" s="12" t="n">
        <x:v>0.594</x:v>
      </x:c>
      <x:c r="G145" s="34" t="n">
        <x:v>0.06825827630774595</x:v>
      </x:c>
      <x:c r="H145" s="34" t="n">
        <x:v>0.05</x:v>
      </x:c>
      <x:c r="I145" s="12" t="n">
        <x:v>0.554</x:v>
      </x:c>
      <x:c r="J145" s="12" t="n">
        <x:v>0.0109</x:v>
      </x:c>
      <x:c r="K145" s="12" t="str">
        <x:v>Dealer Manager</x:v>
      </x:c>
      <x:c r="L145" s="12" t="str">
        <x:f>IF(G145&gt;H145,"BREACH","OK")</x:f>
        <x:v>BREACH</x:v>
      </x:c>
    </x:row>
    <x:row r="146">
      <x:c r="A146" s="12" t="str">
        <x:v>PRC-00145</x:v>
      </x:c>
      <x:c r="B146" s="18" t="n">
        <x:v>46210</x:v>
      </x:c>
      <x:c r="C146" s="12" t="str">
        <x:v>DLR-019</x:v>
      </x:c>
      <x:c r="D146" s="12" t="str">
        <x:v>OMODA &amp; JAECOO HTA Việt Trì</x:v>
      </x:c>
      <x:c r="E146" s="12" t="str">
        <x:v>OMODA &amp; JAECOO</x:v>
      </x:c>
      <x:c r="F146" s="12" t="n">
        <x:v>1.545</x:v>
      </x:c>
      <x:c r="G146" s="34" t="n">
        <x:v>0.03759787707370813</x:v>
      </x:c>
      <x:c r="H146" s="34" t="n">
        <x:v>0.045</x:v>
      </x:c>
      <x:c r="I146" s="12" t="n">
        <x:v>1.487</x:v>
      </x:c>
      <x:c r="J146" s="12" t="n">
        <x:v>0</x:v>
      </x:c>
      <x:c r="K146" s="12" t="str">
        <x:v>Dealer Manager</x:v>
      </x:c>
      <x:c r="L146" s="12" t="str">
        <x:f>IF(G146&gt;H146,"BREACH","OK")</x:f>
        <x:v>OK</x:v>
      </x:c>
    </x:row>
    <x:row r="147">
      <x:c r="A147" s="12" t="str">
        <x:v>PRC-00146</x:v>
      </x:c>
      <x:c r="B147" s="18" t="n">
        <x:v>46219</x:v>
      </x:c>
      <x:c r="C147" s="12" t="str">
        <x:v>DLR-004</x:v>
      </x:c>
      <x:c r="D147" s="12" t="str">
        <x:v>Việt Trì Ford</x:v>
      </x:c>
      <x:c r="E147" s="12" t="str">
        <x:v>Ford</x:v>
      </x:c>
      <x:c r="F147" s="12" t="n">
        <x:v>1.081</x:v>
      </x:c>
      <x:c r="G147" s="34" t="n">
        <x:v>0.0334670501334864</x:v>
      </x:c>
      <x:c r="H147" s="34" t="n">
        <x:v>0.05</x:v>
      </x:c>
      <x:c r="I147" s="12" t="n">
        <x:v>1.045</x:v>
      </x:c>
      <x:c r="J147" s="12" t="n">
        <x:v>0</x:v>
      </x:c>
      <x:c r="K147" s="12" t="str">
        <x:v>Commercial Director</x:v>
      </x:c>
      <x:c r="L147" s="12" t="str">
        <x:f>IF(G147&gt;H147,"BREACH","OK")</x:f>
        <x:v>OK</x:v>
      </x:c>
    </x:row>
    <x:row r="148">
      <x:c r="A148" s="12" t="str">
        <x:v>PRC-00147</x:v>
      </x:c>
      <x:c r="B148" s="18" t="n">
        <x:v>46213</x:v>
      </x:c>
      <x:c r="C148" s="12" t="str">
        <x:v>DLR-015</x:v>
      </x:c>
      <x:c r="D148" s="12" t="str">
        <x:v>VinFast HTA Văn Phú</x:v>
      </x:c>
      <x:c r="E148" s="12" t="str">
        <x:v>VinFast</x:v>
      </x:c>
      <x:c r="F148" s="12" t="n">
        <x:v>1.224</x:v>
      </x:c>
      <x:c r="G148" s="34" t="n">
        <x:v>0.0359287727717698</x:v>
      </x:c>
      <x:c r="H148" s="34" t="n">
        <x:v>0.05</x:v>
      </x:c>
      <x:c r="I148" s="12" t="n">
        <x:v>1.18</x:v>
      </x:c>
      <x:c r="J148" s="12" t="n">
        <x:v>0</x:v>
      </x:c>
      <x:c r="K148" s="12" t="str">
        <x:v>Brand Director</x:v>
      </x:c>
      <x:c r="L148" s="12" t="str">
        <x:f>IF(G148&gt;H148,"BREACH","OK")</x:f>
        <x:v>OK</x:v>
      </x:c>
    </x:row>
    <x:row r="149">
      <x:c r="A149" s="12" t="str">
        <x:v>PRC-00148</x:v>
      </x:c>
      <x:c r="B149" s="18" t="n">
        <x:v>46208</x:v>
      </x:c>
      <x:c r="C149" s="12" t="str">
        <x:v>DLR-016</x:v>
      </x:c>
      <x:c r="D149" s="12" t="str">
        <x:v>VinFast HTA Mỹ Đình</x:v>
      </x:c>
      <x:c r="E149" s="12" t="str">
        <x:v>VinFast</x:v>
      </x:c>
      <x:c r="F149" s="12" t="n">
        <x:v>0.779</x:v>
      </x:c>
      <x:c r="G149" s="34" t="n">
        <x:v>0.06338609758044653</x:v>
      </x:c>
      <x:c r="H149" s="34" t="n">
        <x:v>0.05</x:v>
      </x:c>
      <x:c r="I149" s="12" t="n">
        <x:v>0.729</x:v>
      </x:c>
      <x:c r="J149" s="12" t="n">
        <x:v>0.0104</x:v>
      </x:c>
      <x:c r="K149" s="12" t="str">
        <x:v>Brand Director</x:v>
      </x:c>
      <x:c r="L149" s="12" t="str">
        <x:f>IF(G149&gt;H149,"BREACH","OK")</x:f>
        <x:v>BREACH</x:v>
      </x:c>
    </x:row>
    <x:row r="150">
      <x:c r="A150" s="12" t="str">
        <x:v>PRC-00149</x:v>
      </x:c>
      <x:c r="B150" s="18" t="n">
        <x:v>46219</x:v>
      </x:c>
      <x:c r="C150" s="12" t="str">
        <x:v>DLR-013</x:v>
      </x:c>
      <x:c r="D150" s="12" t="str">
        <x:v>VinFast HTA Ninh Bình</x:v>
      </x:c>
      <x:c r="E150" s="12" t="str">
        <x:v>VinFast</x:v>
      </x:c>
      <x:c r="F150" s="12" t="n">
        <x:v>1.207</x:v>
      </x:c>
      <x:c r="G150" s="34" t="n">
        <x:v>0.027826358357909968</x:v>
      </x:c>
      <x:c r="H150" s="34" t="n">
        <x:v>0.03</x:v>
      </x:c>
      <x:c r="I150" s="12" t="n">
        <x:v>1.174</x:v>
      </x:c>
      <x:c r="J150" s="12" t="n">
        <x:v>0</x:v>
      </x:c>
      <x:c r="K150" s="12" t="str">
        <x:v>Brand Director</x:v>
      </x:c>
      <x:c r="L150" s="12" t="str">
        <x:f>IF(G150&gt;H150,"BREACH","OK")</x:f>
        <x:v>OK</x:v>
      </x:c>
    </x:row>
    <x:row r="151">
      <x:c r="A151" s="12" t="str">
        <x:v>PRC-00150</x:v>
      </x:c>
      <x:c r="B151" s="18" t="n">
        <x:v>46204</x:v>
      </x:c>
      <x:c r="C151" s="12" t="str">
        <x:v>DLR-013</x:v>
      </x:c>
      <x:c r="D151" s="12" t="str">
        <x:v>VinFast HTA Ninh Bình</x:v>
      </x:c>
      <x:c r="E151" s="12" t="str">
        <x:v>VinFast</x:v>
      </x:c>
      <x:c r="F151" s="12" t="n">
        <x:v>0.655</x:v>
      </x:c>
      <x:c r="G151" s="34" t="n">
        <x:v>0.016540296200941648</x:v>
      </x:c>
      <x:c r="H151" s="34" t="n">
        <x:v>0.05</x:v>
      </x:c>
      <x:c r="I151" s="12" t="n">
        <x:v>0.645</x:v>
      </x:c>
      <x:c r="J151" s="12" t="n">
        <x:v>0</x:v>
      </x:c>
      <x:c r="K151" s="12" t="str">
        <x:v>Dealer Manager</x:v>
      </x:c>
      <x:c r="L151" s="12" t="str">
        <x:f>IF(G151&gt;H151,"BREACH","OK")</x:f>
        <x:v>OK</x:v>
      </x:c>
    </x:row>
    <x:row r="152">
      <x:c r="A152" s="12" t="str">
        <x:v>PRC-00151</x:v>
      </x:c>
      <x:c r="B152" s="18" t="n">
        <x:v>46221</x:v>
      </x:c>
      <x:c r="C152" s="12" t="str">
        <x:v>DLR-008</x:v>
      </x:c>
      <x:c r="D152" s="12" t="str">
        <x:v>VinFast HTA Nguyễn Văn Linh</x:v>
      </x:c>
      <x:c r="E152" s="12" t="str">
        <x:v>VinFast</x:v>
      </x:c>
      <x:c r="F152" s="12" t="n">
        <x:v>1.302</x:v>
      </x:c>
      <x:c r="G152" s="34" t="n">
        <x:v>0.02700761621992591</x:v>
      </x:c>
      <x:c r="H152" s="34" t="n">
        <x:v>0.045</x:v>
      </x:c>
      <x:c r="I152" s="12" t="n">
        <x:v>1.267</x:v>
      </x:c>
      <x:c r="J152" s="12" t="n">
        <x:v>0</x:v>
      </x:c>
      <x:c r="K152" s="12" t="str">
        <x:v>Brand Director</x:v>
      </x:c>
      <x:c r="L152" s="12" t="str">
        <x:f>IF(G152&gt;H152,"BREACH","OK")</x:f>
        <x:v>OK</x:v>
      </x:c>
    </x:row>
    <x:row r="153">
      <x:c r="A153" s="12" t="str">
        <x:v>PRC-00152</x:v>
      </x:c>
      <x:c r="B153" s="18" t="n">
        <x:v>46210</x:v>
      </x:c>
      <x:c r="C153" s="12" t="str">
        <x:v>DLR-013</x:v>
      </x:c>
      <x:c r="D153" s="12" t="str">
        <x:v>VinFast HTA Ninh Bình</x:v>
      </x:c>
      <x:c r="E153" s="12" t="str">
        <x:v>VinFast</x:v>
      </x:c>
      <x:c r="F153" s="12" t="n">
        <x:v>0.433</x:v>
      </x:c>
      <x:c r="G153" s="34" t="n">
        <x:v>0.06922269316301903</x:v>
      </x:c>
      <x:c r="H153" s="34" t="n">
        <x:v>0.03</x:v>
      </x:c>
      <x:c r="I153" s="12" t="n">
        <x:v>0.403</x:v>
      </x:c>
      <x:c r="J153" s="12" t="n">
        <x:v>0.017</x:v>
      </x:c>
      <x:c r="K153" s="12" t="str">
        <x:v>Commercial Director</x:v>
      </x:c>
      <x:c r="L153" s="12" t="str">
        <x:f>IF(G153&gt;H153,"BREACH","OK")</x:f>
        <x:v>BREACH</x:v>
      </x:c>
    </x:row>
    <x:row r="154">
      <x:c r="A154" s="12" t="str">
        <x:v>PRC-00153</x:v>
      </x:c>
      <x:c r="B154" s="18" t="n">
        <x:v>46210</x:v>
      </x:c>
      <x:c r="C154" s="12" t="str">
        <x:v>DLR-007</x:v>
      </x:c>
      <x:c r="D154" s="12" t="str">
        <x:v>BYD Hà Đông</x:v>
      </x:c>
      <x:c r="E154" s="12" t="str">
        <x:v>BYD</x:v>
      </x:c>
      <x:c r="F154" s="12" t="n">
        <x:v>0.676</x:v>
      </x:c>
      <x:c r="G154" s="34" t="n">
        <x:v>0.043876027651124416</x:v>
      </x:c>
      <x:c r="H154" s="34" t="n">
        <x:v>0.05</x:v>
      </x:c>
      <x:c r="I154" s="12" t="n">
        <x:v>0.647</x:v>
      </x:c>
      <x:c r="J154" s="12" t="n">
        <x:v>0</x:v>
      </x:c>
      <x:c r="K154" s="12" t="str">
        <x:v>Brand Director</x:v>
      </x:c>
      <x:c r="L154" s="12" t="str">
        <x:f>IF(G154&gt;H154,"BREACH","OK")</x:f>
        <x:v>OK</x:v>
      </x:c>
    </x:row>
    <x:row r="155">
      <x:c r="A155" s="12" t="str">
        <x:v>PRC-00154</x:v>
      </x:c>
      <x:c r="B155" s="18" t="n">
        <x:v>46217</x:v>
      </x:c>
      <x:c r="C155" s="12" t="str">
        <x:v>DLR-014</x:v>
      </x:c>
      <x:c r="D155" s="12" t="str">
        <x:v>VinFast HTA Nam Từ Liêm</x:v>
      </x:c>
      <x:c r="E155" s="12" t="str">
        <x:v>VinFast</x:v>
      </x:c>
      <x:c r="F155" s="12" t="n">
        <x:v>0.958</x:v>
      </x:c>
      <x:c r="G155" s="34" t="n">
        <x:v>0.06376991281105393</x:v>
      </x:c>
      <x:c r="H155" s="34" t="n">
        <x:v>0.03</x:v>
      </x:c>
      <x:c r="I155" s="12" t="n">
        <x:v>0.897</x:v>
      </x:c>
      <x:c r="J155" s="12" t="n">
        <x:v>0.0324</x:v>
      </x:c>
      <x:c r="K155" s="12" t="str">
        <x:v>Brand Director</x:v>
      </x:c>
      <x:c r="L155" s="12" t="str">
        <x:f>IF(G155&gt;H155,"BREACH","OK")</x:f>
        <x:v>BREACH</x:v>
      </x:c>
    </x:row>
    <x:row r="156">
      <x:c r="A156" s="12" t="str">
        <x:v>PRC-00155</x:v>
      </x:c>
      <x:c r="B156" s="18" t="n">
        <x:v>46215</x:v>
      </x:c>
      <x:c r="C156" s="12" t="str">
        <x:v>DLR-008</x:v>
      </x:c>
      <x:c r="D156" s="12" t="str">
        <x:v>VinFast HTA Nguyễn Văn Linh</x:v>
      </x:c>
      <x:c r="E156" s="12" t="str">
        <x:v>VinFast</x:v>
      </x:c>
      <x:c r="F156" s="12" t="n">
        <x:v>1.016</x:v>
      </x:c>
      <x:c r="G156" s="34" t="n">
        <x:v>0.018383323719474765</x:v>
      </x:c>
      <x:c r="H156" s="34" t="n">
        <x:v>0.045</x:v>
      </x:c>
      <x:c r="I156" s="12" t="n">
        <x:v>0.997</x:v>
      </x:c>
      <x:c r="J156" s="12" t="n">
        <x:v>0</x:v>
      </x:c>
      <x:c r="K156" s="12" t="str">
        <x:v>Brand Director</x:v>
      </x:c>
      <x:c r="L156" s="12" t="str">
        <x:f>IF(G156&gt;H156,"BREACH","OK")</x:f>
        <x:v>OK</x:v>
      </x:c>
    </x:row>
    <x:row r="157">
      <x:c r="A157" s="12" t="str">
        <x:v>PRC-00156</x:v>
      </x:c>
      <x:c r="B157" s="18" t="n">
        <x:v>46220</x:v>
      </x:c>
      <x:c r="C157" s="12" t="str">
        <x:v>DLR-005</x:v>
      </x:c>
      <x:c r="D157" s="12" t="str">
        <x:v>BYD HTA Tây Hồ</x:v>
      </x:c>
      <x:c r="E157" s="12" t="str">
        <x:v>BYD</x:v>
      </x:c>
      <x:c r="F157" s="12" t="n">
        <x:v>0.874</x:v>
      </x:c>
      <x:c r="G157" s="34" t="n">
        <x:v>0.0530856329681199</x:v>
      </x:c>
      <x:c r="H157" s="34" t="n">
        <x:v>0.03</x:v>
      </x:c>
      <x:c r="I157" s="12" t="n">
        <x:v>0.827</x:v>
      </x:c>
      <x:c r="J157" s="12" t="n">
        <x:v>0.0202</x:v>
      </x:c>
      <x:c r="K157" s="12" t="str">
        <x:v>Dealer Manager</x:v>
      </x:c>
      <x:c r="L157" s="12" t="str">
        <x:f>IF(G157&gt;H157,"BREACH","OK")</x:f>
        <x:v>BREACH</x:v>
      </x:c>
    </x:row>
    <x:row r="158">
      <x:c r="A158" s="12" t="str">
        <x:v>PRC-00157</x:v>
      </x:c>
      <x:c r="B158" s="18" t="n">
        <x:v>46216</x:v>
      </x:c>
      <x:c r="C158" s="12" t="str">
        <x:v>DLR-007</x:v>
      </x:c>
      <x:c r="D158" s="12" t="str">
        <x:v>BYD Hà Đông</x:v>
      </x:c>
      <x:c r="E158" s="12" t="str">
        <x:v>BYD</x:v>
      </x:c>
      <x:c r="F158" s="12" t="n">
        <x:v>0.757</x:v>
      </x:c>
      <x:c r="G158" s="34" t="n">
        <x:v>0.030683106185994506</x:v>
      </x:c>
      <x:c r="H158" s="34" t="n">
        <x:v>0.05</x:v>
      </x:c>
      <x:c r="I158" s="12" t="n">
        <x:v>0.734</x:v>
      </x:c>
      <x:c r="J158" s="12" t="n">
        <x:v>0</x:v>
      </x:c>
      <x:c r="K158" s="12" t="str">
        <x:v>Dealer Manager</x:v>
      </x:c>
      <x:c r="L158" s="12" t="str">
        <x:f>IF(G158&gt;H158,"BREACH","OK")</x:f>
        <x:v>OK</x:v>
      </x:c>
    </x:row>
    <x:row r="159">
      <x:c r="A159" s="12" t="str">
        <x:v>PRC-00158</x:v>
      </x:c>
      <x:c r="B159" s="18" t="n">
        <x:v>46217</x:v>
      </x:c>
      <x:c r="C159" s="12" t="str">
        <x:v>DLR-010</x:v>
      </x:c>
      <x:c r="D159" s="12" t="str">
        <x:v>VinFast HTA Đàm Quang Trung</x:v>
      </x:c>
      <x:c r="E159" s="12" t="str">
        <x:v>VinFast</x:v>
      </x:c>
      <x:c r="F159" s="12" t="n">
        <x:v>1.507</x:v>
      </x:c>
      <x:c r="G159" s="34" t="n">
        <x:v>0.030517124006685645</x:v>
      </x:c>
      <x:c r="H159" s="34" t="n">
        <x:v>0.03</x:v>
      </x:c>
      <x:c r="I159" s="12" t="n">
        <x:v>1.461</x:v>
      </x:c>
      <x:c r="J159" s="12" t="n">
        <x:v>0.0008</x:v>
      </x:c>
      <x:c r="K159" s="12" t="str">
        <x:v>Commercial Director</x:v>
      </x:c>
      <x:c r="L159" s="12" t="str">
        <x:f>IF(G159&gt;H159,"BREACH","OK")</x:f>
        <x:v>BREACH</x:v>
      </x:c>
    </x:row>
    <x:row r="160">
      <x:c r="A160" s="12" t="str">
        <x:v>PRC-00159</x:v>
      </x:c>
      <x:c r="B160" s="18" t="n">
        <x:v>46218</x:v>
      </x:c>
      <x:c r="C160" s="12" t="str">
        <x:v>DLR-017</x:v>
      </x:c>
      <x:c r="D160" s="12" t="str">
        <x:v>VinFast Quốc Oai</x:v>
      </x:c>
      <x:c r="E160" s="12" t="str">
        <x:v>VinFast</x:v>
      </x:c>
      <x:c r="F160" s="12" t="n">
        <x:v>1.204</x:v>
      </x:c>
      <x:c r="G160" s="34" t="n">
        <x:v>0.011624451821891193</x:v>
      </x:c>
      <x:c r="H160" s="34" t="n">
        <x:v>0.045</x:v>
      </x:c>
      <x:c r="I160" s="12" t="n">
        <x:v>1.19</x:v>
      </x:c>
      <x:c r="J160" s="12" t="n">
        <x:v>0</x:v>
      </x:c>
      <x:c r="K160" s="12" t="str">
        <x:v>Commercial Director</x:v>
      </x:c>
      <x:c r="L160" s="12" t="str">
        <x:f>IF(G160&gt;H160,"BREACH","OK")</x:f>
        <x:v>OK</x:v>
      </x:c>
    </x:row>
    <x:row r="161">
      <x:c r="A161" s="12" t="str">
        <x:v>PRC-00160</x:v>
      </x:c>
      <x:c r="B161" s="18" t="n">
        <x:v>46222</x:v>
      </x:c>
      <x:c r="C161" s="12" t="str">
        <x:v>DLR-005</x:v>
      </x:c>
      <x:c r="D161" s="12" t="str">
        <x:v>BYD HTA Tây Hồ</x:v>
      </x:c>
      <x:c r="E161" s="12" t="str">
        <x:v>BYD</x:v>
      </x:c>
      <x:c r="F161" s="12" t="n">
        <x:v>0.553</x:v>
      </x:c>
      <x:c r="G161" s="34" t="n">
        <x:v>0.05813910524739069</x:v>
      </x:c>
      <x:c r="H161" s="34" t="n">
        <x:v>0.04</x:v>
      </x:c>
      <x:c r="I161" s="12" t="n">
        <x:v>0.521</x:v>
      </x:c>
      <x:c r="J161" s="12" t="n">
        <x:v>0.01</x:v>
      </x:c>
      <x:c r="K161" s="12" t="str">
        <x:v>Brand Director</x:v>
      </x:c>
      <x:c r="L161" s="12" t="str">
        <x:f>IF(G161&gt;H161,"BREACH","OK")</x:f>
        <x:v>BREACH</x:v>
      </x:c>
    </x:row>
    <x:row r="162">
      <x:c r="A162" s="12" t="str">
        <x:v>PRC-00161</x:v>
      </x:c>
      <x:c r="B162" s="18" t="n">
        <x:v>46216</x:v>
      </x:c>
      <x:c r="C162" s="12" t="str">
        <x:v>DLR-020</x:v>
      </x:c>
      <x:c r="D162" s="12" t="str">
        <x:v>Wuling HTA Long Biên</x:v>
      </x:c>
      <x:c r="E162" s="12" t="str">
        <x:v>Wuling</x:v>
      </x:c>
      <x:c r="F162" s="12" t="n">
        <x:v>1.452</x:v>
      </x:c>
      <x:c r="G162" s="34" t="n">
        <x:v>0.059625960123300965</x:v>
      </x:c>
      <x:c r="H162" s="34" t="n">
        <x:v>0.05</x:v>
      </x:c>
      <x:c r="I162" s="12" t="n">
        <x:v>1.366</x:v>
      </x:c>
      <x:c r="J162" s="12" t="n">
        <x:v>0.014</x:v>
      </x:c>
      <x:c r="K162" s="12" t="str">
        <x:v>Brand Director</x:v>
      </x:c>
      <x:c r="L162" s="12" t="str">
        <x:f>IF(G162&gt;H162,"BREACH","OK")</x:f>
        <x:v>BREACH</x:v>
      </x:c>
    </x:row>
    <x:row r="163">
      <x:c r="A163" s="12" t="str">
        <x:v>PRC-00162</x:v>
      </x:c>
      <x:c r="B163" s="18" t="n">
        <x:v>46220</x:v>
      </x:c>
      <x:c r="C163" s="12" t="str">
        <x:v>DLR-006</x:v>
      </x:c>
      <x:c r="D163" s="12" t="str">
        <x:v>BYD HTA Hoàn Kiếm</x:v>
      </x:c>
      <x:c r="E163" s="12" t="str">
        <x:v>BYD</x:v>
      </x:c>
      <x:c r="F163" s="12" t="n">
        <x:v>1.42</x:v>
      </x:c>
      <x:c r="G163" s="34" t="n">
        <x:v>0.06054447596902097</x:v>
      </x:c>
      <x:c r="H163" s="34" t="n">
        <x:v>0.05</x:v>
      </x:c>
      <x:c r="I163" s="12" t="n">
        <x:v>1.334</x:v>
      </x:c>
      <x:c r="J163" s="12" t="n">
        <x:v>0.015</x:v>
      </x:c>
      <x:c r="K163" s="12" t="str">
        <x:v>Dealer Manager</x:v>
      </x:c>
      <x:c r="L163" s="12" t="str">
        <x:f>IF(G163&gt;H163,"BREACH","OK")</x:f>
        <x:v>BREACH</x:v>
      </x:c>
    </x:row>
    <x:row r="164">
      <x:c r="A164" s="12" t="str">
        <x:v>PRC-00163</x:v>
      </x:c>
      <x:c r="B164" s="18" t="n">
        <x:v>46224</x:v>
      </x:c>
      <x:c r="C164" s="12" t="str">
        <x:v>DLR-010</x:v>
      </x:c>
      <x:c r="D164" s="12" t="str">
        <x:v>VinFast HTA Đàm Quang Trung</x:v>
      </x:c>
      <x:c r="E164" s="12" t="str">
        <x:v>VinFast</x:v>
      </x:c>
      <x:c r="F164" s="12" t="n">
        <x:v>1.073</x:v>
      </x:c>
      <x:c r="G164" s="34" t="n">
        <x:v>0.06896425441693099</x:v>
      </x:c>
      <x:c r="H164" s="34" t="n">
        <x:v>0.04</x:v>
      </x:c>
      <x:c r="I164" s="12" t="n">
        <x:v>0.999</x:v>
      </x:c>
      <x:c r="J164" s="12" t="n">
        <x:v>0.0311</x:v>
      </x:c>
      <x:c r="K164" s="12" t="str">
        <x:v>Commercial Director</x:v>
      </x:c>
      <x:c r="L164" s="12" t="str">
        <x:f>IF(G164&gt;H164,"BREACH","OK")</x:f>
        <x:v>BREACH</x:v>
      </x:c>
    </x:row>
    <x:row r="165">
      <x:c r="A165" s="12" t="str">
        <x:v>PRC-00164</x:v>
      </x:c>
      <x:c r="B165" s="18" t="n">
        <x:v>46225</x:v>
      </x:c>
      <x:c r="C165" s="12" t="str">
        <x:v>DLR-009</x:v>
      </x:c>
      <x:c r="D165" s="12" t="str">
        <x:v>VinFast HTA Đông Anh</x:v>
      </x:c>
      <x:c r="E165" s="12" t="str">
        <x:v>VinFast</x:v>
      </x:c>
      <x:c r="F165" s="12" t="n">
        <x:v>1.531</x:v>
      </x:c>
      <x:c r="G165" s="34" t="n">
        <x:v>0.07859617965911785</x:v>
      </x:c>
      <x:c r="H165" s="34" t="n">
        <x:v>0.045</x:v>
      </x:c>
      <x:c r="I165" s="12" t="n">
        <x:v>1.411</x:v>
      </x:c>
      <x:c r="J165" s="12" t="n">
        <x:v>0.0514</x:v>
      </x:c>
      <x:c r="K165" s="12" t="str">
        <x:v>Commercial Director</x:v>
      </x:c>
      <x:c r="L165" s="12" t="str">
        <x:f>IF(G165&gt;H165,"BREACH","OK")</x:f>
        <x:v>BREACH</x:v>
      </x:c>
    </x:row>
    <x:row r="166">
      <x:c r="A166" s="12" t="str">
        <x:v>PRC-00165</x:v>
      </x:c>
      <x:c r="B166" s="18" t="n">
        <x:v>46213</x:v>
      </x:c>
      <x:c r="C166" s="12" t="str">
        <x:v>DLR-018</x:v>
      </x:c>
      <x:c r="D166" s="12" t="str">
        <x:v>OMODA &amp; JAECOO HTA Nam Từ Liêm</x:v>
      </x:c>
      <x:c r="E166" s="12" t="str">
        <x:v>OMODA &amp; JAECOO</x:v>
      </x:c>
      <x:c r="F166" s="12" t="n">
        <x:v>1.693</x:v>
      </x:c>
      <x:c r="G166" s="34" t="n">
        <x:v>0.03978025931804402</x:v>
      </x:c>
      <x:c r="H166" s="34" t="n">
        <x:v>0.04</x:v>
      </x:c>
      <x:c r="I166" s="12" t="n">
        <x:v>1.625</x:v>
      </x:c>
      <x:c r="J166" s="12" t="n">
        <x:v>0</x:v>
      </x:c>
      <x:c r="K166" s="12" t="str">
        <x:v>Commercial Director</x:v>
      </x:c>
      <x:c r="L166" s="12" t="str">
        <x:f>IF(G166&gt;H166,"BREACH","OK")</x:f>
        <x:v>OK</x:v>
      </x:c>
    </x:row>
    <x:row r="167">
      <x:c r="A167" s="12" t="str">
        <x:v>PRC-00166</x:v>
      </x:c>
      <x:c r="B167" s="18" t="n">
        <x:v>46220</x:v>
      </x:c>
      <x:c r="C167" s="12" t="str">
        <x:v>DLR-015</x:v>
      </x:c>
      <x:c r="D167" s="12" t="str">
        <x:v>VinFast HTA Văn Phú</x:v>
      </x:c>
      <x:c r="E167" s="12" t="str">
        <x:v>VinFast</x:v>
      </x:c>
      <x:c r="F167" s="12" t="n">
        <x:v>0.857</x:v>
      </x:c>
      <x:c r="G167" s="34" t="n">
        <x:v>0.013722145895272927</x:v>
      </x:c>
      <x:c r="H167" s="34" t="n">
        <x:v>0.03</x:v>
      </x:c>
      <x:c r="I167" s="12" t="n">
        <x:v>0.846</x:v>
      </x:c>
      <x:c r="J167" s="12" t="n">
        <x:v>0</x:v>
      </x:c>
      <x:c r="K167" s="12" t="str">
        <x:v>Dealer Manager</x:v>
      </x:c>
      <x:c r="L167" s="12" t="str">
        <x:f>IF(G167&gt;H167,"BREACH","OK")</x:f>
        <x:v>OK</x:v>
      </x:c>
    </x:row>
    <x:row r="168">
      <x:c r="A168" s="12" t="str">
        <x:v>PRC-00167</x:v>
      </x:c>
      <x:c r="B168" s="18" t="n">
        <x:v>46219</x:v>
      </x:c>
      <x:c r="C168" s="12" t="str">
        <x:v>DLR-005</x:v>
      </x:c>
      <x:c r="D168" s="12" t="str">
        <x:v>BYD HTA Tây Hồ</x:v>
      </x:c>
      <x:c r="E168" s="12" t="str">
        <x:v>BYD</x:v>
      </x:c>
      <x:c r="F168" s="12" t="n">
        <x:v>0.92</x:v>
      </x:c>
      <x:c r="G168" s="34" t="n">
        <x:v>0.041228220688489095</x:v>
      </x:c>
      <x:c r="H168" s="34" t="n">
        <x:v>0.045</x:v>
      </x:c>
      <x:c r="I168" s="12" t="n">
        <x:v>0.882</x:v>
      </x:c>
      <x:c r="J168" s="12" t="n">
        <x:v>0</x:v>
      </x:c>
      <x:c r="K168" s="12" t="str">
        <x:v>Dealer Manager</x:v>
      </x:c>
      <x:c r="L168" s="12" t="str">
        <x:f>IF(G168&gt;H168,"BREACH","OK")</x:f>
        <x:v>OK</x:v>
      </x:c>
    </x:row>
    <x:row r="169">
      <x:c r="A169" s="12" t="str">
        <x:v>PRC-00168</x:v>
      </x:c>
      <x:c r="B169" s="18" t="n">
        <x:v>46214</x:v>
      </x:c>
      <x:c r="C169" s="12" t="str">
        <x:v>DLR-001</x:v>
      </x:c>
      <x:c r="D169" s="12" t="str">
        <x:v>Hà Thành Ford</x:v>
      </x:c>
      <x:c r="E169" s="12" t="str">
        <x:v>Ford</x:v>
      </x:c>
      <x:c r="F169" s="12" t="n">
        <x:v>0.803</x:v>
      </x:c>
      <x:c r="G169" s="34" t="n">
        <x:v>0.016302621751863994</x:v>
      </x:c>
      <x:c r="H169" s="34" t="n">
        <x:v>0.05</x:v>
      </x:c>
      <x:c r="I169" s="12" t="n">
        <x:v>0.79</x:v>
      </x:c>
      <x:c r="J169" s="12" t="n">
        <x:v>0</x:v>
      </x:c>
      <x:c r="K169" s="12" t="str">
        <x:v>Commercial Director</x:v>
      </x:c>
      <x:c r="L169" s="12" t="str">
        <x:f>IF(G169&gt;H169,"BREACH","OK")</x:f>
        <x:v>OK</x:v>
      </x:c>
    </x:row>
    <x:row r="170">
      <x:c r="A170" s="12" t="str">
        <x:v>PRC-00169</x:v>
      </x:c>
      <x:c r="B170" s="18" t="n">
        <x:v>46224</x:v>
      </x:c>
      <x:c r="C170" s="12" t="str">
        <x:v>DLR-006</x:v>
      </x:c>
      <x:c r="D170" s="12" t="str">
        <x:v>BYD HTA Hoàn Kiếm</x:v>
      </x:c>
      <x:c r="E170" s="12" t="str">
        <x:v>BYD</x:v>
      </x:c>
      <x:c r="F170" s="12" t="n">
        <x:v>1.369</x:v>
      </x:c>
      <x:c r="G170" s="34" t="n">
        <x:v>0.01404450413641984</x:v>
      </x:c>
      <x:c r="H170" s="34" t="n">
        <x:v>0.045</x:v>
      </x:c>
      <x:c r="I170" s="12" t="n">
        <x:v>1.35</x:v>
      </x:c>
      <x:c r="J170" s="12" t="n">
        <x:v>0</x:v>
      </x:c>
      <x:c r="K170" s="12" t="str">
        <x:v>Dealer Manager</x:v>
      </x:c>
      <x:c r="L170" s="12" t="str">
        <x:f>IF(G170&gt;H170,"BREACH","OK")</x:f>
        <x:v>OK</x:v>
      </x:c>
    </x:row>
    <x:row r="171">
      <x:c r="A171" s="12" t="str">
        <x:v>PRC-00170</x:v>
      </x:c>
      <x:c r="B171" s="18" t="n">
        <x:v>46221</x:v>
      </x:c>
      <x:c r="C171" s="12" t="str">
        <x:v>DLR-003</x:v>
      </x:c>
      <x:c r="D171" s="12" t="str">
        <x:v>Mỹ Đình Ford</x:v>
      </x:c>
      <x:c r="E171" s="12" t="str">
        <x:v>Ford</x:v>
      </x:c>
      <x:c r="F171" s="12" t="n">
        <x:v>0.638</x:v>
      </x:c>
      <x:c r="G171" s="34" t="n">
        <x:v>0.03796375353229578</x:v>
      </x:c>
      <x:c r="H171" s="34" t="n">
        <x:v>0.05</x:v>
      </x:c>
      <x:c r="I171" s="12" t="n">
        <x:v>0.613</x:v>
      </x:c>
      <x:c r="J171" s="12" t="n">
        <x:v>0</x:v>
      </x:c>
      <x:c r="K171" s="12" t="str">
        <x:v>Dealer Manager</x:v>
      </x:c>
      <x:c r="L171" s="12" t="str">
        <x:f>IF(G171&gt;H171,"BREACH","OK")</x:f>
        <x:v>OK</x:v>
      </x:c>
    </x:row>
    <x:row r="172">
      <x:c r="A172" s="12" t="str">
        <x:v>PRC-00171</x:v>
      </x:c>
      <x:c r="B172" s="18" t="n">
        <x:v>46206</x:v>
      </x:c>
      <x:c r="C172" s="12" t="str">
        <x:v>DLR-005</x:v>
      </x:c>
      <x:c r="D172" s="12" t="str">
        <x:v>BYD HTA Tây Hồ</x:v>
      </x:c>
      <x:c r="E172" s="12" t="str">
        <x:v>BYD</x:v>
      </x:c>
      <x:c r="F172" s="12" t="n">
        <x:v>0.385</x:v>
      </x:c>
      <x:c r="G172" s="34" t="n">
        <x:v>0.031456011070670066</x:v>
      </x:c>
      <x:c r="H172" s="34" t="n">
        <x:v>0.05</x:v>
      </x:c>
      <x:c r="I172" s="12" t="n">
        <x:v>0.373</x:v>
      </x:c>
      <x:c r="J172" s="12" t="n">
        <x:v>0</x:v>
      </x:c>
      <x:c r="K172" s="12" t="str">
        <x:v>Commercial Director</x:v>
      </x:c>
      <x:c r="L172" s="12" t="str">
        <x:f>IF(G172&gt;H172,"BREACH","OK")</x:f>
        <x:v>OK</x:v>
      </x:c>
    </x:row>
    <x:row r="173">
      <x:c r="A173" s="12" t="str">
        <x:v>PRC-00172</x:v>
      </x:c>
      <x:c r="B173" s="18" t="n">
        <x:v>46209</x:v>
      </x:c>
      <x:c r="C173" s="12" t="str">
        <x:v>DLR-016</x:v>
      </x:c>
      <x:c r="D173" s="12" t="str">
        <x:v>VinFast HTA Mỹ Đình</x:v>
      </x:c>
      <x:c r="E173" s="12" t="str">
        <x:v>VinFast</x:v>
      </x:c>
      <x:c r="F173" s="12" t="n">
        <x:v>1.42</x:v>
      </x:c>
      <x:c r="G173" s="34" t="n">
        <x:v>0.07408826548407925</x:v>
      </x:c>
      <x:c r="H173" s="34" t="n">
        <x:v>0.045</x:v>
      </x:c>
      <x:c r="I173" s="12" t="n">
        <x:v>1.314</x:v>
      </x:c>
      <x:c r="J173" s="12" t="n">
        <x:v>0.0413</x:v>
      </x:c>
      <x:c r="K173" s="12" t="str">
        <x:v>Dealer Manager</x:v>
      </x:c>
      <x:c r="L173" s="12" t="str">
        <x:f>IF(G173&gt;H173,"BREACH","OK")</x:f>
        <x:v>BREACH</x:v>
      </x:c>
    </x:row>
    <x:row r="174">
      <x:c r="A174" s="12" t="str">
        <x:v>PRC-00173</x:v>
      </x:c>
      <x:c r="B174" s="18" t="n">
        <x:v>46210</x:v>
      </x:c>
      <x:c r="C174" s="12" t="str">
        <x:v>DLR-001</x:v>
      </x:c>
      <x:c r="D174" s="12" t="str">
        <x:v>Hà Thành Ford</x:v>
      </x:c>
      <x:c r="E174" s="12" t="str">
        <x:v>Ford</x:v>
      </x:c>
      <x:c r="F174" s="12" t="n">
        <x:v>1.004</x:v>
      </x:c>
      <x:c r="G174" s="34" t="n">
        <x:v>0.06908232250297719</x:v>
      </x:c>
      <x:c r="H174" s="34" t="n">
        <x:v>0.03</x:v>
      </x:c>
      <x:c r="I174" s="12" t="n">
        <x:v>0.934</x:v>
      </x:c>
      <x:c r="J174" s="12" t="n">
        <x:v>0.0392</x:v>
      </x:c>
      <x:c r="K174" s="12" t="str">
        <x:v>Commercial Director</x:v>
      </x:c>
      <x:c r="L174" s="12" t="str">
        <x:f>IF(G174&gt;H174,"BREACH","OK")</x:f>
        <x:v>BREACH</x:v>
      </x:c>
    </x:row>
    <x:row r="175">
      <x:c r="A175" s="12" t="str">
        <x:v>PRC-00174</x:v>
      </x:c>
      <x:c r="B175" s="18" t="n">
        <x:v>46208</x:v>
      </x:c>
      <x:c r="C175" s="12" t="str">
        <x:v>DLR-006</x:v>
      </x:c>
      <x:c r="D175" s="12" t="str">
        <x:v>BYD HTA Hoàn Kiếm</x:v>
      </x:c>
      <x:c r="E175" s="12" t="str">
        <x:v>BYD</x:v>
      </x:c>
      <x:c r="F175" s="12" t="n">
        <x:v>0.994</x:v>
      </x:c>
      <x:c r="G175" s="34" t="n">
        <x:v>0.07929643381145149</x:v>
      </x:c>
      <x:c r="H175" s="34" t="n">
        <x:v>0.045</x:v>
      </x:c>
      <x:c r="I175" s="12" t="n">
        <x:v>0.915</x:v>
      </x:c>
      <x:c r="J175" s="12" t="n">
        <x:v>0.0341</x:v>
      </x:c>
      <x:c r="K175" s="12" t="str">
        <x:v>Brand Director</x:v>
      </x:c>
      <x:c r="L175" s="12" t="str">
        <x:f>IF(G175&gt;H175,"BREACH","OK")</x:f>
        <x:v>BREACH</x:v>
      </x:c>
    </x:row>
    <x:row r="176">
      <x:c r="A176" s="12" t="str">
        <x:v>PRC-00175</x:v>
      </x:c>
      <x:c r="B176" s="18" t="n">
        <x:v>46214</x:v>
      </x:c>
      <x:c r="C176" s="12" t="str">
        <x:v>DLR-019</x:v>
      </x:c>
      <x:c r="D176" s="12" t="str">
        <x:v>OMODA &amp; JAECOO HTA Việt Trì</x:v>
      </x:c>
      <x:c r="E176" s="12" t="str">
        <x:v>OMODA &amp; JAECOO</x:v>
      </x:c>
      <x:c r="F176" s="12" t="n">
        <x:v>1.449</x:v>
      </x:c>
      <x:c r="G176" s="34" t="n">
        <x:v>0.0298679786259679</x:v>
      </x:c>
      <x:c r="H176" s="34" t="n">
        <x:v>0.04</x:v>
      </x:c>
      <x:c r="I176" s="12" t="n">
        <x:v>1.406</x:v>
      </x:c>
      <x:c r="J176" s="12" t="n">
        <x:v>0</x:v>
      </x:c>
      <x:c r="K176" s="12" t="str">
        <x:v>Dealer Manager</x:v>
      </x:c>
      <x:c r="L176" s="12" t="str">
        <x:f>IF(G176&gt;H176,"BREACH","OK")</x:f>
        <x:v>OK</x:v>
      </x:c>
    </x:row>
    <x:row r="177">
      <x:c r="A177" s="12" t="str">
        <x:v>PRC-00176</x:v>
      </x:c>
      <x:c r="B177" s="18" t="n">
        <x:v>46208</x:v>
      </x:c>
      <x:c r="C177" s="12" t="str">
        <x:v>DLR-017</x:v>
      </x:c>
      <x:c r="D177" s="12" t="str">
        <x:v>VinFast Quốc Oai</x:v>
      </x:c>
      <x:c r="E177" s="12" t="str">
        <x:v>VinFast</x:v>
      </x:c>
      <x:c r="F177" s="12" t="n">
        <x:v>0.514</x:v>
      </x:c>
      <x:c r="G177" s="34" t="n">
        <x:v>0.0660299492792824</x:v>
      </x:c>
      <x:c r="H177" s="34" t="n">
        <x:v>0.05</x:v>
      </x:c>
      <x:c r="I177" s="12" t="n">
        <x:v>0.48</x:v>
      </x:c>
      <x:c r="J177" s="12" t="n">
        <x:v>0.0082</x:v>
      </x:c>
      <x:c r="K177" s="12" t="str">
        <x:v>Brand Director</x:v>
      </x:c>
      <x:c r="L177" s="12" t="str">
        <x:f>IF(G177&gt;H177,"BREACH","OK")</x:f>
        <x:v>BREACH</x:v>
      </x:c>
    </x:row>
    <x:row r="178">
      <x:c r="A178" s="12" t="str">
        <x:v>PRC-00177</x:v>
      </x:c>
      <x:c r="B178" s="18" t="n">
        <x:v>46208</x:v>
      </x:c>
      <x:c r="C178" s="12" t="str">
        <x:v>DLR-012</x:v>
      </x:c>
      <x:c r="D178" s="12" t="str">
        <x:v>VinFast HTA Võ Chí Công</x:v>
      </x:c>
      <x:c r="E178" s="12" t="str">
        <x:v>VinFast</x:v>
      </x:c>
      <x:c r="F178" s="12" t="n">
        <x:v>0.944</x:v>
      </x:c>
      <x:c r="G178" s="34" t="n">
        <x:v>0.04316144443401138</x:v>
      </x:c>
      <x:c r="H178" s="34" t="n">
        <x:v>0.05</x:v>
      </x:c>
      <x:c r="I178" s="12" t="n">
        <x:v>0.903</x:v>
      </x:c>
      <x:c r="J178" s="12" t="n">
        <x:v>0</x:v>
      </x:c>
      <x:c r="K178" s="12" t="str">
        <x:v>Commercial Director</x:v>
      </x:c>
      <x:c r="L178" s="12" t="str">
        <x:f>IF(G178&gt;H178,"BREACH","OK")</x:f>
        <x:v>OK</x:v>
      </x:c>
    </x:row>
    <x:row r="179">
      <x:c r="A179" s="12" t="str">
        <x:v>PRC-00178</x:v>
      </x:c>
      <x:c r="B179" s="18" t="n">
        <x:v>46216</x:v>
      </x:c>
      <x:c r="C179" s="12" t="str">
        <x:v>DLR-012</x:v>
      </x:c>
      <x:c r="D179" s="12" t="str">
        <x:v>VinFast HTA Võ Chí Công</x:v>
      </x:c>
      <x:c r="E179" s="12" t="str">
        <x:v>VinFast</x:v>
      </x:c>
      <x:c r="F179" s="12" t="n">
        <x:v>0.308</x:v>
      </x:c>
      <x:c r="G179" s="34" t="n">
        <x:v>0.029749095404507597</x:v>
      </x:c>
      <x:c r="H179" s="34" t="n">
        <x:v>0.04</x:v>
      </x:c>
      <x:c r="I179" s="12" t="n">
        <x:v>0.299</x:v>
      </x:c>
      <x:c r="J179" s="12" t="n">
        <x:v>0</x:v>
      </x:c>
      <x:c r="K179" s="12" t="str">
        <x:v>Brand Director</x:v>
      </x:c>
      <x:c r="L179" s="12" t="str">
        <x:f>IF(G179&gt;H179,"BREACH","OK")</x:f>
        <x:v>OK</x:v>
      </x:c>
    </x:row>
    <x:row r="180">
      <x:c r="A180" s="12" t="str">
        <x:v>PRC-00179</x:v>
      </x:c>
      <x:c r="B180" s="18" t="n">
        <x:v>46214</x:v>
      </x:c>
      <x:c r="C180" s="12" t="str">
        <x:v>DLR-015</x:v>
      </x:c>
      <x:c r="D180" s="12" t="str">
        <x:v>VinFast HTA Văn Phú</x:v>
      </x:c>
      <x:c r="E180" s="12" t="str">
        <x:v>VinFast</x:v>
      </x:c>
      <x:c r="F180" s="12" t="n">
        <x:v>1.631</x:v>
      </x:c>
      <x:c r="G180" s="34" t="n">
        <x:v>0.055213027771192524</x:v>
      </x:c>
      <x:c r="H180" s="34" t="n">
        <x:v>0.045</x:v>
      </x:c>
      <x:c r="I180" s="12" t="n">
        <x:v>1.541</x:v>
      </x:c>
      <x:c r="J180" s="12" t="n">
        <x:v>0.0167</x:v>
      </x:c>
      <x:c r="K180" s="12" t="str">
        <x:v>Dealer Manager</x:v>
      </x:c>
      <x:c r="L180" s="12" t="str">
        <x:f>IF(G180&gt;H180,"BREACH","OK")</x:f>
        <x:v>BREACH</x:v>
      </x:c>
    </x:row>
    <x:row r="181">
      <x:c r="A181" s="12" t="str">
        <x:v>PRC-00180</x:v>
      </x:c>
      <x:c r="B181" s="18" t="n">
        <x:v>46218</x:v>
      </x:c>
      <x:c r="C181" s="12" t="str">
        <x:v>DLR-008</x:v>
      </x:c>
      <x:c r="D181" s="12" t="str">
        <x:v>VinFast HTA Nguyễn Văn Linh</x:v>
      </x:c>
      <x:c r="E181" s="12" t="str">
        <x:v>VinFast</x:v>
      </x:c>
      <x:c r="F181" s="12" t="n">
        <x:v>0.729</x:v>
      </x:c>
      <x:c r="G181" s="34" t="n">
        <x:v>0.06293033130331327</x:v>
      </x:c>
      <x:c r="H181" s="34" t="n">
        <x:v>0.04</x:v>
      </x:c>
      <x:c r="I181" s="12" t="n">
        <x:v>0.683</x:v>
      </x:c>
      <x:c r="J181" s="12" t="n">
        <x:v>0.0167</x:v>
      </x:c>
      <x:c r="K181" s="12" t="str">
        <x:v>Dealer Manager</x:v>
      </x:c>
      <x:c r="L181" s="12" t="str">
        <x:f>IF(G181&gt;H181,"BREACH","OK")</x:f>
        <x:v>BREACH</x:v>
      </x:c>
    </x:row>
    <x:row r="182">
      <x:c r="A182" s="12" t="str">
        <x:v>PRC-00181</x:v>
      </x:c>
      <x:c r="B182" s="18" t="n">
        <x:v>46220</x:v>
      </x:c>
      <x:c r="C182" s="12" t="str">
        <x:v>DLR-002</x:v>
      </x:c>
      <x:c r="D182" s="12" t="str">
        <x:v>Hà Thành Ford - Mỹ Đình</x:v>
      </x:c>
      <x:c r="E182" s="12" t="str">
        <x:v>Ford</x:v>
      </x:c>
      <x:c r="F182" s="12" t="n">
        <x:v>1.555</x:v>
      </x:c>
      <x:c r="G182" s="34" t="n">
        <x:v>0.05308801811558516</x:v>
      </x:c>
      <x:c r="H182" s="34" t="n">
        <x:v>0.05</x:v>
      </x:c>
      <x:c r="I182" s="12" t="n">
        <x:v>1.473</x:v>
      </x:c>
      <x:c r="J182" s="12" t="n">
        <x:v>0.0048</x:v>
      </x:c>
      <x:c r="K182" s="12" t="str">
        <x:v>Commercial Director</x:v>
      </x:c>
      <x:c r="L182" s="12" t="str">
        <x:f>IF(G182&gt;H182,"BREACH","OK")</x:f>
        <x:v>BREACH</x:v>
      </x:c>
    </x:row>
    <x:row r="183">
      <x:c r="A183" s="12" t="str">
        <x:v>PRC-00182</x:v>
      </x:c>
      <x:c r="B183" s="18" t="n">
        <x:v>46220</x:v>
      </x:c>
      <x:c r="C183" s="12" t="str">
        <x:v>DLR-012</x:v>
      </x:c>
      <x:c r="D183" s="12" t="str">
        <x:v>VinFast HTA Võ Chí Công</x:v>
      </x:c>
      <x:c r="E183" s="12" t="str">
        <x:v>VinFast</x:v>
      </x:c>
      <x:c r="F183" s="12" t="n">
        <x:v>0.658</x:v>
      </x:c>
      <x:c r="G183" s="34" t="n">
        <x:v>0.06341719870282772</x:v>
      </x:c>
      <x:c r="H183" s="34" t="n">
        <x:v>0.04</x:v>
      </x:c>
      <x:c r="I183" s="12" t="n">
        <x:v>0.616</x:v>
      </x:c>
      <x:c r="J183" s="12" t="n">
        <x:v>0.0154</x:v>
      </x:c>
      <x:c r="K183" s="12" t="str">
        <x:v>Dealer Manager</x:v>
      </x:c>
      <x:c r="L183" s="12" t="str">
        <x:f>IF(G183&gt;H183,"BREACH","OK")</x:f>
        <x:v>BREACH</x:v>
      </x:c>
    </x:row>
    <x:row r="184">
      <x:c r="A184" s="12" t="str">
        <x:v>PRC-00183</x:v>
      </x:c>
      <x:c r="B184" s="18" t="n">
        <x:v>46207</x:v>
      </x:c>
      <x:c r="C184" s="12" t="str">
        <x:v>DLR-002</x:v>
      </x:c>
      <x:c r="D184" s="12" t="str">
        <x:v>Hà Thành Ford - Mỹ Đình</x:v>
      </x:c>
      <x:c r="E184" s="12" t="str">
        <x:v>Ford</x:v>
      </x:c>
      <x:c r="F184" s="12" t="n">
        <x:v>1.59</x:v>
      </x:c>
      <x:c r="G184" s="34" t="n">
        <x:v>0.04133098065740562</x:v>
      </x:c>
      <x:c r="H184" s="34" t="n">
        <x:v>0.05</x:v>
      </x:c>
      <x:c r="I184" s="12" t="n">
        <x:v>1.525</x:v>
      </x:c>
      <x:c r="J184" s="12" t="n">
        <x:v>0</x:v>
      </x:c>
      <x:c r="K184" s="12" t="str">
        <x:v>Dealer Manager</x:v>
      </x:c>
      <x:c r="L184" s="12" t="str">
        <x:f>IF(G184&gt;H184,"BREACH","OK")</x:f>
        <x:v>OK</x:v>
      </x:c>
    </x:row>
    <x:row r="185">
      <x:c r="A185" s="12" t="str">
        <x:v>PRC-00184</x:v>
      </x:c>
      <x:c r="B185" s="18" t="n">
        <x:v>46206</x:v>
      </x:c>
      <x:c r="C185" s="12" t="str">
        <x:v>DLR-007</x:v>
      </x:c>
      <x:c r="D185" s="12" t="str">
        <x:v>BYD Hà Đông</x:v>
      </x:c>
      <x:c r="E185" s="12" t="str">
        <x:v>BYD</x:v>
      </x:c>
      <x:c r="F185" s="12" t="n">
        <x:v>0.312</x:v>
      </x:c>
      <x:c r="G185" s="34" t="n">
        <x:v>0.04648421641678866</x:v>
      </x:c>
      <x:c r="H185" s="34" t="n">
        <x:v>0.03</x:v>
      </x:c>
      <x:c r="I185" s="12" t="n">
        <x:v>0.298</x:v>
      </x:c>
      <x:c r="J185" s="12" t="n">
        <x:v>0.0051</x:v>
      </x:c>
      <x:c r="K185" s="12" t="str">
        <x:v>Brand Director</x:v>
      </x:c>
      <x:c r="L185" s="12" t="str">
        <x:f>IF(G185&gt;H185,"BREACH","OK")</x:f>
        <x:v>BREACH</x:v>
      </x:c>
    </x:row>
    <x:row r="186">
      <x:c r="A186" s="12" t="str">
        <x:v>PRC-00185</x:v>
      </x:c>
      <x:c r="B186" s="18" t="n">
        <x:v>46219</x:v>
      </x:c>
      <x:c r="C186" s="12" t="str">
        <x:v>DLR-008</x:v>
      </x:c>
      <x:c r="D186" s="12" t="str">
        <x:v>VinFast HTA Nguyễn Văn Linh</x:v>
      </x:c>
      <x:c r="E186" s="12" t="str">
        <x:v>VinFast</x:v>
      </x:c>
      <x:c r="F186" s="12" t="n">
        <x:v>1.393</x:v>
      </x:c>
      <x:c r="G186" s="34" t="n">
        <x:v>0.0654586675310033</x:v>
      </x:c>
      <x:c r="H186" s="34" t="n">
        <x:v>0.05</x:v>
      </x:c>
      <x:c r="I186" s="12" t="n">
        <x:v>1.301</x:v>
      </x:c>
      <x:c r="J186" s="12" t="n">
        <x:v>0.0215</x:v>
      </x:c>
      <x:c r="K186" s="12" t="str">
        <x:v>Dealer Manager</x:v>
      </x:c>
      <x:c r="L186" s="12" t="str">
        <x:f>IF(G186&gt;H186,"BREACH","OK")</x:f>
        <x:v>BREACH</x:v>
      </x:c>
    </x:row>
    <x:row r="187">
      <x:c r="A187" s="12" t="str">
        <x:v>PRC-00186</x:v>
      </x:c>
      <x:c r="B187" s="18" t="n">
        <x:v>46216</x:v>
      </x:c>
      <x:c r="C187" s="12" t="str">
        <x:v>DLR-010</x:v>
      </x:c>
      <x:c r="D187" s="12" t="str">
        <x:v>VinFast HTA Đàm Quang Trung</x:v>
      </x:c>
      <x:c r="E187" s="12" t="str">
        <x:v>VinFast</x:v>
      </x:c>
      <x:c r="F187" s="12" t="n">
        <x:v>0.881</x:v>
      </x:c>
      <x:c r="G187" s="34" t="n">
        <x:v>0.013190351506281955</x:v>
      </x:c>
      <x:c r="H187" s="34" t="n">
        <x:v>0.03</x:v>
      </x:c>
      <x:c r="I187" s="12" t="n">
        <x:v>0.87</x:v>
      </x:c>
      <x:c r="J187" s="12" t="n">
        <x:v>0</x:v>
      </x:c>
      <x:c r="K187" s="12" t="str">
        <x:v>Commercial Director</x:v>
      </x:c>
      <x:c r="L187" s="12" t="str">
        <x:f>IF(G187&gt;H187,"BREACH","OK")</x:f>
        <x:v>OK</x:v>
      </x:c>
    </x:row>
    <x:row r="188">
      <x:c r="A188" s="12" t="str">
        <x:v>PRC-00187</x:v>
      </x:c>
      <x:c r="B188" s="18" t="n">
        <x:v>46210</x:v>
      </x:c>
      <x:c r="C188" s="12" t="str">
        <x:v>DLR-015</x:v>
      </x:c>
      <x:c r="D188" s="12" t="str">
        <x:v>VinFast HTA Văn Phú</x:v>
      </x:c>
      <x:c r="E188" s="12" t="str">
        <x:v>VinFast</x:v>
      </x:c>
      <x:c r="F188" s="12" t="n">
        <x:v>1.08</x:v>
      </x:c>
      <x:c r="G188" s="34" t="n">
        <x:v>0.052919103676752684</x:v>
      </x:c>
      <x:c r="H188" s="34" t="n">
        <x:v>0.03</x:v>
      </x:c>
      <x:c r="I188" s="12" t="n">
        <x:v>1.023</x:v>
      </x:c>
      <x:c r="J188" s="12" t="n">
        <x:v>0.0248</x:v>
      </x:c>
      <x:c r="K188" s="12" t="str">
        <x:v>Commercial Director</x:v>
      </x:c>
      <x:c r="L188" s="12" t="str">
        <x:f>IF(G188&gt;H188,"BREACH","OK")</x:f>
        <x:v>BREACH</x:v>
      </x:c>
    </x:row>
    <x:row r="189">
      <x:c r="A189" s="12" t="str">
        <x:v>PRC-00188</x:v>
      </x:c>
      <x:c r="B189" s="18" t="n">
        <x:v>46218</x:v>
      </x:c>
      <x:c r="C189" s="12" t="str">
        <x:v>DLR-005</x:v>
      </x:c>
      <x:c r="D189" s="12" t="str">
        <x:v>BYD HTA Tây Hồ</x:v>
      </x:c>
      <x:c r="E189" s="12" t="str">
        <x:v>BYD</x:v>
      </x:c>
      <x:c r="F189" s="12" t="n">
        <x:v>0.567</x:v>
      </x:c>
      <x:c r="G189" s="34" t="n">
        <x:v>0.0479572035067948</x:v>
      </x:c>
      <x:c r="H189" s="34" t="n">
        <x:v>0.05</x:v>
      </x:c>
      <x:c r="I189" s="12" t="n">
        <x:v>0.54</x:v>
      </x:c>
      <x:c r="J189" s="12" t="n">
        <x:v>0</x:v>
      </x:c>
      <x:c r="K189" s="12" t="str">
        <x:v>Dealer Manager</x:v>
      </x:c>
      <x:c r="L189" s="12" t="str">
        <x:f>IF(G189&gt;H189,"BREACH","OK")</x:f>
        <x:v>OK</x:v>
      </x:c>
    </x:row>
    <x:row r="190">
      <x:c r="A190" s="12" t="str">
        <x:v>PRC-00189</x:v>
      </x:c>
      <x:c r="B190" s="18" t="n">
        <x:v>46224</x:v>
      </x:c>
      <x:c r="C190" s="12" t="str">
        <x:v>DLR-012</x:v>
      </x:c>
      <x:c r="D190" s="12" t="str">
        <x:v>VinFast HTA Võ Chí Công</x:v>
      </x:c>
      <x:c r="E190" s="12" t="str">
        <x:v>VinFast</x:v>
      </x:c>
      <x:c r="F190" s="12" t="n">
        <x:v>0.918</x:v>
      </x:c>
      <x:c r="G190" s="34" t="n">
        <x:v>0.06558090934516185</x:v>
      </x:c>
      <x:c r="H190" s="34" t="n">
        <x:v>0.04</x:v>
      </x:c>
      <x:c r="I190" s="12" t="n">
        <x:v>0.858</x:v>
      </x:c>
      <x:c r="J190" s="12" t="n">
        <x:v>0.0235</x:v>
      </x:c>
      <x:c r="K190" s="12" t="str">
        <x:v>Brand Director</x:v>
      </x:c>
      <x:c r="L190" s="12" t="str">
        <x:f>IF(G190&gt;H190,"BREACH","OK")</x:f>
        <x:v>BREACH</x:v>
      </x:c>
    </x:row>
    <x:row r="191">
      <x:c r="A191" s="12" t="str">
        <x:v>PRC-00190</x:v>
      </x:c>
      <x:c r="B191" s="18" t="n">
        <x:v>46212</x:v>
      </x:c>
      <x:c r="C191" s="12" t="str">
        <x:v>DLR-006</x:v>
      </x:c>
      <x:c r="D191" s="12" t="str">
        <x:v>BYD HTA Hoàn Kiếm</x:v>
      </x:c>
      <x:c r="E191" s="12" t="str">
        <x:v>BYD</x:v>
      </x:c>
      <x:c r="F191" s="12" t="n">
        <x:v>0.778</x:v>
      </x:c>
      <x:c r="G191" s="34" t="n">
        <x:v>0.02003804512114286</x:v>
      </x:c>
      <x:c r="H191" s="34" t="n">
        <x:v>0.03</x:v>
      </x:c>
      <x:c r="I191" s="12" t="n">
        <x:v>0.762</x:v>
      </x:c>
      <x:c r="J191" s="12" t="n">
        <x:v>0</x:v>
      </x:c>
      <x:c r="K191" s="12" t="str">
        <x:v>Dealer Manager</x:v>
      </x:c>
      <x:c r="L191" s="12" t="str">
        <x:f>IF(G191&gt;H191,"BREACH","OK")</x:f>
        <x:v>OK</x:v>
      </x:c>
    </x:row>
    <x:row r="192">
      <x:c r="A192" s="12" t="str">
        <x:v>PRC-00191</x:v>
      </x:c>
      <x:c r="B192" s="18" t="n">
        <x:v>46221</x:v>
      </x:c>
      <x:c r="C192" s="12" t="str">
        <x:v>DLR-009</x:v>
      </x:c>
      <x:c r="D192" s="12" t="str">
        <x:v>VinFast HTA Đông Anh</x:v>
      </x:c>
      <x:c r="E192" s="12" t="str">
        <x:v>VinFast</x:v>
      </x:c>
      <x:c r="F192" s="12" t="n">
        <x:v>1.303</x:v>
      </x:c>
      <x:c r="G192" s="34" t="n">
        <x:v>0.055361580088800176</x:v>
      </x:c>
      <x:c r="H192" s="34" t="n">
        <x:v>0.04</x:v>
      </x:c>
      <x:c r="I192" s="12" t="n">
        <x:v>1.231</x:v>
      </x:c>
      <x:c r="J192" s="12" t="n">
        <x:v>0.02</x:v>
      </x:c>
      <x:c r="K192" s="12" t="str">
        <x:v>Dealer Manager</x:v>
      </x:c>
      <x:c r="L192" s="12" t="str">
        <x:f>IF(G192&gt;H192,"BREACH","OK")</x:f>
        <x:v>BREACH</x:v>
      </x:c>
    </x:row>
    <x:row r="193">
      <x:c r="A193" s="12" t="str">
        <x:v>PRC-00192</x:v>
      </x:c>
      <x:c r="B193" s="18" t="n">
        <x:v>46214</x:v>
      </x:c>
      <x:c r="C193" s="12" t="str">
        <x:v>DLR-014</x:v>
      </x:c>
      <x:c r="D193" s="12" t="str">
        <x:v>VinFast HTA Nam Từ Liêm</x:v>
      </x:c>
      <x:c r="E193" s="12" t="str">
        <x:v>VinFast</x:v>
      </x:c>
      <x:c r="F193" s="12" t="n">
        <x:v>0.859</x:v>
      </x:c>
      <x:c r="G193" s="34" t="n">
        <x:v>0.04564055907077036</x:v>
      </x:c>
      <x:c r="H193" s="34" t="n">
        <x:v>0.03</x:v>
      </x:c>
      <x:c r="I193" s="12" t="n">
        <x:v>0.82</x:v>
      </x:c>
      <x:c r="J193" s="12" t="n">
        <x:v>0.0134</x:v>
      </x:c>
      <x:c r="K193" s="12" t="str">
        <x:v>Dealer Manager</x:v>
      </x:c>
      <x:c r="L193" s="12" t="str">
        <x:f>IF(G193&gt;H193,"BREACH","OK")</x:f>
        <x:v>BREACH</x:v>
      </x:c>
    </x:row>
    <x:row r="194">
      <x:c r="A194" s="12" t="str">
        <x:v>PRC-00193</x:v>
      </x:c>
      <x:c r="B194" s="18" t="n">
        <x:v>46212</x:v>
      </x:c>
      <x:c r="C194" s="12" t="str">
        <x:v>DLR-014</x:v>
      </x:c>
      <x:c r="D194" s="12" t="str">
        <x:v>VinFast HTA Nam Từ Liêm</x:v>
      </x:c>
      <x:c r="E194" s="12" t="str">
        <x:v>VinFast</x:v>
      </x:c>
      <x:c r="F194" s="12" t="n">
        <x:v>1.683</x:v>
      </x:c>
      <x:c r="G194" s="34" t="n">
        <x:v>0.047166947067966085</x:v>
      </x:c>
      <x:c r="H194" s="34" t="n">
        <x:v>0.05</x:v>
      </x:c>
      <x:c r="I194" s="12" t="n">
        <x:v>1.604</x:v>
      </x:c>
      <x:c r="J194" s="12" t="n">
        <x:v>0</x:v>
      </x:c>
      <x:c r="K194" s="12" t="str">
        <x:v>Brand Director</x:v>
      </x:c>
      <x:c r="L194" s="12" t="str">
        <x:f>IF(G194&gt;H194,"BREACH","OK")</x:f>
        <x:v>OK</x:v>
      </x:c>
    </x:row>
    <x:row r="195">
      <x:c r="A195" s="12" t="str">
        <x:v>PRC-00194</x:v>
      </x:c>
      <x:c r="B195" s="18" t="n">
        <x:v>46206</x:v>
      </x:c>
      <x:c r="C195" s="12" t="str">
        <x:v>DLR-005</x:v>
      </x:c>
      <x:c r="D195" s="12" t="str">
        <x:v>BYD HTA Tây Hồ</x:v>
      </x:c>
      <x:c r="E195" s="12" t="str">
        <x:v>BYD</x:v>
      </x:c>
      <x:c r="F195" s="12" t="n">
        <x:v>0.723</x:v>
      </x:c>
      <x:c r="G195" s="34" t="n">
        <x:v>0.06593615903294564</x:v>
      </x:c>
      <x:c r="H195" s="34" t="n">
        <x:v>0.045</x:v>
      </x:c>
      <x:c r="I195" s="12" t="n">
        <x:v>0.676</x:v>
      </x:c>
      <x:c r="J195" s="12" t="n">
        <x:v>0.0151</x:v>
      </x:c>
      <x:c r="K195" s="12" t="str">
        <x:v>Commercial Director</x:v>
      </x:c>
      <x:c r="L195" s="12" t="str">
        <x:f>IF(G195&gt;H195,"BREACH","OK")</x:f>
        <x:v>BREACH</x:v>
      </x:c>
    </x:row>
    <x:row r="196">
      <x:c r="A196" s="12" t="str">
        <x:v>PRC-00195</x:v>
      </x:c>
      <x:c r="B196" s="18" t="n">
        <x:v>46225</x:v>
      </x:c>
      <x:c r="C196" s="12" t="str">
        <x:v>DLR-004</x:v>
      </x:c>
      <x:c r="D196" s="12" t="str">
        <x:v>Việt Trì Ford</x:v>
      </x:c>
      <x:c r="E196" s="12" t="str">
        <x:v>Ford</x:v>
      </x:c>
      <x:c r="F196" s="12" t="n">
        <x:v>0.492</x:v>
      </x:c>
      <x:c r="G196" s="34" t="n">
        <x:v>0.013021835318764429</x:v>
      </x:c>
      <x:c r="H196" s="34" t="n">
        <x:v>0.04</x:v>
      </x:c>
      <x:c r="I196" s="12" t="n">
        <x:v>0.486</x:v>
      </x:c>
      <x:c r="J196" s="12" t="n">
        <x:v>0</x:v>
      </x:c>
      <x:c r="K196" s="12" t="str">
        <x:v>Dealer Manager</x:v>
      </x:c>
      <x:c r="L196" s="12" t="str">
        <x:f>IF(G196&gt;H196,"BREACH","OK")</x:f>
        <x:v>OK</x:v>
      </x:c>
    </x:row>
    <x:row r="197">
      <x:c r="A197" s="12" t="str">
        <x:v>PRC-00196</x:v>
      </x:c>
      <x:c r="B197" s="18" t="n">
        <x:v>46212</x:v>
      </x:c>
      <x:c r="C197" s="12" t="str">
        <x:v>DLR-001</x:v>
      </x:c>
      <x:c r="D197" s="12" t="str">
        <x:v>Hà Thành Ford</x:v>
      </x:c>
      <x:c r="E197" s="12" t="str">
        <x:v>Ford</x:v>
      </x:c>
      <x:c r="F197" s="12" t="n">
        <x:v>0.832</x:v>
      </x:c>
      <x:c r="G197" s="34" t="n">
        <x:v>0.06776361232039121</x:v>
      </x:c>
      <x:c r="H197" s="34" t="n">
        <x:v>0.04</x:v>
      </x:c>
      <x:c r="I197" s="12" t="n">
        <x:v>0.776</x:v>
      </x:c>
      <x:c r="J197" s="12" t="n">
        <x:v>0.0231</x:v>
      </x:c>
      <x:c r="K197" s="12" t="str">
        <x:v>Brand Director</x:v>
      </x:c>
      <x:c r="L197" s="12" t="str">
        <x:f>IF(G197&gt;H197,"BREACH","OK")</x:f>
        <x:v>BREACH</x:v>
      </x:c>
    </x:row>
    <x:row r="198">
      <x:c r="A198" s="12" t="str">
        <x:v>PRC-00197</x:v>
      </x:c>
      <x:c r="B198" s="18" t="n">
        <x:v>46210</x:v>
      </x:c>
      <x:c r="C198" s="12" t="str">
        <x:v>DLR-005</x:v>
      </x:c>
      <x:c r="D198" s="12" t="str">
        <x:v>BYD HTA Tây Hồ</x:v>
      </x:c>
      <x:c r="E198" s="12" t="str">
        <x:v>BYD</x:v>
      </x:c>
      <x:c r="F198" s="12" t="n">
        <x:v>0.719</x:v>
      </x:c>
      <x:c r="G198" s="34" t="n">
        <x:v>0.05769763379621829</x:v>
      </x:c>
      <x:c r="H198" s="34" t="n">
        <x:v>0.05</x:v>
      </x:c>
      <x:c r="I198" s="12" t="n">
        <x:v>0.677</x:v>
      </x:c>
      <x:c r="J198" s="12" t="n">
        <x:v>0.0055</x:v>
      </x:c>
      <x:c r="K198" s="12" t="str">
        <x:v>Dealer Manager</x:v>
      </x:c>
      <x:c r="L198" s="12" t="str">
        <x:f>IF(G198&gt;H198,"BREACH","OK")</x:f>
        <x:v>BREACH</x:v>
      </x:c>
    </x:row>
    <x:row r="199">
      <x:c r="A199" s="12" t="str">
        <x:v>PRC-00198</x:v>
      </x:c>
      <x:c r="B199" s="18" t="n">
        <x:v>46209</x:v>
      </x:c>
      <x:c r="C199" s="12" t="str">
        <x:v>DLR-016</x:v>
      </x:c>
      <x:c r="D199" s="12" t="str">
        <x:v>VinFast HTA Mỹ Đình</x:v>
      </x:c>
      <x:c r="E199" s="12" t="str">
        <x:v>VinFast</x:v>
      </x:c>
      <x:c r="F199" s="12" t="n">
        <x:v>0.556</x:v>
      </x:c>
      <x:c r="G199" s="34" t="n">
        <x:v>0.0270300459260525</x:v>
      </x:c>
      <x:c r="H199" s="34" t="n">
        <x:v>0.045</x:v>
      </x:c>
      <x:c r="I199" s="12" t="n">
        <x:v>0.541</x:v>
      </x:c>
      <x:c r="J199" s="12" t="n">
        <x:v>0</x:v>
      </x:c>
      <x:c r="K199" s="12" t="str">
        <x:v>Dealer Manager</x:v>
      </x:c>
      <x:c r="L199" s="12" t="str">
        <x:f>IF(G199&gt;H199,"BREACH","OK")</x:f>
        <x:v>OK</x:v>
      </x:c>
    </x:row>
    <x:row r="200">
      <x:c r="A200" s="12" t="str">
        <x:v>PRC-00199</x:v>
      </x:c>
      <x:c r="B200" s="18" t="n">
        <x:v>46207</x:v>
      </x:c>
      <x:c r="C200" s="12" t="str">
        <x:v>DLR-008</x:v>
      </x:c>
      <x:c r="D200" s="12" t="str">
        <x:v>VinFast HTA Nguyễn Văn Linh</x:v>
      </x:c>
      <x:c r="E200" s="12" t="str">
        <x:v>VinFast</x:v>
      </x:c>
      <x:c r="F200" s="12" t="n">
        <x:v>1.112</x:v>
      </x:c>
      <x:c r="G200" s="34" t="n">
        <x:v>0.019260183789233373</x:v>
      </x:c>
      <x:c r="H200" s="34" t="n">
        <x:v>0.05</x:v>
      </x:c>
      <x:c r="I200" s="12" t="n">
        <x:v>1.09</x:v>
      </x:c>
      <x:c r="J200" s="12" t="n">
        <x:v>0</x:v>
      </x:c>
      <x:c r="K200" s="12" t="str">
        <x:v>Commercial Director</x:v>
      </x:c>
      <x:c r="L200" s="12" t="str">
        <x:f>IF(G200&gt;H200,"BREACH","OK")</x:f>
        <x:v>OK</x:v>
      </x:c>
    </x:row>
    <x:row r="201">
      <x:c r="A201" s="12" t="str">
        <x:v>PRC-00200</x:v>
      </x:c>
      <x:c r="B201" s="18" t="n">
        <x:v>46212</x:v>
      </x:c>
      <x:c r="C201" s="12" t="str">
        <x:v>DLR-003</x:v>
      </x:c>
      <x:c r="D201" s="12" t="str">
        <x:v>Mỹ Đình Ford</x:v>
      </x:c>
      <x:c r="E201" s="12" t="str">
        <x:v>Ford</x:v>
      </x:c>
      <x:c r="F201" s="12" t="n">
        <x:v>1.31</x:v>
      </x:c>
      <x:c r="G201" s="34" t="n">
        <x:v>0.02806283054485898</x:v>
      </x:c>
      <x:c r="H201" s="34" t="n">
        <x:v>0.05</x:v>
      </x:c>
      <x:c r="I201" s="12" t="n">
        <x:v>1.274</x:v>
      </x:c>
      <x:c r="J201" s="12" t="n">
        <x:v>0</x:v>
      </x:c>
      <x:c r="K201" s="12" t="str">
        <x:v>Brand Director</x:v>
      </x:c>
      <x:c r="L201" s="12" t="str">
        <x:f>IF(G201&gt;H201,"BREACH","OK")</x:f>
        <x:v>OK</x:v>
      </x:c>
    </x:row>
    <x:row r="202">
      <x:c r="A202" s="12" t="str">
        <x:v>PRC-00201</x:v>
      </x:c>
      <x:c r="B202" s="18" t="n">
        <x:v>46214</x:v>
      </x:c>
      <x:c r="C202" s="12" t="str">
        <x:v>DLR-001</x:v>
      </x:c>
      <x:c r="D202" s="12" t="str">
        <x:v>Hà Thành Ford</x:v>
      </x:c>
      <x:c r="E202" s="12" t="str">
        <x:v>Ford</x:v>
      </x:c>
      <x:c r="F202" s="12" t="n">
        <x:v>1.346</x:v>
      </x:c>
      <x:c r="G202" s="34" t="n">
        <x:v>0.025754912001986742</x:v>
      </x:c>
      <x:c r="H202" s="34" t="n">
        <x:v>0.03</x:v>
      </x:c>
      <x:c r="I202" s="12" t="n">
        <x:v>1.311</x:v>
      </x:c>
      <x:c r="J202" s="12" t="n">
        <x:v>0</x:v>
      </x:c>
      <x:c r="K202" s="12" t="str">
        <x:v>Brand Director</x:v>
      </x:c>
      <x:c r="L202" s="12" t="str">
        <x:f>IF(G202&gt;H202,"BREACH","OK")</x:f>
        <x:v>OK</x:v>
      </x:c>
    </x:row>
    <x:row r="203">
      <x:c r="A203" s="12" t="str">
        <x:v>PRC-00202</x:v>
      </x:c>
      <x:c r="B203" s="18" t="n">
        <x:v>46206</x:v>
      </x:c>
      <x:c r="C203" s="12" t="str">
        <x:v>DLR-019</x:v>
      </x:c>
      <x:c r="D203" s="12" t="str">
        <x:v>OMODA &amp; JAECOO HTA Việt Trì</x:v>
      </x:c>
      <x:c r="E203" s="12" t="str">
        <x:v>OMODA &amp; JAECOO</x:v>
      </x:c>
      <x:c r="F203" s="12" t="n">
        <x:v>0.775</x:v>
      </x:c>
      <x:c r="G203" s="34" t="n">
        <x:v>0.03731526101253796</x:v>
      </x:c>
      <x:c r="H203" s="34" t="n">
        <x:v>0.04</x:v>
      </x:c>
      <x:c r="I203" s="12" t="n">
        <x:v>0.746</x:v>
      </x:c>
      <x:c r="J203" s="12" t="n">
        <x:v>0</x:v>
      </x:c>
      <x:c r="K203" s="12" t="str">
        <x:v>Dealer Manager</x:v>
      </x:c>
      <x:c r="L203" s="12" t="str">
        <x:f>IF(G203&gt;H203,"BREACH","OK")</x:f>
        <x:v>OK</x:v>
      </x:c>
    </x:row>
    <x:row r="204">
      <x:c r="A204" s="12" t="str">
        <x:v>PRC-00203</x:v>
      </x:c>
      <x:c r="B204" s="18" t="n">
        <x:v>46206</x:v>
      </x:c>
      <x:c r="C204" s="12" t="str">
        <x:v>DLR-004</x:v>
      </x:c>
      <x:c r="D204" s="12" t="str">
        <x:v>Việt Trì Ford</x:v>
      </x:c>
      <x:c r="E204" s="12" t="str">
        <x:v>Ford</x:v>
      </x:c>
      <x:c r="F204" s="12" t="n">
        <x:v>1.026</x:v>
      </x:c>
      <x:c r="G204" s="34" t="n">
        <x:v>0.03857354823359672</x:v>
      </x:c>
      <x:c r="H204" s="34" t="n">
        <x:v>0.04</x:v>
      </x:c>
      <x:c r="I204" s="12" t="n">
        <x:v>0.986</x:v>
      </x:c>
      <x:c r="J204" s="12" t="n">
        <x:v>0</x:v>
      </x:c>
      <x:c r="K204" s="12" t="str">
        <x:v>Commercial Director</x:v>
      </x:c>
      <x:c r="L204" s="12" t="str">
        <x:f>IF(G204&gt;H204,"BREACH","OK")</x:f>
        <x:v>OK</x:v>
      </x:c>
    </x:row>
    <x:row r="205">
      <x:c r="A205" s="12" t="str">
        <x:v>PRC-00204</x:v>
      </x:c>
      <x:c r="B205" s="18" t="n">
        <x:v>46223</x:v>
      </x:c>
      <x:c r="C205" s="12" t="str">
        <x:v>DLR-013</x:v>
      </x:c>
      <x:c r="D205" s="12" t="str">
        <x:v>VinFast HTA Ninh Bình</x:v>
      </x:c>
      <x:c r="E205" s="12" t="str">
        <x:v>VinFast</x:v>
      </x:c>
      <x:c r="F205" s="12" t="n">
        <x:v>0.523</x:v>
      </x:c>
      <x:c r="G205" s="34" t="n">
        <x:v>0.04943727989236112</x:v>
      </x:c>
      <x:c r="H205" s="34" t="n">
        <x:v>0.03</x:v>
      </x:c>
      <x:c r="I205" s="12" t="n">
        <x:v>0.497</x:v>
      </x:c>
      <x:c r="J205" s="12" t="n">
        <x:v>0.0102</x:v>
      </x:c>
      <x:c r="K205" s="12" t="str">
        <x:v>Commercial Director</x:v>
      </x:c>
      <x:c r="L205" s="12" t="str">
        <x:f>IF(G205&gt;H205,"BREACH","OK")</x:f>
        <x:v>BREACH</x:v>
      </x:c>
    </x:row>
    <x:row r="206">
      <x:c r="A206" s="12" t="str">
        <x:v>PRC-00205</x:v>
      </x:c>
      <x:c r="B206" s="18" t="n">
        <x:v>46210</x:v>
      </x:c>
      <x:c r="C206" s="12" t="str">
        <x:v>DLR-013</x:v>
      </x:c>
      <x:c r="D206" s="12" t="str">
        <x:v>VinFast HTA Ninh Bình</x:v>
      </x:c>
      <x:c r="E206" s="12" t="str">
        <x:v>VinFast</x:v>
      </x:c>
      <x:c r="F206" s="12" t="n">
        <x:v>0.463</x:v>
      </x:c>
      <x:c r="G206" s="34" t="n">
        <x:v>0.06631122692477312</x:v>
      </x:c>
      <x:c r="H206" s="34" t="n">
        <x:v>0.045</x:v>
      </x:c>
      <x:c r="I206" s="12" t="n">
        <x:v>0.432</x:v>
      </x:c>
      <x:c r="J206" s="12" t="n">
        <x:v>0.0099</x:v>
      </x:c>
      <x:c r="K206" s="12" t="str">
        <x:v>Commercial Director</x:v>
      </x:c>
      <x:c r="L206" s="12" t="str">
        <x:f>IF(G206&gt;H206,"BREACH","OK")</x:f>
        <x:v>BREACH</x:v>
      </x:c>
    </x:row>
    <x:row r="207">
      <x:c r="A207" s="12" t="str">
        <x:v>PRC-00206</x:v>
      </x:c>
      <x:c r="B207" s="18" t="n">
        <x:v>46204</x:v>
      </x:c>
      <x:c r="C207" s="12" t="str">
        <x:v>DLR-017</x:v>
      </x:c>
      <x:c r="D207" s="12" t="str">
        <x:v>VinFast Quốc Oai</x:v>
      </x:c>
      <x:c r="E207" s="12" t="str">
        <x:v>VinFast</x:v>
      </x:c>
      <x:c r="F207" s="12" t="n">
        <x:v>0.755</x:v>
      </x:c>
      <x:c r="G207" s="34" t="n">
        <x:v>0.060352076710601214</x:v>
      </x:c>
      <x:c r="H207" s="34" t="n">
        <x:v>0.04</x:v>
      </x:c>
      <x:c r="I207" s="12" t="n">
        <x:v>0.709</x:v>
      </x:c>
      <x:c r="J207" s="12" t="n">
        <x:v>0.0154</x:v>
      </x:c>
      <x:c r="K207" s="12" t="str">
        <x:v>Brand Director</x:v>
      </x:c>
      <x:c r="L207" s="12" t="str">
        <x:f>IF(G207&gt;H207,"BREACH","OK")</x:f>
        <x:v>BREACH</x:v>
      </x:c>
    </x:row>
    <x:row r="208">
      <x:c r="A208" s="12" t="str">
        <x:v>PRC-00207</x:v>
      </x:c>
      <x:c r="B208" s="18" t="n">
        <x:v>46215</x:v>
      </x:c>
      <x:c r="C208" s="12" t="str">
        <x:v>DLR-020</x:v>
      </x:c>
      <x:c r="D208" s="12" t="str">
        <x:v>Wuling HTA Long Biên</x:v>
      </x:c>
      <x:c r="E208" s="12" t="str">
        <x:v>Wuling</x:v>
      </x:c>
      <x:c r="F208" s="12" t="n">
        <x:v>0.625</x:v>
      </x:c>
      <x:c r="G208" s="34" t="n">
        <x:v>0.06924878814571642</x:v>
      </x:c>
      <x:c r="H208" s="34" t="n">
        <x:v>0.04</x:v>
      </x:c>
      <x:c r="I208" s="12" t="n">
        <x:v>0.582</x:v>
      </x:c>
      <x:c r="J208" s="12" t="n">
        <x:v>0.0183</x:v>
      </x:c>
      <x:c r="K208" s="12" t="str">
        <x:v>Commercial Director</x:v>
      </x:c>
      <x:c r="L208" s="12" t="str">
        <x:f>IF(G208&gt;H208,"BREACH","OK")</x:f>
        <x:v>BREACH</x:v>
      </x:c>
    </x:row>
    <x:row r="209">
      <x:c r="A209" s="12" t="str">
        <x:v>PRC-00208</x:v>
      </x:c>
      <x:c r="B209" s="18" t="n">
        <x:v>46206</x:v>
      </x:c>
      <x:c r="C209" s="12" t="str">
        <x:v>DLR-018</x:v>
      </x:c>
      <x:c r="D209" s="12" t="str">
        <x:v>OMODA &amp; JAECOO HTA Nam Từ Liêm</x:v>
      </x:c>
      <x:c r="E209" s="12" t="str">
        <x:v>OMODA &amp; JAECOO</x:v>
      </x:c>
      <x:c r="F209" s="12" t="n">
        <x:v>1.361</x:v>
      </x:c>
      <x:c r="G209" s="34" t="n">
        <x:v>0.06221943878480683</x:v>
      </x:c>
      <x:c r="H209" s="34" t="n">
        <x:v>0.05</x:v>
      </x:c>
      <x:c r="I209" s="12" t="n">
        <x:v>1.276</x:v>
      </x:c>
      <x:c r="J209" s="12" t="n">
        <x:v>0.0166</x:v>
      </x:c>
      <x:c r="K209" s="12" t="str">
        <x:v>Brand Director</x:v>
      </x:c>
      <x:c r="L209" s="12" t="str">
        <x:f>IF(G209&gt;H209,"BREACH","OK")</x:f>
        <x:v>BREACH</x:v>
      </x:c>
    </x:row>
    <x:row r="210">
      <x:c r="A210" s="12" t="str">
        <x:v>PRC-00209</x:v>
      </x:c>
      <x:c r="B210" s="18" t="n">
        <x:v>46225</x:v>
      </x:c>
      <x:c r="C210" s="12" t="str">
        <x:v>DLR-005</x:v>
      </x:c>
      <x:c r="D210" s="12" t="str">
        <x:v>BYD HTA Tây Hồ</x:v>
      </x:c>
      <x:c r="E210" s="12" t="str">
        <x:v>BYD</x:v>
      </x:c>
      <x:c r="F210" s="12" t="n">
        <x:v>0.428</x:v>
      </x:c>
      <x:c r="G210" s="34" t="n">
        <x:v>0.06674644271704079</x:v>
      </x:c>
      <x:c r="H210" s="34" t="n">
        <x:v>0.03</x:v>
      </x:c>
      <x:c r="I210" s="12" t="n">
        <x:v>0.399</x:v>
      </x:c>
      <x:c r="J210" s="12" t="n">
        <x:v>0.0157</x:v>
      </x:c>
      <x:c r="K210" s="12" t="str">
        <x:v>Dealer Manager</x:v>
      </x:c>
      <x:c r="L210" s="12" t="str">
        <x:f>IF(G210&gt;H210,"BREACH","OK")</x:f>
        <x:v>BREACH</x:v>
      </x:c>
    </x:row>
    <x:row r="211">
      <x:c r="A211" s="12" t="str">
        <x:v>PRC-00210</x:v>
      </x:c>
      <x:c r="B211" s="18" t="n">
        <x:v>46206</x:v>
      </x:c>
      <x:c r="C211" s="12" t="str">
        <x:v>DLR-005</x:v>
      </x:c>
      <x:c r="D211" s="12" t="str">
        <x:v>BYD HTA Tây Hồ</x:v>
      </x:c>
      <x:c r="E211" s="12" t="str">
        <x:v>BYD</x:v>
      </x:c>
      <x:c r="F211" s="12" t="n">
        <x:v>1.485</x:v>
      </x:c>
      <x:c r="G211" s="34" t="n">
        <x:v>0.04549934505582655</x:v>
      </x:c>
      <x:c r="H211" s="34" t="n">
        <x:v>0.03</x:v>
      </x:c>
      <x:c r="I211" s="12" t="n">
        <x:v>1.417</x:v>
      </x:c>
      <x:c r="J211" s="12" t="n">
        <x:v>0.023</x:v>
      </x:c>
      <x:c r="K211" s="12" t="str">
        <x:v>Brand Director</x:v>
      </x:c>
      <x:c r="L211" s="12" t="str">
        <x:f>IF(G211&gt;H211,"BREACH","OK")</x:f>
        <x:v>BREACH</x:v>
      </x:c>
    </x:row>
    <x:row r="212">
      <x:c r="A212" s="12" t="str">
        <x:v>PRC-00211</x:v>
      </x:c>
      <x:c r="B212" s="18" t="n">
        <x:v>46211</x:v>
      </x:c>
      <x:c r="C212" s="12" t="str">
        <x:v>DLR-001</x:v>
      </x:c>
      <x:c r="D212" s="12" t="str">
        <x:v>Hà Thành Ford</x:v>
      </x:c>
      <x:c r="E212" s="12" t="str">
        <x:v>Ford</x:v>
      </x:c>
      <x:c r="F212" s="12" t="n">
        <x:v>1.341</x:v>
      </x:c>
      <x:c r="G212" s="34" t="n">
        <x:v>0.05822351611022014</x:v>
      </x:c>
      <x:c r="H212" s="34" t="n">
        <x:v>0.04</x:v>
      </x:c>
      <x:c r="I212" s="12" t="n">
        <x:v>1.263</x:v>
      </x:c>
      <x:c r="J212" s="12" t="n">
        <x:v>0.0244</x:v>
      </x:c>
      <x:c r="K212" s="12" t="str">
        <x:v>Dealer Manager</x:v>
      </x:c>
      <x:c r="L212" s="12" t="str">
        <x:f>IF(G212&gt;H212,"BREACH","OK")</x:f>
        <x:v>BREACH</x:v>
      </x:c>
    </x:row>
    <x:row r="213">
      <x:c r="A213" s="12" t="str">
        <x:v>PRC-00212</x:v>
      </x:c>
      <x:c r="B213" s="18" t="n">
        <x:v>46210</x:v>
      </x:c>
      <x:c r="C213" s="12" t="str">
        <x:v>DLR-015</x:v>
      </x:c>
      <x:c r="D213" s="12" t="str">
        <x:v>VinFast HTA Văn Phú</x:v>
      </x:c>
      <x:c r="E213" s="12" t="str">
        <x:v>VinFast</x:v>
      </x:c>
      <x:c r="F213" s="12" t="n">
        <x:v>1.286</x:v>
      </x:c>
      <x:c r="G213" s="34" t="n">
        <x:v>0.06428509732940044</x:v>
      </x:c>
      <x:c r="H213" s="34" t="n">
        <x:v>0.03</x:v>
      </x:c>
      <x:c r="I213" s="12" t="n">
        <x:v>1.204</x:v>
      </x:c>
      <x:c r="J213" s="12" t="n">
        <x:v>0.0441</x:v>
      </x:c>
      <x:c r="K213" s="12" t="str">
        <x:v>Brand Director</x:v>
      </x:c>
      <x:c r="L213" s="12" t="str">
        <x:f>IF(G213&gt;H213,"BREACH","OK")</x:f>
        <x:v>BREACH</x:v>
      </x:c>
    </x:row>
    <x:row r="214">
      <x:c r="A214" s="12" t="str">
        <x:v>PRC-00213</x:v>
      </x:c>
      <x:c r="B214" s="18" t="n">
        <x:v>46208</x:v>
      </x:c>
      <x:c r="C214" s="12" t="str">
        <x:v>DLR-013</x:v>
      </x:c>
      <x:c r="D214" s="12" t="str">
        <x:v>VinFast HTA Ninh Bình</x:v>
      </x:c>
      <x:c r="E214" s="12" t="str">
        <x:v>VinFast</x:v>
      </x:c>
      <x:c r="F214" s="12" t="n">
        <x:v>0.519</x:v>
      </x:c>
      <x:c r="G214" s="34" t="n">
        <x:v>0.07036064064688695</x:v>
      </x:c>
      <x:c r="H214" s="34" t="n">
        <x:v>0.045</x:v>
      </x:c>
      <x:c r="I214" s="12" t="n">
        <x:v>0.482</x:v>
      </x:c>
      <x:c r="J214" s="12" t="n">
        <x:v>0.0131</x:v>
      </x:c>
      <x:c r="K214" s="12" t="str">
        <x:v>Commercial Director</x:v>
      </x:c>
      <x:c r="L214" s="12" t="str">
        <x:f>IF(G214&gt;H214,"BREACH","OK")</x:f>
        <x:v>BREACH</x:v>
      </x:c>
    </x:row>
    <x:row r="215">
      <x:c r="A215" s="12" t="str">
        <x:v>PRC-00214</x:v>
      </x:c>
      <x:c r="B215" s="18" t="n">
        <x:v>46210</x:v>
      </x:c>
      <x:c r="C215" s="12" t="str">
        <x:v>DLR-015</x:v>
      </x:c>
      <x:c r="D215" s="12" t="str">
        <x:v>VinFast HTA Văn Phú</x:v>
      </x:c>
      <x:c r="E215" s="12" t="str">
        <x:v>VinFast</x:v>
      </x:c>
      <x:c r="F215" s="12" t="n">
        <x:v>1.695</x:v>
      </x:c>
      <x:c r="G215" s="34" t="n">
        <x:v>0.05580525176263323</x:v>
      </x:c>
      <x:c r="H215" s="34" t="n">
        <x:v>0.03</x:v>
      </x:c>
      <x:c r="I215" s="12" t="n">
        <x:v>1.6</x:v>
      </x:c>
      <x:c r="J215" s="12" t="n">
        <x:v>0.0437</x:v>
      </x:c>
      <x:c r="K215" s="12" t="str">
        <x:v>Brand Director</x:v>
      </x:c>
      <x:c r="L215" s="12" t="str">
        <x:f>IF(G215&gt;H215,"BREACH","OK")</x:f>
        <x:v>BREACH</x:v>
      </x:c>
    </x:row>
    <x:row r="216">
      <x:c r="A216" s="12" t="str">
        <x:v>PRC-00215</x:v>
      </x:c>
      <x:c r="B216" s="18" t="n">
        <x:v>46213</x:v>
      </x:c>
      <x:c r="C216" s="12" t="str">
        <x:v>DLR-016</x:v>
      </x:c>
      <x:c r="D216" s="12" t="str">
        <x:v>VinFast HTA Mỹ Đình</x:v>
      </x:c>
      <x:c r="E216" s="12" t="str">
        <x:v>VinFast</x:v>
      </x:c>
      <x:c r="F216" s="12" t="n">
        <x:v>0.395</x:v>
      </x:c>
      <x:c r="G216" s="34" t="n">
        <x:v>0.04408652425607926</x:v>
      </x:c>
      <x:c r="H216" s="34" t="n">
        <x:v>0.04</x:v>
      </x:c>
      <x:c r="I216" s="12" t="n">
        <x:v>0.377</x:v>
      </x:c>
      <x:c r="J216" s="12" t="n">
        <x:v>0.0016</x:v>
      </x:c>
      <x:c r="K216" s="12" t="str">
        <x:v>Brand Director</x:v>
      </x:c>
      <x:c r="L216" s="12" t="str">
        <x:f>IF(G216&gt;H216,"BREACH","OK")</x:f>
        <x:v>BREACH</x:v>
      </x:c>
    </x:row>
    <x:row r="217">
      <x:c r="A217" s="12" t="str">
        <x:v>PRC-00216</x:v>
      </x:c>
      <x:c r="B217" s="18" t="n">
        <x:v>46214</x:v>
      </x:c>
      <x:c r="C217" s="12" t="str">
        <x:v>DLR-016</x:v>
      </x:c>
      <x:c r="D217" s="12" t="str">
        <x:v>VinFast HTA Mỹ Đình</x:v>
      </x:c>
      <x:c r="E217" s="12" t="str">
        <x:v>VinFast</x:v>
      </x:c>
      <x:c r="F217" s="12" t="n">
        <x:v>1.609</x:v>
      </x:c>
      <x:c r="G217" s="34" t="n">
        <x:v>0.05707984748992181</x:v>
      </x:c>
      <x:c r="H217" s="34" t="n">
        <x:v>0.05</x:v>
      </x:c>
      <x:c r="I217" s="12" t="n">
        <x:v>1.517</x:v>
      </x:c>
      <x:c r="J217" s="12" t="n">
        <x:v>0.0114</x:v>
      </x:c>
      <x:c r="K217" s="12" t="str">
        <x:v>Brand Director</x:v>
      </x:c>
      <x:c r="L217" s="12" t="str">
        <x:f>IF(G217&gt;H217,"BREACH","OK")</x:f>
        <x:v>BREACH</x:v>
      </x:c>
    </x:row>
    <x:row r="218">
      <x:c r="A218" s="12" t="str">
        <x:v>PRC-00217</x:v>
      </x:c>
      <x:c r="B218" s="18" t="n">
        <x:v>46204</x:v>
      </x:c>
      <x:c r="C218" s="12" t="str">
        <x:v>DLR-009</x:v>
      </x:c>
      <x:c r="D218" s="12" t="str">
        <x:v>VinFast HTA Đông Anh</x:v>
      </x:c>
      <x:c r="E218" s="12" t="str">
        <x:v>VinFast</x:v>
      </x:c>
      <x:c r="F218" s="12" t="n">
        <x:v>1.201</x:v>
      </x:c>
      <x:c r="G218" s="34" t="n">
        <x:v>0.048854705228435824</x:v>
      </x:c>
      <x:c r="H218" s="34" t="n">
        <x:v>0.04</x:v>
      </x:c>
      <x:c r="I218" s="12" t="n">
        <x:v>1.143</x:v>
      </x:c>
      <x:c r="J218" s="12" t="n">
        <x:v>0.0106</x:v>
      </x:c>
      <x:c r="K218" s="12" t="str">
        <x:v>Dealer Manager</x:v>
      </x:c>
      <x:c r="L218" s="12" t="str">
        <x:f>IF(G218&gt;H218,"BREACH","OK")</x:f>
        <x:v>BREACH</x:v>
      </x:c>
    </x:row>
    <x:row r="219">
      <x:c r="A219" s="12" t="str">
        <x:v>PRC-00218</x:v>
      </x:c>
      <x:c r="B219" s="18" t="n">
        <x:v>46213</x:v>
      </x:c>
      <x:c r="C219" s="12" t="str">
        <x:v>DLR-015</x:v>
      </x:c>
      <x:c r="D219" s="12" t="str">
        <x:v>VinFast HTA Văn Phú</x:v>
      </x:c>
      <x:c r="E219" s="12" t="str">
        <x:v>VinFast</x:v>
      </x:c>
      <x:c r="F219" s="12" t="n">
        <x:v>0.536</x:v>
      </x:c>
      <x:c r="G219" s="34" t="n">
        <x:v>0.014928746847148459</x:v>
      </x:c>
      <x:c r="H219" s="34" t="n">
        <x:v>0.03</x:v>
      </x:c>
      <x:c r="I219" s="12" t="n">
        <x:v>0.528</x:v>
      </x:c>
      <x:c r="J219" s="12" t="n">
        <x:v>0</x:v>
      </x:c>
      <x:c r="K219" s="12" t="str">
        <x:v>Dealer Manager</x:v>
      </x:c>
      <x:c r="L219" s="12" t="str">
        <x:f>IF(G219&gt;H219,"BREACH","OK")</x:f>
        <x:v>OK</x:v>
      </x:c>
    </x:row>
    <x:row r="220">
      <x:c r="A220" s="12" t="str">
        <x:v>PRC-00219</x:v>
      </x:c>
      <x:c r="B220" s="18" t="n">
        <x:v>46213</x:v>
      </x:c>
      <x:c r="C220" s="12" t="str">
        <x:v>DLR-007</x:v>
      </x:c>
      <x:c r="D220" s="12" t="str">
        <x:v>BYD Hà Đông</x:v>
      </x:c>
      <x:c r="E220" s="12" t="str">
        <x:v>BYD</x:v>
      </x:c>
      <x:c r="F220" s="12" t="n">
        <x:v>1.639</x:v>
      </x:c>
      <x:c r="G220" s="34" t="n">
        <x:v>0.066298023348069</x:v>
      </x:c>
      <x:c r="H220" s="34" t="n">
        <x:v>0.045</x:v>
      </x:c>
      <x:c r="I220" s="12" t="n">
        <x:v>1.53</x:v>
      </x:c>
      <x:c r="J220" s="12" t="n">
        <x:v>0.0349</x:v>
      </x:c>
      <x:c r="K220" s="12" t="str">
        <x:v>Dealer Manager</x:v>
      </x:c>
      <x:c r="L220" s="12" t="str">
        <x:f>IF(G220&gt;H220,"BREACH","OK")</x:f>
        <x:v>BREACH</x:v>
      </x:c>
    </x:row>
    <x:row r="221">
      <x:c r="A221" s="12" t="str">
        <x:v>PRC-00220</x:v>
      </x:c>
      <x:c r="B221" s="18" t="n">
        <x:v>46220</x:v>
      </x:c>
      <x:c r="C221" s="12" t="str">
        <x:v>DLR-011</x:v>
      </x:c>
      <x:c r="D221" s="12" t="str">
        <x:v>VinFast HTA Phạm Văn Đồng</x:v>
      </x:c>
      <x:c r="E221" s="12" t="str">
        <x:v>VinFast</x:v>
      </x:c>
      <x:c r="F221" s="12" t="n">
        <x:v>0.461</x:v>
      </x:c>
      <x:c r="G221" s="34" t="n">
        <x:v>0.06716168857573822</x:v>
      </x:c>
      <x:c r="H221" s="34" t="n">
        <x:v>0.04</x:v>
      </x:c>
      <x:c r="I221" s="12" t="n">
        <x:v>0.43</x:v>
      </x:c>
      <x:c r="J221" s="12" t="n">
        <x:v>0.0125</x:v>
      </x:c>
      <x:c r="K221" s="12" t="str">
        <x:v>Commercial Director</x:v>
      </x:c>
      <x:c r="L221" s="12" t="str">
        <x:f>IF(G221&gt;H221,"BREACH","OK")</x:f>
        <x:v>BREACH</x:v>
      </x:c>
    </x:row>
    <x:row r="222">
      <x:c r="A222" s="12" t="str">
        <x:v>PRC-00221</x:v>
      </x:c>
      <x:c r="B222" s="18" t="n">
        <x:v>46216</x:v>
      </x:c>
      <x:c r="C222" s="12" t="str">
        <x:v>DLR-003</x:v>
      </x:c>
      <x:c r="D222" s="12" t="str">
        <x:v>Mỹ Đình Ford</x:v>
      </x:c>
      <x:c r="E222" s="12" t="str">
        <x:v>Ford</x:v>
      </x:c>
      <x:c r="F222" s="12" t="n">
        <x:v>0.89</x:v>
      </x:c>
      <x:c r="G222" s="34" t="n">
        <x:v>0.04565768132943089</x:v>
      </x:c>
      <x:c r="H222" s="34" t="n">
        <x:v>0.05</x:v>
      </x:c>
      <x:c r="I222" s="12" t="n">
        <x:v>0.85</x:v>
      </x:c>
      <x:c r="J222" s="12" t="n">
        <x:v>0</x:v>
      </x:c>
      <x:c r="K222" s="12" t="str">
        <x:v>Commercial Director</x:v>
      </x:c>
      <x:c r="L222" s="12" t="str">
        <x:f>IF(G222&gt;H222,"BREACH","OK")</x:f>
        <x:v>OK</x:v>
      </x:c>
    </x:row>
    <x:row r="223">
      <x:c r="A223" s="12" t="str">
        <x:v>PRC-00222</x:v>
      </x:c>
      <x:c r="B223" s="18" t="n">
        <x:v>46207</x:v>
      </x:c>
      <x:c r="C223" s="12" t="str">
        <x:v>DLR-020</x:v>
      </x:c>
      <x:c r="D223" s="12" t="str">
        <x:v>Wuling HTA Long Biên</x:v>
      </x:c>
      <x:c r="E223" s="12" t="str">
        <x:v>Wuling</x:v>
      </x:c>
      <x:c r="F223" s="12" t="n">
        <x:v>1.281</x:v>
      </x:c>
      <x:c r="G223" s="34" t="n">
        <x:v>0.021160449898250992</x:v>
      </x:c>
      <x:c r="H223" s="34" t="n">
        <x:v>0.05</x:v>
      </x:c>
      <x:c r="I223" s="12" t="n">
        <x:v>1.254</x:v>
      </x:c>
      <x:c r="J223" s="12" t="n">
        <x:v>0</x:v>
      </x:c>
      <x:c r="K223" s="12" t="str">
        <x:v>Brand Director</x:v>
      </x:c>
      <x:c r="L223" s="12" t="str">
        <x:f>IF(G223&gt;H223,"BREACH","OK")</x:f>
        <x:v>OK</x:v>
      </x:c>
    </x:row>
    <x:row r="224">
      <x:c r="A224" s="12" t="str">
        <x:v>PRC-00223</x:v>
      </x:c>
      <x:c r="B224" s="18" t="n">
        <x:v>46216</x:v>
      </x:c>
      <x:c r="C224" s="12" t="str">
        <x:v>DLR-010</x:v>
      </x:c>
      <x:c r="D224" s="12" t="str">
        <x:v>VinFast HTA Đàm Quang Trung</x:v>
      </x:c>
      <x:c r="E224" s="12" t="str">
        <x:v>VinFast</x:v>
      </x:c>
      <x:c r="F224" s="12" t="n">
        <x:v>0.972</x:v>
      </x:c>
      <x:c r="G224" s="34" t="n">
        <x:v>0.04205737351737983</x:v>
      </x:c>
      <x:c r="H224" s="34" t="n">
        <x:v>0.04</x:v>
      </x:c>
      <x:c r="I224" s="12" t="n">
        <x:v>0.931</x:v>
      </x:c>
      <x:c r="J224" s="12" t="n">
        <x:v>0.002</x:v>
      </x:c>
      <x:c r="K224" s="12" t="str">
        <x:v>Dealer Manager</x:v>
      </x:c>
      <x:c r="L224" s="12" t="str">
        <x:f>IF(G224&gt;H224,"BREACH","OK")</x:f>
        <x:v>BREACH</x:v>
      </x:c>
    </x:row>
    <x:row r="225">
      <x:c r="A225" s="12" t="str">
        <x:v>PRC-00224</x:v>
      </x:c>
      <x:c r="B225" s="18" t="n">
        <x:v>46217</x:v>
      </x:c>
      <x:c r="C225" s="12" t="str">
        <x:v>DLR-004</x:v>
      </x:c>
      <x:c r="D225" s="12" t="str">
        <x:v>Việt Trì Ford</x:v>
      </x:c>
      <x:c r="E225" s="12" t="str">
        <x:v>Ford</x:v>
      </x:c>
      <x:c r="F225" s="12" t="n">
        <x:v>1.1</x:v>
      </x:c>
      <x:c r="G225" s="34" t="n">
        <x:v>0.05923839672817959</x:v>
      </x:c>
      <x:c r="H225" s="34" t="n">
        <x:v>0.04</x:v>
      </x:c>
      <x:c r="I225" s="12" t="n">
        <x:v>1.035</x:v>
      </x:c>
      <x:c r="J225" s="12" t="n">
        <x:v>0.0212</x:v>
      </x:c>
      <x:c r="K225" s="12" t="str">
        <x:v>Brand Director</x:v>
      </x:c>
      <x:c r="L225" s="12" t="str">
        <x:f>IF(G225&gt;H225,"BREACH","OK")</x:f>
        <x:v>BREACH</x:v>
      </x:c>
    </x:row>
    <x:row r="226">
      <x:c r="A226" s="12" t="str">
        <x:v>PRC-00225</x:v>
      </x:c>
      <x:c r="B226" s="18" t="n">
        <x:v>46207</x:v>
      </x:c>
      <x:c r="C226" s="12" t="str">
        <x:v>DLR-014</x:v>
      </x:c>
      <x:c r="D226" s="12" t="str">
        <x:v>VinFast HTA Nam Từ Liêm</x:v>
      </x:c>
      <x:c r="E226" s="12" t="str">
        <x:v>VinFast</x:v>
      </x:c>
      <x:c r="F226" s="12" t="n">
        <x:v>1.068</x:v>
      </x:c>
      <x:c r="G226" s="34" t="n">
        <x:v>0.011882415971399395</x:v>
      </x:c>
      <x:c r="H226" s="34" t="n">
        <x:v>0.05</x:v>
      </x:c>
      <x:c r="I226" s="12" t="n">
        <x:v>1.055</x:v>
      </x:c>
      <x:c r="J226" s="12" t="n">
        <x:v>0</x:v>
      </x:c>
      <x:c r="K226" s="12" t="str">
        <x:v>Brand Director</x:v>
      </x:c>
      <x:c r="L226" s="12" t="str">
        <x:f>IF(G226&gt;H226,"BREACH","OK")</x:f>
        <x:v>OK</x:v>
      </x:c>
    </x:row>
    <x:row r="227">
      <x:c r="A227" s="12" t="str">
        <x:v>PRC-00226</x:v>
      </x:c>
      <x:c r="B227" s="18" t="n">
        <x:v>46222</x:v>
      </x:c>
      <x:c r="C227" s="12" t="str">
        <x:v>DLR-007</x:v>
      </x:c>
      <x:c r="D227" s="12" t="str">
        <x:v>BYD Hà Đông</x:v>
      </x:c>
      <x:c r="E227" s="12" t="str">
        <x:v>BYD</x:v>
      </x:c>
      <x:c r="F227" s="12" t="n">
        <x:v>0.882</x:v>
      </x:c>
      <x:c r="G227" s="34" t="n">
        <x:v>0.017879884950407814</x:v>
      </x:c>
      <x:c r="H227" s="34" t="n">
        <x:v>0.04</x:v>
      </x:c>
      <x:c r="I227" s="12" t="n">
        <x:v>0.866</x:v>
      </x:c>
      <x:c r="J227" s="12" t="n">
        <x:v>0</x:v>
      </x:c>
      <x:c r="K227" s="12" t="str">
        <x:v>Brand Director</x:v>
      </x:c>
      <x:c r="L227" s="12" t="str">
        <x:f>IF(G227&gt;H227,"BREACH","OK")</x:f>
        <x:v>OK</x:v>
      </x:c>
    </x:row>
    <x:row r="228">
      <x:c r="A228" s="12" t="str">
        <x:v>PRC-00227</x:v>
      </x:c>
      <x:c r="B228" s="18" t="n">
        <x:v>46210</x:v>
      </x:c>
      <x:c r="C228" s="12" t="str">
        <x:v>DLR-015</x:v>
      </x:c>
      <x:c r="D228" s="12" t="str">
        <x:v>VinFast HTA Văn Phú</x:v>
      </x:c>
      <x:c r="E228" s="12" t="str">
        <x:v>VinFast</x:v>
      </x:c>
      <x:c r="F228" s="12" t="n">
        <x:v>1.621</x:v>
      </x:c>
      <x:c r="G228" s="34" t="n">
        <x:v>0.06334763997969958</x:v>
      </x:c>
      <x:c r="H228" s="34" t="n">
        <x:v>0.05</x:v>
      </x:c>
      <x:c r="I228" s="12" t="n">
        <x:v>1.518</x:v>
      </x:c>
      <x:c r="J228" s="12" t="n">
        <x:v>0.0216</x:v>
      </x:c>
      <x:c r="K228" s="12" t="str">
        <x:v>Dealer Manager</x:v>
      </x:c>
      <x:c r="L228" s="12" t="str">
        <x:f>IF(G228&gt;H228,"BREACH","OK")</x:f>
        <x:v>BREACH</x:v>
      </x:c>
    </x:row>
    <x:row r="229">
      <x:c r="A229" s="12" t="str">
        <x:v>PRC-00228</x:v>
      </x:c>
      <x:c r="B229" s="18" t="n">
        <x:v>46220</x:v>
      </x:c>
      <x:c r="C229" s="12" t="str">
        <x:v>DLR-011</x:v>
      </x:c>
      <x:c r="D229" s="12" t="str">
        <x:v>VinFast HTA Phạm Văn Đồng</x:v>
      </x:c>
      <x:c r="E229" s="12" t="str">
        <x:v>VinFast</x:v>
      </x:c>
      <x:c r="F229" s="12" t="n">
        <x:v>0.605</x:v>
      </x:c>
      <x:c r="G229" s="34" t="n">
        <x:v>0.06752030179377201</x:v>
      </x:c>
      <x:c r="H229" s="34" t="n">
        <x:v>0.04</x:v>
      </x:c>
      <x:c r="I229" s="12" t="n">
        <x:v>0.564</x:v>
      </x:c>
      <x:c r="J229" s="12" t="n">
        <x:v>0.0167</x:v>
      </x:c>
      <x:c r="K229" s="12" t="str">
        <x:v>Dealer Manager</x:v>
      </x:c>
      <x:c r="L229" s="12" t="str">
        <x:f>IF(G229&gt;H229,"BREACH","OK")</x:f>
        <x:v>BREACH</x:v>
      </x:c>
    </x:row>
    <x:row r="230">
      <x:c r="A230" s="12" t="str">
        <x:v>PRC-00229</x:v>
      </x:c>
      <x:c r="B230" s="18" t="n">
        <x:v>46219</x:v>
      </x:c>
      <x:c r="C230" s="12" t="str">
        <x:v>DLR-010</x:v>
      </x:c>
      <x:c r="D230" s="12" t="str">
        <x:v>VinFast HTA Đàm Quang Trung</x:v>
      </x:c>
      <x:c r="E230" s="12" t="str">
        <x:v>VinFast</x:v>
      </x:c>
      <x:c r="F230" s="12" t="n">
        <x:v>0.566</x:v>
      </x:c>
      <x:c r="G230" s="34" t="n">
        <x:v>0.06878908602725128</x:v>
      </x:c>
      <x:c r="H230" s="34" t="n">
        <x:v>0.03</x:v>
      </x:c>
      <x:c r="I230" s="12" t="n">
        <x:v>0.527</x:v>
      </x:c>
      <x:c r="J230" s="12" t="n">
        <x:v>0.022</x:v>
      </x:c>
      <x:c r="K230" s="12" t="str">
        <x:v>Brand Director</x:v>
      </x:c>
      <x:c r="L230" s="12" t="str">
        <x:f>IF(G230&gt;H230,"BREACH","OK")</x:f>
        <x:v>BREACH</x:v>
      </x:c>
    </x:row>
    <x:row r="231">
      <x:c r="A231" s="12" t="str">
        <x:v>PRC-00230</x:v>
      </x:c>
      <x:c r="B231" s="18" t="n">
        <x:v>46218</x:v>
      </x:c>
      <x:c r="C231" s="12" t="str">
        <x:v>DLR-009</x:v>
      </x:c>
      <x:c r="D231" s="12" t="str">
        <x:v>VinFast HTA Đông Anh</x:v>
      </x:c>
      <x:c r="E231" s="12" t="str">
        <x:v>VinFast</x:v>
      </x:c>
      <x:c r="F231" s="12" t="n">
        <x:v>0.99</x:v>
      </x:c>
      <x:c r="G231" s="34" t="n">
        <x:v>0.06756235458077726</x:v>
      </x:c>
      <x:c r="H231" s="34" t="n">
        <x:v>0.05</x:v>
      </x:c>
      <x:c r="I231" s="12" t="n">
        <x:v>0.923</x:v>
      </x:c>
      <x:c r="J231" s="12" t="n">
        <x:v>0.0174</x:v>
      </x:c>
      <x:c r="K231" s="12" t="str">
        <x:v>Commercial Director</x:v>
      </x:c>
      <x:c r="L231" s="12" t="str">
        <x:f>IF(G231&gt;H231,"BREACH","OK")</x:f>
        <x:v>BREACH</x:v>
      </x:c>
    </x:row>
    <x:row r="232">
      <x:c r="A232" s="12" t="str">
        <x:v>PRC-00231</x:v>
      </x:c>
      <x:c r="B232" s="18" t="n">
        <x:v>46221</x:v>
      </x:c>
      <x:c r="C232" s="12" t="str">
        <x:v>DLR-003</x:v>
      </x:c>
      <x:c r="D232" s="12" t="str">
        <x:v>Mỹ Đình Ford</x:v>
      </x:c>
      <x:c r="E232" s="12" t="str">
        <x:v>Ford</x:v>
      </x:c>
      <x:c r="F232" s="12" t="n">
        <x:v>1.345</x:v>
      </x:c>
      <x:c r="G232" s="34" t="n">
        <x:v>0.07630791284202545</x:v>
      </x:c>
      <x:c r="H232" s="34" t="n">
        <x:v>0.05</x:v>
      </x:c>
      <x:c r="I232" s="12" t="n">
        <x:v>1.243</x:v>
      </x:c>
      <x:c r="J232" s="12" t="n">
        <x:v>0.0354</x:v>
      </x:c>
      <x:c r="K232" s="12" t="str">
        <x:v>Commercial Director</x:v>
      </x:c>
      <x:c r="L232" s="12" t="str">
        <x:f>IF(G232&gt;H232,"BREACH","OK")</x:f>
        <x:v>BREACH</x:v>
      </x:c>
    </x:row>
    <x:row r="233">
      <x:c r="A233" s="12" t="str">
        <x:v>PRC-00232</x:v>
      </x:c>
      <x:c r="B233" s="18" t="n">
        <x:v>46219</x:v>
      </x:c>
      <x:c r="C233" s="12" t="str">
        <x:v>DLR-017</x:v>
      </x:c>
      <x:c r="D233" s="12" t="str">
        <x:v>VinFast Quốc Oai</x:v>
      </x:c>
      <x:c r="E233" s="12" t="str">
        <x:v>VinFast</x:v>
      </x:c>
      <x:c r="F233" s="12" t="n">
        <x:v>0.836</x:v>
      </x:c>
      <x:c r="G233" s="34" t="n">
        <x:v>0.027478762229557883</x:v>
      </x:c>
      <x:c r="H233" s="34" t="n">
        <x:v>0.05</x:v>
      </x:c>
      <x:c r="I233" s="12" t="n">
        <x:v>0.813</x:v>
      </x:c>
      <x:c r="J233" s="12" t="n">
        <x:v>0</x:v>
      </x:c>
      <x:c r="K233" s="12" t="str">
        <x:v>Commercial Director</x:v>
      </x:c>
      <x:c r="L233" s="12" t="str">
        <x:f>IF(G233&gt;H233,"BREACH","OK")</x:f>
        <x:v>OK</x:v>
      </x:c>
    </x:row>
    <x:row r="234">
      <x:c r="A234" s="12" t="str">
        <x:v>PRC-00233</x:v>
      </x:c>
      <x:c r="B234" s="18" t="n">
        <x:v>46205</x:v>
      </x:c>
      <x:c r="C234" s="12" t="str">
        <x:v>DLR-016</x:v>
      </x:c>
      <x:c r="D234" s="12" t="str">
        <x:v>VinFast HTA Mỹ Đình</x:v>
      </x:c>
      <x:c r="E234" s="12" t="str">
        <x:v>VinFast</x:v>
      </x:c>
      <x:c r="F234" s="12" t="n">
        <x:v>0.89</x:v>
      </x:c>
      <x:c r="G234" s="34" t="n">
        <x:v>0.0419179857277445</x:v>
      </x:c>
      <x:c r="H234" s="34" t="n">
        <x:v>0.03</x:v>
      </x:c>
      <x:c r="I234" s="12" t="n">
        <x:v>0.853</x:v>
      </x:c>
      <x:c r="J234" s="12" t="n">
        <x:v>0.0106</x:v>
      </x:c>
      <x:c r="K234" s="12" t="str">
        <x:v>Commercial Director</x:v>
      </x:c>
      <x:c r="L234" s="12" t="str">
        <x:f>IF(G234&gt;H234,"BREACH","OK")</x:f>
        <x:v>BREACH</x:v>
      </x:c>
    </x:row>
    <x:row r="235">
      <x:c r="A235" s="12" t="str">
        <x:v>PRC-00234</x:v>
      </x:c>
      <x:c r="B235" s="18" t="n">
        <x:v>46219</x:v>
      </x:c>
      <x:c r="C235" s="12" t="str">
        <x:v>DLR-019</x:v>
      </x:c>
      <x:c r="D235" s="12" t="str">
        <x:v>OMODA &amp; JAECOO HTA Việt Trì</x:v>
      </x:c>
      <x:c r="E235" s="12" t="str">
        <x:v>OMODA &amp; JAECOO</x:v>
      </x:c>
      <x:c r="F235" s="12" t="n">
        <x:v>1.609</x:v>
      </x:c>
      <x:c r="G235" s="34" t="n">
        <x:v>0.03099641025317007</x:v>
      </x:c>
      <x:c r="H235" s="34" t="n">
        <x:v>0.04</x:v>
      </x:c>
      <x:c r="I235" s="12" t="n">
        <x:v>1.559</x:v>
      </x:c>
      <x:c r="J235" s="12" t="n">
        <x:v>0</x:v>
      </x:c>
      <x:c r="K235" s="12" t="str">
        <x:v>Brand Director</x:v>
      </x:c>
      <x:c r="L235" s="12" t="str">
        <x:f>IF(G235&gt;H235,"BREACH","OK")</x:f>
        <x:v>OK</x:v>
      </x:c>
    </x:row>
    <x:row r="236">
      <x:c r="A236" s="12" t="str">
        <x:v>PRC-00235</x:v>
      </x:c>
      <x:c r="B236" s="18" t="n">
        <x:v>46208</x:v>
      </x:c>
      <x:c r="C236" s="12" t="str">
        <x:v>DLR-010</x:v>
      </x:c>
      <x:c r="D236" s="12" t="str">
        <x:v>VinFast HTA Đàm Quang Trung</x:v>
      </x:c>
      <x:c r="E236" s="12" t="str">
        <x:v>VinFast</x:v>
      </x:c>
      <x:c r="F236" s="12" t="n">
        <x:v>1.396</x:v>
      </x:c>
      <x:c r="G236" s="34" t="n">
        <x:v>0.03765552426159236</x:v>
      </x:c>
      <x:c r="H236" s="34" t="n">
        <x:v>0.045</x:v>
      </x:c>
      <x:c r="I236" s="12" t="n">
        <x:v>1.343</x:v>
      </x:c>
      <x:c r="J236" s="12" t="n">
        <x:v>0</x:v>
      </x:c>
      <x:c r="K236" s="12" t="str">
        <x:v>Brand Director</x:v>
      </x:c>
      <x:c r="L236" s="12" t="str">
        <x:f>IF(G236&gt;H236,"BREACH","OK")</x:f>
        <x:v>OK</x:v>
      </x:c>
    </x:row>
    <x:row r="237">
      <x:c r="A237" s="12" t="str">
        <x:v>PRC-00236</x:v>
      </x:c>
      <x:c r="B237" s="18" t="n">
        <x:v>46220</x:v>
      </x:c>
      <x:c r="C237" s="12" t="str">
        <x:v>DLR-001</x:v>
      </x:c>
      <x:c r="D237" s="12" t="str">
        <x:v>Hà Thành Ford</x:v>
      </x:c>
      <x:c r="E237" s="12" t="str">
        <x:v>Ford</x:v>
      </x:c>
      <x:c r="F237" s="12" t="n">
        <x:v>1.021</x:v>
      </x:c>
      <x:c r="G237" s="34" t="n">
        <x:v>0.06897286734092889</x:v>
      </x:c>
      <x:c r="H237" s="34" t="n">
        <x:v>0.045</x:v>
      </x:c>
      <x:c r="I237" s="12" t="n">
        <x:v>0.951</x:v>
      </x:c>
      <x:c r="J237" s="12" t="n">
        <x:v>0.0245</x:v>
      </x:c>
      <x:c r="K237" s="12" t="str">
        <x:v>Dealer Manager</x:v>
      </x:c>
      <x:c r="L237" s="12" t="str">
        <x:f>IF(G237&gt;H237,"BREACH","OK")</x:f>
        <x:v>BREACH</x:v>
      </x:c>
    </x:row>
    <x:row r="238">
      <x:c r="A238" s="12" t="str">
        <x:v>PRC-00237</x:v>
      </x:c>
      <x:c r="B238" s="18" t="n">
        <x:v>46212</x:v>
      </x:c>
      <x:c r="C238" s="12" t="str">
        <x:v>DLR-009</x:v>
      </x:c>
      <x:c r="D238" s="12" t="str">
        <x:v>VinFast HTA Đông Anh</x:v>
      </x:c>
      <x:c r="E238" s="12" t="str">
        <x:v>VinFast</x:v>
      </x:c>
      <x:c r="F238" s="12" t="n">
        <x:v>1.038</x:v>
      </x:c>
      <x:c r="G238" s="34" t="n">
        <x:v>0.014445693057485703</x:v>
      </x:c>
      <x:c r="H238" s="34" t="n">
        <x:v>0.04</x:v>
      </x:c>
      <x:c r="I238" s="12" t="n">
        <x:v>1.023</x:v>
      </x:c>
      <x:c r="J238" s="12" t="n">
        <x:v>0</x:v>
      </x:c>
      <x:c r="K238" s="12" t="str">
        <x:v>Commercial Director</x:v>
      </x:c>
      <x:c r="L238" s="12" t="str">
        <x:f>IF(G238&gt;H238,"BREACH","OK")</x:f>
        <x:v>OK</x:v>
      </x:c>
    </x:row>
    <x:row r="239">
      <x:c r="A239" s="12" t="str">
        <x:v>PRC-00238</x:v>
      </x:c>
      <x:c r="B239" s="18" t="n">
        <x:v>46225</x:v>
      </x:c>
      <x:c r="C239" s="12" t="str">
        <x:v>DLR-016</x:v>
      </x:c>
      <x:c r="D239" s="12" t="str">
        <x:v>VinFast HTA Mỹ Đình</x:v>
      </x:c>
      <x:c r="E239" s="12" t="str">
        <x:v>VinFast</x:v>
      </x:c>
      <x:c r="F239" s="12" t="n">
        <x:v>1.247</x:v>
      </x:c>
      <x:c r="G239" s="34" t="n">
        <x:v>0.0460242250448075</x:v>
      </x:c>
      <x:c r="H239" s="34" t="n">
        <x:v>0.045</x:v>
      </x:c>
      <x:c r="I239" s="12" t="n">
        <x:v>1.189</x:v>
      </x:c>
      <x:c r="J239" s="12" t="n">
        <x:v>0.0013</x:v>
      </x:c>
      <x:c r="K239" s="12" t="str">
        <x:v>Brand Director</x:v>
      </x:c>
      <x:c r="L239" s="12" t="str">
        <x:f>IF(G239&gt;H239,"BREACH","OK")</x:f>
        <x:v>BREACH</x:v>
      </x:c>
    </x:row>
    <x:row r="240">
      <x:c r="A240" s="12" t="str">
        <x:v>PRC-00239</x:v>
      </x:c>
      <x:c r="B240" s="18" t="n">
        <x:v>46222</x:v>
      </x:c>
      <x:c r="C240" s="12" t="str">
        <x:v>DLR-014</x:v>
      </x:c>
      <x:c r="D240" s="12" t="str">
        <x:v>VinFast HTA Nam Từ Liêm</x:v>
      </x:c>
      <x:c r="E240" s="12" t="str">
        <x:v>VinFast</x:v>
      </x:c>
      <x:c r="F240" s="12" t="n">
        <x:v>1.214</x:v>
      </x:c>
      <x:c r="G240" s="34" t="n">
        <x:v>0.06578410631490078</x:v>
      </x:c>
      <x:c r="H240" s="34" t="n">
        <x:v>0.04</x:v>
      </x:c>
      <x:c r="I240" s="12" t="n">
        <x:v>1.134</x:v>
      </x:c>
      <x:c r="J240" s="12" t="n">
        <x:v>0.0313</x:v>
      </x:c>
      <x:c r="K240" s="12" t="str">
        <x:v>Brand Director</x:v>
      </x:c>
      <x:c r="L240" s="12" t="str">
        <x:f>IF(G240&gt;H240,"BREACH","OK")</x:f>
        <x:v>BREACH</x:v>
      </x:c>
    </x:row>
    <x:row r="241">
      <x:c r="A241" s="12" t="str">
        <x:v>PRC-00240</x:v>
      </x:c>
      <x:c r="B241" s="18" t="n">
        <x:v>46211</x:v>
      </x:c>
      <x:c r="C241" s="12" t="str">
        <x:v>DLR-012</x:v>
      </x:c>
      <x:c r="D241" s="12" t="str">
        <x:v>VinFast HTA Võ Chí Công</x:v>
      </x:c>
      <x:c r="E241" s="12" t="str">
        <x:v>VinFast</x:v>
      </x:c>
      <x:c r="F241" s="12" t="n">
        <x:v>1.139</x:v>
      </x:c>
      <x:c r="G241" s="34" t="n">
        <x:v>0.010873651180751957</x:v>
      </x:c>
      <x:c r="H241" s="34" t="n">
        <x:v>0.04</x:v>
      </x:c>
      <x:c r="I241" s="12" t="n">
        <x:v>1.126</x:v>
      </x:c>
      <x:c r="J241" s="12" t="n">
        <x:v>0</x:v>
      </x:c>
      <x:c r="K241" s="12" t="str">
        <x:v>Brand Director</x:v>
      </x:c>
      <x:c r="L241" s="12" t="str">
        <x:f>IF(G241&gt;H241,"BREACH","OK")</x:f>
        <x:v>OK</x:v>
      </x:c>
    </x:row>
    <x:row r="242">
      <x:c r="A242" s="12" t="str">
        <x:v>PRC-00241</x:v>
      </x:c>
      <x:c r="B242" s="18" t="n">
        <x:v>46214</x:v>
      </x:c>
      <x:c r="C242" s="12" t="str">
        <x:v>DLR-020</x:v>
      </x:c>
      <x:c r="D242" s="12" t="str">
        <x:v>Wuling HTA Long Biên</x:v>
      </x:c>
      <x:c r="E242" s="12" t="str">
        <x:v>Wuling</x:v>
      </x:c>
      <x:c r="F242" s="12" t="n">
        <x:v>0.998</x:v>
      </x:c>
      <x:c r="G242" s="34" t="n">
        <x:v>0.05548814786056349</x:v>
      </x:c>
      <x:c r="H242" s="34" t="n">
        <x:v>0.03</x:v>
      </x:c>
      <x:c r="I242" s="12" t="n">
        <x:v>0.943</x:v>
      </x:c>
      <x:c r="J242" s="12" t="n">
        <x:v>0.0254</x:v>
      </x:c>
      <x:c r="K242" s="12" t="str">
        <x:v>Dealer Manager</x:v>
      </x:c>
      <x:c r="L242" s="12" t="str">
        <x:f>IF(G242&gt;H242,"BREACH","OK")</x:f>
        <x:v>BREACH</x:v>
      </x:c>
    </x:row>
    <x:row r="243">
      <x:c r="A243" s="12" t="str">
        <x:v>PRC-00242</x:v>
      </x:c>
      <x:c r="B243" s="18" t="n">
        <x:v>46222</x:v>
      </x:c>
      <x:c r="C243" s="12" t="str">
        <x:v>DLR-019</x:v>
      </x:c>
      <x:c r="D243" s="12" t="str">
        <x:v>OMODA &amp; JAECOO HTA Việt Trì</x:v>
      </x:c>
      <x:c r="E243" s="12" t="str">
        <x:v>OMODA &amp; JAECOO</x:v>
      </x:c>
      <x:c r="F243" s="12" t="n">
        <x:v>0.452</x:v>
      </x:c>
      <x:c r="G243" s="34" t="n">
        <x:v>0.025170135353624952</x:v>
      </x:c>
      <x:c r="H243" s="34" t="n">
        <x:v>0.03</x:v>
      </x:c>
      <x:c r="I243" s="12" t="n">
        <x:v>0.44</x:v>
      </x:c>
      <x:c r="J243" s="12" t="n">
        <x:v>0</x:v>
      </x:c>
      <x:c r="K243" s="12" t="str">
        <x:v>Brand Director</x:v>
      </x:c>
      <x:c r="L243" s="12" t="str">
        <x:f>IF(G243&gt;H243,"BREACH","OK")</x:f>
        <x:v>OK</x:v>
      </x:c>
    </x:row>
    <x:row r="244">
      <x:c r="A244" s="12" t="str">
        <x:v>PRC-00243</x:v>
      </x:c>
      <x:c r="B244" s="18" t="n">
        <x:v>46211</x:v>
      </x:c>
      <x:c r="C244" s="12" t="str">
        <x:v>DLR-018</x:v>
      </x:c>
      <x:c r="D244" s="12" t="str">
        <x:v>OMODA &amp; JAECOO HTA Nam Từ Liêm</x:v>
      </x:c>
      <x:c r="E244" s="12" t="str">
        <x:v>OMODA &amp; JAECOO</x:v>
      </x:c>
      <x:c r="F244" s="12" t="n">
        <x:v>0.649</x:v>
      </x:c>
      <x:c r="G244" s="34" t="n">
        <x:v>0.07263441860646352</x:v>
      </x:c>
      <x:c r="H244" s="34" t="n">
        <x:v>0.03</x:v>
      </x:c>
      <x:c r="I244" s="12" t="n">
        <x:v>0.602</x:v>
      </x:c>
      <x:c r="J244" s="12" t="n">
        <x:v>0.0277</x:v>
      </x:c>
      <x:c r="K244" s="12" t="str">
        <x:v>Commercial Director</x:v>
      </x:c>
      <x:c r="L244" s="12" t="str">
        <x:f>IF(G244&gt;H244,"BREACH","OK")</x:f>
        <x:v>BREACH</x:v>
      </x:c>
    </x:row>
    <x:row r="245">
      <x:c r="A245" s="12" t="str">
        <x:v>PRC-00244</x:v>
      </x:c>
      <x:c r="B245" s="18" t="n">
        <x:v>46220</x:v>
      </x:c>
      <x:c r="C245" s="12" t="str">
        <x:v>DLR-006</x:v>
      </x:c>
      <x:c r="D245" s="12" t="str">
        <x:v>BYD HTA Hoàn Kiếm</x:v>
      </x:c>
      <x:c r="E245" s="12" t="str">
        <x:v>BYD</x:v>
      </x:c>
      <x:c r="F245" s="12" t="n">
        <x:v>1.252</x:v>
      </x:c>
      <x:c r="G245" s="34" t="n">
        <x:v>0.01663542074502177</x:v>
      </x:c>
      <x:c r="H245" s="34" t="n">
        <x:v>0.04</x:v>
      </x:c>
      <x:c r="I245" s="12" t="n">
        <x:v>1.231</x:v>
      </x:c>
      <x:c r="J245" s="12" t="n">
        <x:v>0</x:v>
      </x:c>
      <x:c r="K245" s="12" t="str">
        <x:v>Dealer Manager</x:v>
      </x:c>
      <x:c r="L245" s="12" t="str">
        <x:f>IF(G245&gt;H245,"BREACH","OK")</x:f>
        <x:v>OK</x:v>
      </x:c>
    </x:row>
    <x:row r="246">
      <x:c r="A246" s="12" t="str">
        <x:v>PRC-00245</x:v>
      </x:c>
      <x:c r="B246" s="18" t="n">
        <x:v>46214</x:v>
      </x:c>
      <x:c r="C246" s="12" t="str">
        <x:v>DLR-014</x:v>
      </x:c>
      <x:c r="D246" s="12" t="str">
        <x:v>VinFast HTA Nam Từ Liêm</x:v>
      </x:c>
      <x:c r="E246" s="12" t="str">
        <x:v>VinFast</x:v>
      </x:c>
      <x:c r="F246" s="12" t="n">
        <x:v>0.441</x:v>
      </x:c>
      <x:c r="G246" s="34" t="n">
        <x:v>0.04792425293040532</x:v>
      </x:c>
      <x:c r="H246" s="34" t="n">
        <x:v>0.05</x:v>
      </x:c>
      <x:c r="I246" s="12" t="n">
        <x:v>0.419</x:v>
      </x:c>
      <x:c r="J246" s="12" t="n">
        <x:v>0</x:v>
      </x:c>
      <x:c r="K246" s="12" t="str">
        <x:v>Commercial Director</x:v>
      </x:c>
      <x:c r="L246" s="12" t="str">
        <x:f>IF(G246&gt;H246,"BREACH","OK")</x:f>
        <x:v>OK</x:v>
      </x:c>
    </x:row>
    <x:row r="247">
      <x:c r="A247" s="12" t="str">
        <x:v>PRC-00246</x:v>
      </x:c>
      <x:c r="B247" s="18" t="n">
        <x:v>46224</x:v>
      </x:c>
      <x:c r="C247" s="12" t="str">
        <x:v>DLR-010</x:v>
      </x:c>
      <x:c r="D247" s="12" t="str">
        <x:v>VinFast HTA Đàm Quang Trung</x:v>
      </x:c>
      <x:c r="E247" s="12" t="str">
        <x:v>VinFast</x:v>
      </x:c>
      <x:c r="F247" s="12" t="n">
        <x:v>1.57</x:v>
      </x:c>
      <x:c r="G247" s="34" t="n">
        <x:v>0.011068181617075571</x:v>
      </x:c>
      <x:c r="H247" s="34" t="n">
        <x:v>0.03</x:v>
      </x:c>
      <x:c r="I247" s="12" t="n">
        <x:v>1.552</x:v>
      </x:c>
      <x:c r="J247" s="12" t="n">
        <x:v>0</x:v>
      </x:c>
      <x:c r="K247" s="12" t="str">
        <x:v>Commercial Director</x:v>
      </x:c>
      <x:c r="L247" s="12" t="str">
        <x:f>IF(G247&gt;H247,"BREACH","OK")</x:f>
        <x:v>OK</x:v>
      </x:c>
    </x:row>
    <x:row r="248">
      <x:c r="A248" s="12" t="str">
        <x:v>PRC-00247</x:v>
      </x:c>
      <x:c r="B248" s="18" t="n">
        <x:v>46212</x:v>
      </x:c>
      <x:c r="C248" s="12" t="str">
        <x:v>DLR-013</x:v>
      </x:c>
      <x:c r="D248" s="12" t="str">
        <x:v>VinFast HTA Ninh Bình</x:v>
      </x:c>
      <x:c r="E248" s="12" t="str">
        <x:v>VinFast</x:v>
      </x:c>
      <x:c r="F248" s="12" t="n">
        <x:v>0.828</x:v>
      </x:c>
      <x:c r="G248" s="34" t="n">
        <x:v>0.044252112581741755</x:v>
      </x:c>
      <x:c r="H248" s="34" t="n">
        <x:v>0.04</x:v>
      </x:c>
      <x:c r="I248" s="12" t="n">
        <x:v>0.791</x:v>
      </x:c>
      <x:c r="J248" s="12" t="n">
        <x:v>0.0035</x:v>
      </x:c>
      <x:c r="K248" s="12" t="str">
        <x:v>Brand Director</x:v>
      </x:c>
      <x:c r="L248" s="12" t="str">
        <x:f>IF(G248&gt;H248,"BREACH","OK")</x:f>
        <x:v>BREACH</x:v>
      </x:c>
    </x:row>
    <x:row r="249">
      <x:c r="A249" s="12" t="str">
        <x:v>PRC-00248</x:v>
      </x:c>
      <x:c r="B249" s="18" t="n">
        <x:v>46218</x:v>
      </x:c>
      <x:c r="C249" s="12" t="str">
        <x:v>DLR-015</x:v>
      </x:c>
      <x:c r="D249" s="12" t="str">
        <x:v>VinFast HTA Văn Phú</x:v>
      </x:c>
      <x:c r="E249" s="12" t="str">
        <x:v>VinFast</x:v>
      </x:c>
      <x:c r="F249" s="12" t="n">
        <x:v>1.573</x:v>
      </x:c>
      <x:c r="G249" s="34" t="n">
        <x:v>0.07139503085220818</x:v>
      </x:c>
      <x:c r="H249" s="34" t="n">
        <x:v>0.05</x:v>
      </x:c>
      <x:c r="I249" s="12" t="n">
        <x:v>1.461</x:v>
      </x:c>
      <x:c r="J249" s="12" t="n">
        <x:v>0.0337</x:v>
      </x:c>
      <x:c r="K249" s="12" t="str">
        <x:v>Dealer Manager</x:v>
      </x:c>
      <x:c r="L249" s="12" t="str">
        <x:f>IF(G249&gt;H249,"BREACH","OK")</x:f>
        <x:v>BREACH</x:v>
      </x:c>
    </x:row>
    <x:row r="250">
      <x:c r="A250" s="12" t="str">
        <x:v>PRC-00249</x:v>
      </x:c>
      <x:c r="B250" s="18" t="n">
        <x:v>46218</x:v>
      </x:c>
      <x:c r="C250" s="12" t="str">
        <x:v>DLR-009</x:v>
      </x:c>
      <x:c r="D250" s="12" t="str">
        <x:v>VinFast HTA Đông Anh</x:v>
      </x:c>
      <x:c r="E250" s="12" t="str">
        <x:v>VinFast</x:v>
      </x:c>
      <x:c r="F250" s="12" t="n">
        <x:v>1.535</x:v>
      </x:c>
      <x:c r="G250" s="34" t="n">
        <x:v>0.029771207372439726</x:v>
      </x:c>
      <x:c r="H250" s="34" t="n">
        <x:v>0.045</x:v>
      </x:c>
      <x:c r="I250" s="12" t="n">
        <x:v>1.49</x:v>
      </x:c>
      <x:c r="J250" s="12" t="n">
        <x:v>0</x:v>
      </x:c>
      <x:c r="K250" s="12" t="str">
        <x:v>Brand Director</x:v>
      </x:c>
      <x:c r="L250" s="12" t="str">
        <x:f>IF(G250&gt;H250,"BREACH","OK")</x:f>
        <x:v>OK</x:v>
      </x:c>
    </x:row>
    <x:row r="251">
      <x:c r="A251" s="12" t="str">
        <x:v>PRC-00250</x:v>
      </x:c>
      <x:c r="B251" s="18" t="n">
        <x:v>46219</x:v>
      </x:c>
      <x:c r="C251" s="12" t="str">
        <x:v>DLR-020</x:v>
      </x:c>
      <x:c r="D251" s="12" t="str">
        <x:v>Wuling HTA Long Biên</x:v>
      </x:c>
      <x:c r="E251" s="12" t="str">
        <x:v>Wuling</x:v>
      </x:c>
      <x:c r="F251" s="12" t="n">
        <x:v>1.416</x:v>
      </x:c>
      <x:c r="G251" s="34" t="n">
        <x:v>0.023532781464324488</x:v>
      </x:c>
      <x:c r="H251" s="34" t="n">
        <x:v>0.045</x:v>
      </x:c>
      <x:c r="I251" s="12" t="n">
        <x:v>1.382</x:v>
      </x:c>
      <x:c r="J251" s="12" t="n">
        <x:v>0</x:v>
      </x:c>
      <x:c r="K251" s="12" t="str">
        <x:v>Commercial Director</x:v>
      </x:c>
      <x:c r="L251" s="12" t="str">
        <x:f>IF(G251&gt;H251,"BREACH","OK")</x:f>
        <x:v>OK</x:v>
      </x:c>
    </x:row>
    <x:row r="252">
      <x:c r="A252" s="12" t="str">
        <x:v>PRC-00251</x:v>
      </x:c>
      <x:c r="B252" s="18" t="n">
        <x:v>46219</x:v>
      </x:c>
      <x:c r="C252" s="12" t="str">
        <x:v>DLR-015</x:v>
      </x:c>
      <x:c r="D252" s="12" t="str">
        <x:v>VinFast HTA Văn Phú</x:v>
      </x:c>
      <x:c r="E252" s="12" t="str">
        <x:v>VinFast</x:v>
      </x:c>
      <x:c r="F252" s="12" t="n">
        <x:v>0.867</x:v>
      </x:c>
      <x:c r="G252" s="34" t="n">
        <x:v>0.01913643388593366</x:v>
      </x:c>
      <x:c r="H252" s="34" t="n">
        <x:v>0.03</x:v>
      </x:c>
      <x:c r="I252" s="12" t="n">
        <x:v>0.85</x:v>
      </x:c>
      <x:c r="J252" s="12" t="n">
        <x:v>0</x:v>
      </x:c>
      <x:c r="K252" s="12" t="str">
        <x:v>Brand Director</x:v>
      </x:c>
      <x:c r="L252" s="12" t="str">
        <x:f>IF(G252&gt;H252,"BREACH","OK")</x:f>
        <x:v>OK</x:v>
      </x:c>
    </x:row>
    <x:row r="253">
      <x:c r="A253" s="12" t="str">
        <x:v>PRC-00252</x:v>
      </x:c>
      <x:c r="B253" s="18" t="n">
        <x:v>46225</x:v>
      </x:c>
      <x:c r="C253" s="12" t="str">
        <x:v>DLR-019</x:v>
      </x:c>
      <x:c r="D253" s="12" t="str">
        <x:v>OMODA &amp; JAECOO HTA Việt Trì</x:v>
      </x:c>
      <x:c r="E253" s="12" t="str">
        <x:v>OMODA &amp; JAECOO</x:v>
      </x:c>
      <x:c r="F253" s="12" t="n">
        <x:v>0.934</x:v>
      </x:c>
      <x:c r="G253" s="34" t="n">
        <x:v>0.01926557331794452</x:v>
      </x:c>
      <x:c r="H253" s="34" t="n">
        <x:v>0.04</x:v>
      </x:c>
      <x:c r="I253" s="12" t="n">
        <x:v>0.916</x:v>
      </x:c>
      <x:c r="J253" s="12" t="n">
        <x:v>0</x:v>
      </x:c>
      <x:c r="K253" s="12" t="str">
        <x:v>Commercial Director</x:v>
      </x:c>
      <x:c r="L253" s="12" t="str">
        <x:f>IF(G253&gt;H253,"BREACH","OK")</x:f>
        <x:v>OK</x:v>
      </x:c>
    </x:row>
    <x:row r="254">
      <x:c r="A254" s="12" t="str">
        <x:v>PRC-00253</x:v>
      </x:c>
      <x:c r="B254" s="18" t="n">
        <x:v>46225</x:v>
      </x:c>
      <x:c r="C254" s="12" t="str">
        <x:v>DLR-010</x:v>
      </x:c>
      <x:c r="D254" s="12" t="str">
        <x:v>VinFast HTA Đàm Quang Trung</x:v>
      </x:c>
      <x:c r="E254" s="12" t="str">
        <x:v>VinFast</x:v>
      </x:c>
      <x:c r="F254" s="12" t="n">
        <x:v>1.13</x:v>
      </x:c>
      <x:c r="G254" s="34" t="n">
        <x:v>0.06161983083150579</x:v>
      </x:c>
      <x:c r="H254" s="34" t="n">
        <x:v>0.045</x:v>
      </x:c>
      <x:c r="I254" s="12" t="n">
        <x:v>1.06</x:v>
      </x:c>
      <x:c r="J254" s="12" t="n">
        <x:v>0.0188</x:v>
      </x:c>
      <x:c r="K254" s="12" t="str">
        <x:v>Commercial Director</x:v>
      </x:c>
      <x:c r="L254" s="12" t="str">
        <x:f>IF(G254&gt;H254,"BREACH","OK")</x:f>
        <x:v>BREACH</x:v>
      </x:c>
    </x:row>
    <x:row r="255">
      <x:c r="A255" s="12" t="str">
        <x:v>PRC-00254</x:v>
      </x:c>
      <x:c r="B255" s="18" t="n">
        <x:v>46213</x:v>
      </x:c>
      <x:c r="C255" s="12" t="str">
        <x:v>DLR-015</x:v>
      </x:c>
      <x:c r="D255" s="12" t="str">
        <x:v>VinFast HTA Văn Phú</x:v>
      </x:c>
      <x:c r="E255" s="12" t="str">
        <x:v>VinFast</x:v>
      </x:c>
      <x:c r="F255" s="12" t="n">
        <x:v>0.809</x:v>
      </x:c>
      <x:c r="G255" s="34" t="n">
        <x:v>0.050455613061462665</x:v>
      </x:c>
      <x:c r="H255" s="34" t="n">
        <x:v>0.045</x:v>
      </x:c>
      <x:c r="I255" s="12" t="n">
        <x:v>0.768</x:v>
      </x:c>
      <x:c r="J255" s="12" t="n">
        <x:v>0.0044</x:v>
      </x:c>
      <x:c r="K255" s="12" t="str">
        <x:v>Dealer Manager</x:v>
      </x:c>
      <x:c r="L255" s="12" t="str">
        <x:f>IF(G255&gt;H255,"BREACH","OK")</x:f>
        <x:v>BREACH</x:v>
      </x:c>
    </x:row>
    <x:row r="256">
      <x:c r="A256" s="12" t="str">
        <x:v>PRC-00255</x:v>
      </x:c>
      <x:c r="B256" s="18" t="n">
        <x:v>46222</x:v>
      </x:c>
      <x:c r="C256" s="12" t="str">
        <x:v>DLR-009</x:v>
      </x:c>
      <x:c r="D256" s="12" t="str">
        <x:v>VinFast HTA Đông Anh</x:v>
      </x:c>
      <x:c r="E256" s="12" t="str">
        <x:v>VinFast</x:v>
      </x:c>
      <x:c r="F256" s="12" t="n">
        <x:v>1.634</x:v>
      </x:c>
      <x:c r="G256" s="34" t="n">
        <x:v>0.017480585596949323</x:v>
      </x:c>
      <x:c r="H256" s="34" t="n">
        <x:v>0.03</x:v>
      </x:c>
      <x:c r="I256" s="12" t="n">
        <x:v>1.606</x:v>
      </x:c>
      <x:c r="J256" s="12" t="n">
        <x:v>0</x:v>
      </x:c>
      <x:c r="K256" s="12" t="str">
        <x:v>Dealer Manager</x:v>
      </x:c>
      <x:c r="L256" s="12" t="str">
        <x:f>IF(G256&gt;H256,"BREACH","OK")</x:f>
        <x:v>OK</x:v>
      </x:c>
    </x:row>
    <x:row r="257">
      <x:c r="A257" s="12" t="str">
        <x:v>PRC-00256</x:v>
      </x:c>
      <x:c r="B257" s="18" t="n">
        <x:v>46214</x:v>
      </x:c>
      <x:c r="C257" s="12" t="str">
        <x:v>DLR-005</x:v>
      </x:c>
      <x:c r="D257" s="12" t="str">
        <x:v>BYD HTA Tây Hồ</x:v>
      </x:c>
      <x:c r="E257" s="12" t="str">
        <x:v>BYD</x:v>
      </x:c>
      <x:c r="F257" s="12" t="n">
        <x:v>0.716</x:v>
      </x:c>
      <x:c r="G257" s="34" t="n">
        <x:v>0.06268253162972535</x:v>
      </x:c>
      <x:c r="H257" s="34" t="n">
        <x:v>0.04</x:v>
      </x:c>
      <x:c r="I257" s="12" t="n">
        <x:v>0.671</x:v>
      </x:c>
      <x:c r="J257" s="12" t="n">
        <x:v>0.0162</x:v>
      </x:c>
      <x:c r="K257" s="12" t="str">
        <x:v>Dealer Manager</x:v>
      </x:c>
      <x:c r="L257" s="12" t="str">
        <x:f>IF(G257&gt;H257,"BREACH","OK")</x:f>
        <x:v>BREACH</x:v>
      </x:c>
    </x:row>
    <x:row r="258">
      <x:c r="A258" s="12" t="str">
        <x:v>PRC-00257</x:v>
      </x:c>
      <x:c r="B258" s="18" t="n">
        <x:v>46209</x:v>
      </x:c>
      <x:c r="C258" s="12" t="str">
        <x:v>DLR-015</x:v>
      </x:c>
      <x:c r="D258" s="12" t="str">
        <x:v>VinFast HTA Văn Phú</x:v>
      </x:c>
      <x:c r="E258" s="12" t="str">
        <x:v>VinFast</x:v>
      </x:c>
      <x:c r="F258" s="12" t="n">
        <x:v>0.767</x:v>
      </x:c>
      <x:c r="G258" s="34" t="n">
        <x:v>0.0764570879227721</x:v>
      </x:c>
      <x:c r="H258" s="34" t="n">
        <x:v>0.05</x:v>
      </x:c>
      <x:c r="I258" s="12" t="n">
        <x:v>0.709</x:v>
      </x:c>
      <x:c r="J258" s="12" t="n">
        <x:v>0.0203</x:v>
      </x:c>
      <x:c r="K258" s="12" t="str">
        <x:v>Dealer Manager</x:v>
      </x:c>
      <x:c r="L258" s="12" t="str">
        <x:f>IF(G258&gt;H258,"BREACH","OK")</x:f>
        <x:v>BREACH</x:v>
      </x:c>
    </x:row>
    <x:row r="259">
      <x:c r="A259" s="12" t="str">
        <x:v>PRC-00258</x:v>
      </x:c>
      <x:c r="B259" s="18" t="n">
        <x:v>46222</x:v>
      </x:c>
      <x:c r="C259" s="12" t="str">
        <x:v>DLR-017</x:v>
      </x:c>
      <x:c r="D259" s="12" t="str">
        <x:v>VinFast Quốc Oai</x:v>
      </x:c>
      <x:c r="E259" s="12" t="str">
        <x:v>VinFast</x:v>
      </x:c>
      <x:c r="F259" s="12" t="n">
        <x:v>0.745</x:v>
      </x:c>
      <x:c r="G259" s="34" t="n">
        <x:v>0.056427550705435675</x:v>
      </x:c>
      <x:c r="H259" s="34" t="n">
        <x:v>0.05</x:v>
      </x:c>
      <x:c r="I259" s="12" t="n">
        <x:v>0.703</x:v>
      </x:c>
      <x:c r="J259" s="12" t="n">
        <x:v>0.0048</x:v>
      </x:c>
      <x:c r="K259" s="12" t="str">
        <x:v>Dealer Manager</x:v>
      </x:c>
      <x:c r="L259" s="12" t="str">
        <x:f>IF(G259&gt;H259,"BREACH","OK")</x:f>
        <x:v>BREACH</x:v>
      </x:c>
    </x:row>
    <x:row r="260">
      <x:c r="A260" s="12" t="str">
        <x:v>PRC-00259</x:v>
      </x:c>
      <x:c r="B260" s="18" t="n">
        <x:v>46208</x:v>
      </x:c>
      <x:c r="C260" s="12" t="str">
        <x:v>DLR-019</x:v>
      </x:c>
      <x:c r="D260" s="12" t="str">
        <x:v>OMODA &amp; JAECOO HTA Việt Trì</x:v>
      </x:c>
      <x:c r="E260" s="12" t="str">
        <x:v>OMODA &amp; JAECOO</x:v>
      </x:c>
      <x:c r="F260" s="12" t="n">
        <x:v>1.468</x:v>
      </x:c>
      <x:c r="G260" s="34" t="n">
        <x:v>0.060799487231335984</x:v>
      </x:c>
      <x:c r="H260" s="34" t="n">
        <x:v>0.03</x:v>
      </x:c>
      <x:c r="I260" s="12" t="n">
        <x:v>1.379</x:v>
      </x:c>
      <x:c r="J260" s="12" t="n">
        <x:v>0.0452</x:v>
      </x:c>
      <x:c r="K260" s="12" t="str">
        <x:v>Dealer Manager</x:v>
      </x:c>
      <x:c r="L260" s="12" t="str">
        <x:f>IF(G260&gt;H260,"BREACH","OK")</x:f>
        <x:v>BREACH</x:v>
      </x:c>
    </x:row>
    <x:row r="261">
      <x:c r="A261" s="12" t="str">
        <x:v>PRC-00260</x:v>
      </x:c>
      <x:c r="B261" s="18" t="n">
        <x:v>46208</x:v>
      </x:c>
      <x:c r="C261" s="12" t="str">
        <x:v>DLR-019</x:v>
      </x:c>
      <x:c r="D261" s="12" t="str">
        <x:v>OMODA &amp; JAECOO HTA Việt Trì</x:v>
      </x:c>
      <x:c r="E261" s="12" t="str">
        <x:v>OMODA &amp; JAECOO</x:v>
      </x:c>
      <x:c r="F261" s="12" t="n">
        <x:v>0.877</x:v>
      </x:c>
      <x:c r="G261" s="34" t="n">
        <x:v>0.018921808135409317</x:v>
      </x:c>
      <x:c r="H261" s="34" t="n">
        <x:v>0.03</x:v>
      </x:c>
      <x:c r="I261" s="12" t="n">
        <x:v>0.86</x:v>
      </x:c>
      <x:c r="J261" s="12" t="n">
        <x:v>0</x:v>
      </x:c>
      <x:c r="K261" s="12" t="str">
        <x:v>Dealer Manager</x:v>
      </x:c>
      <x:c r="L261" s="12" t="str">
        <x:f>IF(G261&gt;H261,"BREACH","OK")</x:f>
        <x:v>OK</x:v>
      </x:c>
    </x:row>
    <x:row r="262">
      <x:c r="A262" s="12" t="str">
        <x:v>PRC-00261</x:v>
      </x:c>
      <x:c r="B262" s="18" t="n">
        <x:v>46221</x:v>
      </x:c>
      <x:c r="C262" s="12" t="str">
        <x:v>DLR-012</x:v>
      </x:c>
      <x:c r="D262" s="12" t="str">
        <x:v>VinFast HTA Võ Chí Công</x:v>
      </x:c>
      <x:c r="E262" s="12" t="str">
        <x:v>VinFast</x:v>
      </x:c>
      <x:c r="F262" s="12" t="n">
        <x:v>0.823</x:v>
      </x:c>
      <x:c r="G262" s="34" t="n">
        <x:v>0.06004344699298781</x:v>
      </x:c>
      <x:c r="H262" s="34" t="n">
        <x:v>0.03</x:v>
      </x:c>
      <x:c r="I262" s="12" t="n">
        <x:v>0.774</x:v>
      </x:c>
      <x:c r="J262" s="12" t="n">
        <x:v>0.0247</x:v>
      </x:c>
      <x:c r="K262" s="12" t="str">
        <x:v>Commercial Director</x:v>
      </x:c>
      <x:c r="L262" s="12" t="str">
        <x:f>IF(G262&gt;H262,"BREACH","OK")</x:f>
        <x:v>BREACH</x:v>
      </x:c>
    </x:row>
    <x:row r="263">
      <x:c r="A263" s="12" t="str">
        <x:v>PRC-00262</x:v>
      </x:c>
      <x:c r="B263" s="18" t="n">
        <x:v>46207</x:v>
      </x:c>
      <x:c r="C263" s="12" t="str">
        <x:v>DLR-006</x:v>
      </x:c>
      <x:c r="D263" s="12" t="str">
        <x:v>BYD HTA Hoàn Kiếm</x:v>
      </x:c>
      <x:c r="E263" s="12" t="str">
        <x:v>BYD</x:v>
      </x:c>
      <x:c r="F263" s="12" t="n">
        <x:v>0.663</x:v>
      </x:c>
      <x:c r="G263" s="34" t="n">
        <x:v>0.07897579795328116</x:v>
      </x:c>
      <x:c r="H263" s="34" t="n">
        <x:v>0.04</x:v>
      </x:c>
      <x:c r="I263" s="12" t="n">
        <x:v>0.61</x:v>
      </x:c>
      <x:c r="J263" s="12" t="n">
        <x:v>0.0258</x:v>
      </x:c>
      <x:c r="K263" s="12" t="str">
        <x:v>Dealer Manager</x:v>
      </x:c>
      <x:c r="L263" s="12" t="str">
        <x:f>IF(G263&gt;H263,"BREACH","OK")</x:f>
        <x:v>BREACH</x:v>
      </x:c>
    </x:row>
    <x:row r="264">
      <x:c r="A264" s="12" t="str">
        <x:v>PRC-00263</x:v>
      </x:c>
      <x:c r="B264" s="18" t="n">
        <x:v>46204</x:v>
      </x:c>
      <x:c r="C264" s="12" t="str">
        <x:v>DLR-010</x:v>
      </x:c>
      <x:c r="D264" s="12" t="str">
        <x:v>VinFast HTA Đàm Quang Trung</x:v>
      </x:c>
      <x:c r="E264" s="12" t="str">
        <x:v>VinFast</x:v>
      </x:c>
      <x:c r="F264" s="12" t="n">
        <x:v>1.085</x:v>
      </x:c>
      <x:c r="G264" s="34" t="n">
        <x:v>0.0341688794910123</x:v>
      </x:c>
      <x:c r="H264" s="34" t="n">
        <x:v>0.04</x:v>
      </x:c>
      <x:c r="I264" s="12" t="n">
        <x:v>1.048</x:v>
      </x:c>
      <x:c r="J264" s="12" t="n">
        <x:v>0</x:v>
      </x:c>
      <x:c r="K264" s="12" t="str">
        <x:v>Dealer Manager</x:v>
      </x:c>
      <x:c r="L264" s="12" t="str">
        <x:f>IF(G264&gt;H264,"BREACH","OK")</x:f>
        <x:v>OK</x:v>
      </x:c>
    </x:row>
    <x:row r="265">
      <x:c r="A265" s="12" t="str">
        <x:v>PRC-00264</x:v>
      </x:c>
      <x:c r="B265" s="18" t="n">
        <x:v>46218</x:v>
      </x:c>
      <x:c r="C265" s="12" t="str">
        <x:v>DLR-002</x:v>
      </x:c>
      <x:c r="D265" s="12" t="str">
        <x:v>Hà Thành Ford - Mỹ Đình</x:v>
      </x:c>
      <x:c r="E265" s="12" t="str">
        <x:v>Ford</x:v>
      </x:c>
      <x:c r="F265" s="12" t="n">
        <x:v>0.839</x:v>
      </x:c>
      <x:c r="G265" s="34" t="n">
        <x:v>0.013590701654024245</x:v>
      </x:c>
      <x:c r="H265" s="34" t="n">
        <x:v>0.05</x:v>
      </x:c>
      <x:c r="I265" s="12" t="n">
        <x:v>0.827</x:v>
      </x:c>
      <x:c r="J265" s="12" t="n">
        <x:v>0</x:v>
      </x:c>
      <x:c r="K265" s="12" t="str">
        <x:v>Commercial Director</x:v>
      </x:c>
      <x:c r="L265" s="12" t="str">
        <x:f>IF(G265&gt;H265,"BREACH","OK")</x:f>
        <x:v>OK</x:v>
      </x:c>
    </x:row>
    <x:row r="266">
      <x:c r="A266" s="12" t="str">
        <x:v>PRC-00265</x:v>
      </x:c>
      <x:c r="B266" s="18" t="n">
        <x:v>46208</x:v>
      </x:c>
      <x:c r="C266" s="12" t="str">
        <x:v>DLR-006</x:v>
      </x:c>
      <x:c r="D266" s="12" t="str">
        <x:v>BYD HTA Hoàn Kiếm</x:v>
      </x:c>
      <x:c r="E266" s="12" t="str">
        <x:v>BYD</x:v>
      </x:c>
      <x:c r="F266" s="12" t="n">
        <x:v>1.587</x:v>
      </x:c>
      <x:c r="G266" s="34" t="n">
        <x:v>0.06787500440987074</x:v>
      </x:c>
      <x:c r="H266" s="34" t="n">
        <x:v>0.03</x:v>
      </x:c>
      <x:c r="I266" s="12" t="n">
        <x:v>1.479</x:v>
      </x:c>
      <x:c r="J266" s="12" t="n">
        <x:v>0.0601</x:v>
      </x:c>
      <x:c r="K266" s="12" t="str">
        <x:v>Brand Director</x:v>
      </x:c>
      <x:c r="L266" s="12" t="str">
        <x:f>IF(G266&gt;H266,"BREACH","OK")</x:f>
        <x:v>BREACH</x:v>
      </x:c>
    </x:row>
    <x:row r="267">
      <x:c r="A267" s="12" t="str">
        <x:v>PRC-00266</x:v>
      </x:c>
      <x:c r="B267" s="18" t="n">
        <x:v>46204</x:v>
      </x:c>
      <x:c r="C267" s="12" t="str">
        <x:v>DLR-017</x:v>
      </x:c>
      <x:c r="D267" s="12" t="str">
        <x:v>VinFast Quốc Oai</x:v>
      </x:c>
      <x:c r="E267" s="12" t="str">
        <x:v>VinFast</x:v>
      </x:c>
      <x:c r="F267" s="12" t="n">
        <x:v>1.548</x:v>
      </x:c>
      <x:c r="G267" s="34" t="n">
        <x:v>0.0280975516321176</x:v>
      </x:c>
      <x:c r="H267" s="34" t="n">
        <x:v>0.05</x:v>
      </x:c>
      <x:c r="I267" s="12" t="n">
        <x:v>1.505</x:v>
      </x:c>
      <x:c r="J267" s="12" t="n">
        <x:v>0</x:v>
      </x:c>
      <x:c r="K267" s="12" t="str">
        <x:v>Brand Director</x:v>
      </x:c>
      <x:c r="L267" s="12" t="str">
        <x:f>IF(G267&gt;H267,"BREACH","OK")</x:f>
        <x:v>OK</x:v>
      </x:c>
    </x:row>
    <x:row r="268">
      <x:c r="A268" s="12" t="str">
        <x:v>PRC-00267</x:v>
      </x:c>
      <x:c r="B268" s="18" t="n">
        <x:v>46205</x:v>
      </x:c>
      <x:c r="C268" s="12" t="str">
        <x:v>DLR-015</x:v>
      </x:c>
      <x:c r="D268" s="12" t="str">
        <x:v>VinFast HTA Văn Phú</x:v>
      </x:c>
      <x:c r="E268" s="12" t="str">
        <x:v>VinFast</x:v>
      </x:c>
      <x:c r="F268" s="12" t="n">
        <x:v>0.525</x:v>
      </x:c>
      <x:c r="G268" s="34" t="n">
        <x:v>0.0764596987270479</x:v>
      </x:c>
      <x:c r="H268" s="34" t="n">
        <x:v>0.045</x:v>
      </x:c>
      <x:c r="I268" s="12" t="n">
        <x:v>0.484</x:v>
      </x:c>
      <x:c r="J268" s="12" t="n">
        <x:v>0.0165</x:v>
      </x:c>
      <x:c r="K268" s="12" t="str">
        <x:v>Brand Director</x:v>
      </x:c>
      <x:c r="L268" s="12" t="str">
        <x:f>IF(G268&gt;H268,"BREACH","OK")</x:f>
        <x:v>BREACH</x:v>
      </x:c>
    </x:row>
    <x:row r="269">
      <x:c r="A269" s="12" t="str">
        <x:v>PRC-00268</x:v>
      </x:c>
      <x:c r="B269" s="18" t="n">
        <x:v>46215</x:v>
      </x:c>
      <x:c r="C269" s="12" t="str">
        <x:v>DLR-004</x:v>
      </x:c>
      <x:c r="D269" s="12" t="str">
        <x:v>Việt Trì Ford</x:v>
      </x:c>
      <x:c r="E269" s="12" t="str">
        <x:v>Ford</x:v>
      </x:c>
      <x:c r="F269" s="12" t="n">
        <x:v>0.707</x:v>
      </x:c>
      <x:c r="G269" s="34" t="n">
        <x:v>0.06584727093232011</x:v>
      </x:c>
      <x:c r="H269" s="34" t="n">
        <x:v>0.03</x:v>
      </x:c>
      <x:c r="I269" s="12" t="n">
        <x:v>0.661</x:v>
      </x:c>
      <x:c r="J269" s="12" t="n">
        <x:v>0.0253</x:v>
      </x:c>
      <x:c r="K269" s="12" t="str">
        <x:v>Dealer Manager</x:v>
      </x:c>
      <x:c r="L269" s="12" t="str">
        <x:f>IF(G269&gt;H269,"BREACH","OK")</x:f>
        <x:v>BREACH</x:v>
      </x:c>
    </x:row>
    <x:row r="270">
      <x:c r="A270" s="12" t="str">
        <x:v>PRC-00269</x:v>
      </x:c>
      <x:c r="B270" s="18" t="n">
        <x:v>46208</x:v>
      </x:c>
      <x:c r="C270" s="12" t="str">
        <x:v>DLR-010</x:v>
      </x:c>
      <x:c r="D270" s="12" t="str">
        <x:v>VinFast HTA Đàm Quang Trung</x:v>
      </x:c>
      <x:c r="E270" s="12" t="str">
        <x:v>VinFast</x:v>
      </x:c>
      <x:c r="F270" s="12" t="n">
        <x:v>1.522</x:v>
      </x:c>
      <x:c r="G270" s="34" t="n">
        <x:v>0.06060564646317488</x:v>
      </x:c>
      <x:c r="H270" s="34" t="n">
        <x:v>0.05</x:v>
      </x:c>
      <x:c r="I270" s="12" t="n">
        <x:v>1.429</x:v>
      </x:c>
      <x:c r="J270" s="12" t="n">
        <x:v>0.0161</x:v>
      </x:c>
      <x:c r="K270" s="12" t="str">
        <x:v>Commercial Director</x:v>
      </x:c>
      <x:c r="L270" s="12" t="str">
        <x:f>IF(G270&gt;H270,"BREACH","OK")</x:f>
        <x:v>BREACH</x:v>
      </x:c>
    </x:row>
    <x:row r="271">
      <x:c r="A271" s="12" t="str">
        <x:v>PRC-00270</x:v>
      </x:c>
      <x:c r="B271" s="18" t="n">
        <x:v>46219</x:v>
      </x:c>
      <x:c r="C271" s="12" t="str">
        <x:v>DLR-014</x:v>
      </x:c>
      <x:c r="D271" s="12" t="str">
        <x:v>VinFast HTA Nam Từ Liêm</x:v>
      </x:c>
      <x:c r="E271" s="12" t="str">
        <x:v>VinFast</x:v>
      </x:c>
      <x:c r="F271" s="12" t="n">
        <x:v>1.244</x:v>
      </x:c>
      <x:c r="G271" s="34" t="n">
        <x:v>0.012660541546593775</x:v>
      </x:c>
      <x:c r="H271" s="34" t="n">
        <x:v>0.05</x:v>
      </x:c>
      <x:c r="I271" s="12" t="n">
        <x:v>1.228</x:v>
      </x:c>
      <x:c r="J271" s="12" t="n">
        <x:v>0</x:v>
      </x:c>
      <x:c r="K271" s="12" t="str">
        <x:v>Commercial Director</x:v>
      </x:c>
      <x:c r="L271" s="12" t="str">
        <x:f>IF(G271&gt;H271,"BREACH","OK")</x:f>
        <x:v>OK</x:v>
      </x:c>
    </x:row>
    <x:row r="272">
      <x:c r="A272" s="12" t="str">
        <x:v>PRC-00271</x:v>
      </x:c>
      <x:c r="B272" s="18" t="n">
        <x:v>46216</x:v>
      </x:c>
      <x:c r="C272" s="12" t="str">
        <x:v>DLR-013</x:v>
      </x:c>
      <x:c r="D272" s="12" t="str">
        <x:v>VinFast HTA Ninh Bình</x:v>
      </x:c>
      <x:c r="E272" s="12" t="str">
        <x:v>VinFast</x:v>
      </x:c>
      <x:c r="F272" s="12" t="n">
        <x:v>0.498</x:v>
      </x:c>
      <x:c r="G272" s="34" t="n">
        <x:v>0.016653497379170157</x:v>
      </x:c>
      <x:c r="H272" s="34" t="n">
        <x:v>0.045</x:v>
      </x:c>
      <x:c r="I272" s="12" t="n">
        <x:v>0.49</x:v>
      </x:c>
      <x:c r="J272" s="12" t="n">
        <x:v>0</x:v>
      </x:c>
      <x:c r="K272" s="12" t="str">
        <x:v>Dealer Manager</x:v>
      </x:c>
      <x:c r="L272" s="12" t="str">
        <x:f>IF(G272&gt;H272,"BREACH","OK")</x:f>
        <x:v>OK</x:v>
      </x:c>
    </x:row>
    <x:row r="273">
      <x:c r="A273" s="12" t="str">
        <x:v>PRC-00272</x:v>
      </x:c>
      <x:c r="B273" s="18" t="n">
        <x:v>46206</x:v>
      </x:c>
      <x:c r="C273" s="12" t="str">
        <x:v>DLR-003</x:v>
      </x:c>
      <x:c r="D273" s="12" t="str">
        <x:v>Mỹ Đình Ford</x:v>
      </x:c>
      <x:c r="E273" s="12" t="str">
        <x:v>Ford</x:v>
      </x:c>
      <x:c r="F273" s="12" t="n">
        <x:v>1.025</x:v>
      </x:c>
      <x:c r="G273" s="34" t="n">
        <x:v>0.043429968830635005</x:v>
      </x:c>
      <x:c r="H273" s="34" t="n">
        <x:v>0.03</x:v>
      </x:c>
      <x:c r="I273" s="12" t="n">
        <x:v>0.98</x:v>
      </x:c>
      <x:c r="J273" s="12" t="n">
        <x:v>0.0138</x:v>
      </x:c>
      <x:c r="K273" s="12" t="str">
        <x:v>Dealer Manager</x:v>
      </x:c>
      <x:c r="L273" s="12" t="str">
        <x:f>IF(G273&gt;H273,"BREACH","OK")</x:f>
        <x:v>BREACH</x:v>
      </x:c>
    </x:row>
    <x:row r="274">
      <x:c r="A274" s="12" t="str">
        <x:v>PRC-00273</x:v>
      </x:c>
      <x:c r="B274" s="18" t="n">
        <x:v>46212</x:v>
      </x:c>
      <x:c r="C274" s="12" t="str">
        <x:v>DLR-019</x:v>
      </x:c>
      <x:c r="D274" s="12" t="str">
        <x:v>OMODA &amp; JAECOO HTA Việt Trì</x:v>
      </x:c>
      <x:c r="E274" s="12" t="str">
        <x:v>OMODA &amp; JAECOO</x:v>
      </x:c>
      <x:c r="F274" s="12" t="n">
        <x:v>1.096</x:v>
      </x:c>
      <x:c r="G274" s="34" t="n">
        <x:v>0.029759891079497128</x:v>
      </x:c>
      <x:c r="H274" s="34" t="n">
        <x:v>0.03</x:v>
      </x:c>
      <x:c r="I274" s="12" t="n">
        <x:v>1.064</x:v>
      </x:c>
      <x:c r="J274" s="12" t="n">
        <x:v>0</x:v>
      </x:c>
      <x:c r="K274" s="12" t="str">
        <x:v>Brand Director</x:v>
      </x:c>
      <x:c r="L274" s="12" t="str">
        <x:f>IF(G274&gt;H274,"BREACH","OK")</x:f>
        <x:v>OK</x:v>
      </x:c>
    </x:row>
    <x:row r="275">
      <x:c r="A275" s="12" t="str">
        <x:v>PRC-00274</x:v>
      </x:c>
      <x:c r="B275" s="18" t="n">
        <x:v>46207</x:v>
      </x:c>
      <x:c r="C275" s="12" t="str">
        <x:v>DLR-005</x:v>
      </x:c>
      <x:c r="D275" s="12" t="str">
        <x:v>BYD HTA Tây Hồ</x:v>
      </x:c>
      <x:c r="E275" s="12" t="str">
        <x:v>BYD</x:v>
      </x:c>
      <x:c r="F275" s="12" t="n">
        <x:v>0.981</x:v>
      </x:c>
      <x:c r="G275" s="34" t="n">
        <x:v>0.032395121891633245</x:v>
      </x:c>
      <x:c r="H275" s="34" t="n">
        <x:v>0.045</x:v>
      </x:c>
      <x:c r="I275" s="12" t="n">
        <x:v>0.949</x:v>
      </x:c>
      <x:c r="J275" s="12" t="n">
        <x:v>0</x:v>
      </x:c>
      <x:c r="K275" s="12" t="str">
        <x:v>Commercial Director</x:v>
      </x:c>
      <x:c r="L275" s="12" t="str">
        <x:f>IF(G275&gt;H275,"BREACH","OK")</x:f>
        <x:v>OK</x:v>
      </x:c>
    </x:row>
    <x:row r="276">
      <x:c r="A276" s="12" t="str">
        <x:v>PRC-00275</x:v>
      </x:c>
      <x:c r="B276" s="18" t="n">
        <x:v>46215</x:v>
      </x:c>
      <x:c r="C276" s="12" t="str">
        <x:v>DLR-004</x:v>
      </x:c>
      <x:c r="D276" s="12" t="str">
        <x:v>Việt Trì Ford</x:v>
      </x:c>
      <x:c r="E276" s="12" t="str">
        <x:v>Ford</x:v>
      </x:c>
      <x:c r="F276" s="12" t="n">
        <x:v>0.567</x:v>
      </x:c>
      <x:c r="G276" s="34" t="n">
        <x:v>0.022125252674001714</x:v>
      </x:c>
      <x:c r="H276" s="34" t="n">
        <x:v>0.03</x:v>
      </x:c>
      <x:c r="I276" s="12" t="n">
        <x:v>0.554</x:v>
      </x:c>
      <x:c r="J276" s="12" t="n">
        <x:v>0</x:v>
      </x:c>
      <x:c r="K276" s="12" t="str">
        <x:v>Commercial Director</x:v>
      </x:c>
      <x:c r="L276" s="12" t="str">
        <x:f>IF(G276&gt;H276,"BREACH","OK")</x:f>
        <x:v>OK</x:v>
      </x:c>
    </x:row>
    <x:row r="277">
      <x:c r="A277" s="12" t="str">
        <x:v>PRC-00276</x:v>
      </x:c>
      <x:c r="B277" s="18" t="n">
        <x:v>46220</x:v>
      </x:c>
      <x:c r="C277" s="12" t="str">
        <x:v>DLR-013</x:v>
      </x:c>
      <x:c r="D277" s="12" t="str">
        <x:v>VinFast HTA Ninh Bình</x:v>
      </x:c>
      <x:c r="E277" s="12" t="str">
        <x:v>VinFast</x:v>
      </x:c>
      <x:c r="F277" s="12" t="n">
        <x:v>1.43</x:v>
      </x:c>
      <x:c r="G277" s="34" t="n">
        <x:v>0.03591088709716815</x:v>
      </x:c>
      <x:c r="H277" s="34" t="n">
        <x:v>0.03</x:v>
      </x:c>
      <x:c r="I277" s="12" t="n">
        <x:v>1.379</x:v>
      </x:c>
      <x:c r="J277" s="12" t="n">
        <x:v>0.0085</x:v>
      </x:c>
      <x:c r="K277" s="12" t="str">
        <x:v>Dealer Manager</x:v>
      </x:c>
      <x:c r="L277" s="12" t="str">
        <x:f>IF(G277&gt;H277,"BREACH","OK")</x:f>
        <x:v>BREACH</x:v>
      </x:c>
    </x:row>
    <x:row r="278">
      <x:c r="A278" s="12" t="str">
        <x:v>PRC-00277</x:v>
      </x:c>
      <x:c r="B278" s="18" t="n">
        <x:v>46215</x:v>
      </x:c>
      <x:c r="C278" s="12" t="str">
        <x:v>DLR-015</x:v>
      </x:c>
      <x:c r="D278" s="12" t="str">
        <x:v>VinFast HTA Văn Phú</x:v>
      </x:c>
      <x:c r="E278" s="12" t="str">
        <x:v>VinFast</x:v>
      </x:c>
      <x:c r="F278" s="12" t="n">
        <x:v>0.987</x:v>
      </x:c>
      <x:c r="G278" s="34" t="n">
        <x:v>0.034369586108677914</x:v>
      </x:c>
      <x:c r="H278" s="34" t="n">
        <x:v>0.04</x:v>
      </x:c>
      <x:c r="I278" s="12" t="n">
        <x:v>0.953</x:v>
      </x:c>
      <x:c r="J278" s="12" t="n">
        <x:v>0</x:v>
      </x:c>
      <x:c r="K278" s="12" t="str">
        <x:v>Brand Director</x:v>
      </x:c>
      <x:c r="L278" s="12" t="str">
        <x:f>IF(G278&gt;H278,"BREACH","OK")</x:f>
        <x:v>OK</x:v>
      </x:c>
    </x:row>
    <x:row r="279">
      <x:c r="A279" s="12" t="str">
        <x:v>PRC-00278</x:v>
      </x:c>
      <x:c r="B279" s="18" t="n">
        <x:v>46204</x:v>
      </x:c>
      <x:c r="C279" s="12" t="str">
        <x:v>DLR-005</x:v>
      </x:c>
      <x:c r="D279" s="12" t="str">
        <x:v>BYD HTA Tây Hồ</x:v>
      </x:c>
      <x:c r="E279" s="12" t="str">
        <x:v>BYD</x:v>
      </x:c>
      <x:c r="F279" s="12" t="n">
        <x:v>1.541</x:v>
      </x:c>
      <x:c r="G279" s="34" t="n">
        <x:v>0.047777353137915</x:v>
      </x:c>
      <x:c r="H279" s="34" t="n">
        <x:v>0.05</x:v>
      </x:c>
      <x:c r="I279" s="12" t="n">
        <x:v>1.467</x:v>
      </x:c>
      <x:c r="J279" s="12" t="n">
        <x:v>0</x:v>
      </x:c>
      <x:c r="K279" s="12" t="str">
        <x:v>Dealer Manager</x:v>
      </x:c>
      <x:c r="L279" s="12" t="str">
        <x:f>IF(G279&gt;H279,"BREACH","OK")</x:f>
        <x:v>OK</x:v>
      </x:c>
    </x:row>
    <x:row r="280">
      <x:c r="A280" s="12" t="str">
        <x:v>PRC-00279</x:v>
      </x:c>
      <x:c r="B280" s="18" t="n">
        <x:v>46220</x:v>
      </x:c>
      <x:c r="C280" s="12" t="str">
        <x:v>DLR-010</x:v>
      </x:c>
      <x:c r="D280" s="12" t="str">
        <x:v>VinFast HTA Đàm Quang Trung</x:v>
      </x:c>
      <x:c r="E280" s="12" t="str">
        <x:v>VinFast</x:v>
      </x:c>
      <x:c r="F280" s="12" t="n">
        <x:v>1.011</x:v>
      </x:c>
      <x:c r="G280" s="34" t="n">
        <x:v>0.02500184895116765</x:v>
      </x:c>
      <x:c r="H280" s="34" t="n">
        <x:v>0.05</x:v>
      </x:c>
      <x:c r="I280" s="12" t="n">
        <x:v>0.986</x:v>
      </x:c>
      <x:c r="J280" s="12" t="n">
        <x:v>0</x:v>
      </x:c>
      <x:c r="K280" s="12" t="str">
        <x:v>Brand Director</x:v>
      </x:c>
      <x:c r="L280" s="12" t="str">
        <x:f>IF(G280&gt;H280,"BREACH","OK")</x:f>
        <x:v>OK</x:v>
      </x:c>
    </x:row>
    <x:row r="281">
      <x:c r="A281" s="12" t="str">
        <x:v>PRC-00280</x:v>
      </x:c>
      <x:c r="B281" s="18" t="n">
        <x:v>46219</x:v>
      </x:c>
      <x:c r="C281" s="12" t="str">
        <x:v>DLR-007</x:v>
      </x:c>
      <x:c r="D281" s="12" t="str">
        <x:v>BYD Hà Đông</x:v>
      </x:c>
      <x:c r="E281" s="12" t="str">
        <x:v>BYD</x:v>
      </x:c>
      <x:c r="F281" s="12" t="n">
        <x:v>0.822</x:v>
      </x:c>
      <x:c r="G281" s="34" t="n">
        <x:v>0.04565912033125876</x:v>
      </x:c>
      <x:c r="H281" s="34" t="n">
        <x:v>0.03</x:v>
      </x:c>
      <x:c r="I281" s="12" t="n">
        <x:v>0.785</x:v>
      </x:c>
      <x:c r="J281" s="12" t="n">
        <x:v>0.0129</x:v>
      </x:c>
      <x:c r="K281" s="12" t="str">
        <x:v>Brand Director</x:v>
      </x:c>
      <x:c r="L281" s="12" t="str">
        <x:f>IF(G281&gt;H281,"BREACH","OK")</x:f>
        <x:v>BREACH</x:v>
      </x:c>
    </x:row>
    <x:row r="282">
      <x:c r="A282" s="12" t="str">
        <x:v>PRC-00281</x:v>
      </x:c>
      <x:c r="B282" s="18" t="n">
        <x:v>46219</x:v>
      </x:c>
      <x:c r="C282" s="12" t="str">
        <x:v>DLR-002</x:v>
      </x:c>
      <x:c r="D282" s="12" t="str">
        <x:v>Hà Thành Ford - Mỹ Đình</x:v>
      </x:c>
      <x:c r="E282" s="12" t="str">
        <x:v>Ford</x:v>
      </x:c>
      <x:c r="F282" s="12" t="n">
        <x:v>1.662</x:v>
      </x:c>
      <x:c r="G282" s="34" t="n">
        <x:v>0.03556571128186034</x:v>
      </x:c>
      <x:c r="H282" s="34" t="n">
        <x:v>0.03</x:v>
      </x:c>
      <x:c r="I282" s="12" t="n">
        <x:v>1.602</x:v>
      </x:c>
      <x:c r="J282" s="12" t="n">
        <x:v>0.0092</x:v>
      </x:c>
      <x:c r="K282" s="12" t="str">
        <x:v>Dealer Manager</x:v>
      </x:c>
      <x:c r="L282" s="12" t="str">
        <x:f>IF(G282&gt;H282,"BREACH","OK")</x:f>
        <x:v>BREACH</x:v>
      </x:c>
    </x:row>
    <x:row r="283">
      <x:c r="A283" s="12" t="str">
        <x:v>PRC-00282</x:v>
      </x:c>
      <x:c r="B283" s="18" t="n">
        <x:v>46205</x:v>
      </x:c>
      <x:c r="C283" s="12" t="str">
        <x:v>DLR-010</x:v>
      </x:c>
      <x:c r="D283" s="12" t="str">
        <x:v>VinFast HTA Đàm Quang Trung</x:v>
      </x:c>
      <x:c r="E283" s="12" t="str">
        <x:v>VinFast</x:v>
      </x:c>
      <x:c r="F283" s="12" t="n">
        <x:v>1.575</x:v>
      </x:c>
      <x:c r="G283" s="34" t="n">
        <x:v>0.07931080781740575</x:v>
      </x:c>
      <x:c r="H283" s="34" t="n">
        <x:v>0.045</x:v>
      </x:c>
      <x:c r="I283" s="12" t="n">
        <x:v>1.45</x:v>
      </x:c>
      <x:c r="J283" s="12" t="n">
        <x:v>0.054</x:v>
      </x:c>
      <x:c r="K283" s="12" t="str">
        <x:v>Dealer Manager</x:v>
      </x:c>
      <x:c r="L283" s="12" t="str">
        <x:f>IF(G283&gt;H283,"BREACH","OK")</x:f>
        <x:v>BREACH</x:v>
      </x:c>
    </x:row>
    <x:row r="284">
      <x:c r="A284" s="12" t="str">
        <x:v>PRC-00283</x:v>
      </x:c>
      <x:c r="B284" s="18" t="n">
        <x:v>46208</x:v>
      </x:c>
      <x:c r="C284" s="12" t="str">
        <x:v>DLR-009</x:v>
      </x:c>
      <x:c r="D284" s="12" t="str">
        <x:v>VinFast HTA Đông Anh</x:v>
      </x:c>
      <x:c r="E284" s="12" t="str">
        <x:v>VinFast</x:v>
      </x:c>
      <x:c r="F284" s="12" t="n">
        <x:v>0.483</x:v>
      </x:c>
      <x:c r="G284" s="34" t="n">
        <x:v>0.02680985381113487</x:v>
      </x:c>
      <x:c r="H284" s="34" t="n">
        <x:v>0.03</x:v>
      </x:c>
      <x:c r="I284" s="12" t="n">
        <x:v>0.47</x:v>
      </x:c>
      <x:c r="J284" s="12" t="n">
        <x:v>0</x:v>
      </x:c>
      <x:c r="K284" s="12" t="str">
        <x:v>Dealer Manager</x:v>
      </x:c>
      <x:c r="L284" s="12" t="str">
        <x:f>IF(G284&gt;H284,"BREACH","OK")</x:f>
        <x:v>OK</x:v>
      </x:c>
    </x:row>
    <x:row r="285">
      <x:c r="A285" s="12" t="str">
        <x:v>PRC-00284</x:v>
      </x:c>
      <x:c r="B285" s="18" t="n">
        <x:v>46224</x:v>
      </x:c>
      <x:c r="C285" s="12" t="str">
        <x:v>DLR-015</x:v>
      </x:c>
      <x:c r="D285" s="12" t="str">
        <x:v>VinFast HTA Văn Phú</x:v>
      </x:c>
      <x:c r="E285" s="12" t="str">
        <x:v>VinFast</x:v>
      </x:c>
      <x:c r="F285" s="12" t="n">
        <x:v>1.556</x:v>
      </x:c>
      <x:c r="G285" s="34" t="n">
        <x:v>0.03400439980508093</x:v>
      </x:c>
      <x:c r="H285" s="34" t="n">
        <x:v>0.045</x:v>
      </x:c>
      <x:c r="I285" s="12" t="n">
        <x:v>1.503</x:v>
      </x:c>
      <x:c r="J285" s="12" t="n">
        <x:v>0</x:v>
      </x:c>
      <x:c r="K285" s="12" t="str">
        <x:v>Commercial Director</x:v>
      </x:c>
      <x:c r="L285" s="12" t="str">
        <x:f>IF(G285&gt;H285,"BREACH","OK")</x:f>
        <x:v>OK</x:v>
      </x:c>
    </x:row>
    <x:row r="286">
      <x:c r="A286" s="12" t="str">
        <x:v>PRC-00285</x:v>
      </x:c>
      <x:c r="B286" s="18" t="n">
        <x:v>46219</x:v>
      </x:c>
      <x:c r="C286" s="12" t="str">
        <x:v>DLR-003</x:v>
      </x:c>
      <x:c r="D286" s="12" t="str">
        <x:v>Mỹ Đình Ford</x:v>
      </x:c>
      <x:c r="E286" s="12" t="str">
        <x:v>Ford</x:v>
      </x:c>
      <x:c r="F286" s="12" t="n">
        <x:v>0.553</x:v>
      </x:c>
      <x:c r="G286" s="34" t="n">
        <x:v>0.055529210195821015</x:v>
      </x:c>
      <x:c r="H286" s="34" t="n">
        <x:v>0.03</x:v>
      </x:c>
      <x:c r="I286" s="12" t="n">
        <x:v>0.522</x:v>
      </x:c>
      <x:c r="J286" s="12" t="n">
        <x:v>0.0141</x:v>
      </x:c>
      <x:c r="K286" s="12" t="str">
        <x:v>Dealer Manager</x:v>
      </x:c>
      <x:c r="L286" s="12" t="str">
        <x:f>IF(G286&gt;H286,"BREACH","OK")</x:f>
        <x:v>BREACH</x:v>
      </x:c>
    </x:row>
    <x:row r="287">
      <x:c r="A287" s="12" t="str">
        <x:v>PRC-00286</x:v>
      </x:c>
      <x:c r="B287" s="18" t="n">
        <x:v>46213</x:v>
      </x:c>
      <x:c r="C287" s="12" t="str">
        <x:v>DLR-002</x:v>
      </x:c>
      <x:c r="D287" s="12" t="str">
        <x:v>Hà Thành Ford - Mỹ Đình</x:v>
      </x:c>
      <x:c r="E287" s="12" t="str">
        <x:v>Ford</x:v>
      </x:c>
      <x:c r="F287" s="12" t="n">
        <x:v>1.509</x:v>
      </x:c>
      <x:c r="G287" s="34" t="n">
        <x:v>0.059807256967538504</x:v>
      </x:c>
      <x:c r="H287" s="34" t="n">
        <x:v>0.05</x:v>
      </x:c>
      <x:c r="I287" s="12" t="n">
        <x:v>1.419</x:v>
      </x:c>
      <x:c r="J287" s="12" t="n">
        <x:v>0.0148</x:v>
      </x:c>
      <x:c r="K287" s="12" t="str">
        <x:v>Brand Director</x:v>
      </x:c>
      <x:c r="L287" s="12" t="str">
        <x:f>IF(G287&gt;H287,"BREACH","OK")</x:f>
        <x:v>BREACH</x:v>
      </x:c>
    </x:row>
    <x:row r="288">
      <x:c r="A288" s="12" t="str">
        <x:v>PRC-00287</x:v>
      </x:c>
      <x:c r="B288" s="18" t="n">
        <x:v>46211</x:v>
      </x:c>
      <x:c r="C288" s="12" t="str">
        <x:v>DLR-008</x:v>
      </x:c>
      <x:c r="D288" s="12" t="str">
        <x:v>VinFast HTA Nguyễn Văn Linh</x:v>
      </x:c>
      <x:c r="E288" s="12" t="str">
        <x:v>VinFast</x:v>
      </x:c>
      <x:c r="F288" s="12" t="n">
        <x:v>1.053</x:v>
      </x:c>
      <x:c r="G288" s="34" t="n">
        <x:v>0.03426847619944272</x:v>
      </x:c>
      <x:c r="H288" s="34" t="n">
        <x:v>0.03</x:v>
      </x:c>
      <x:c r="I288" s="12" t="n">
        <x:v>1.017</x:v>
      </x:c>
      <x:c r="J288" s="12" t="n">
        <x:v>0.0045</x:v>
      </x:c>
      <x:c r="K288" s="12" t="str">
        <x:v>Brand Director</x:v>
      </x:c>
      <x:c r="L288" s="12" t="str">
        <x:f>IF(G288&gt;H288,"BREACH","OK")</x:f>
        <x:v>BREACH</x:v>
      </x:c>
    </x:row>
    <x:row r="289">
      <x:c r="A289" s="12" t="str">
        <x:v>PRC-00288</x:v>
      </x:c>
      <x:c r="B289" s="18" t="n">
        <x:v>46209</x:v>
      </x:c>
      <x:c r="C289" s="12" t="str">
        <x:v>DLR-008</x:v>
      </x:c>
      <x:c r="D289" s="12" t="str">
        <x:v>VinFast HTA Nguyễn Văn Linh</x:v>
      </x:c>
      <x:c r="E289" s="12" t="str">
        <x:v>VinFast</x:v>
      </x:c>
      <x:c r="F289" s="12" t="n">
        <x:v>1.033</x:v>
      </x:c>
      <x:c r="G289" s="34" t="n">
        <x:v>0.011936931774240031</x:v>
      </x:c>
      <x:c r="H289" s="34" t="n">
        <x:v>0.04</x:v>
      </x:c>
      <x:c r="I289" s="12" t="n">
        <x:v>1.02</x:v>
      </x:c>
      <x:c r="J289" s="12" t="n">
        <x:v>0</x:v>
      </x:c>
      <x:c r="K289" s="12" t="str">
        <x:v>Brand Director</x:v>
      </x:c>
      <x:c r="L289" s="12" t="str">
        <x:f>IF(G289&gt;H289,"BREACH","OK")</x:f>
        <x:v>OK</x:v>
      </x:c>
    </x:row>
    <x:row r="290">
      <x:c r="A290" s="12" t="str">
        <x:v>PRC-00289</x:v>
      </x:c>
      <x:c r="B290" s="18" t="n">
        <x:v>46220</x:v>
      </x:c>
      <x:c r="C290" s="12" t="str">
        <x:v>DLR-019</x:v>
      </x:c>
      <x:c r="D290" s="12" t="str">
        <x:v>OMODA &amp; JAECOO HTA Việt Trì</x:v>
      </x:c>
      <x:c r="E290" s="12" t="str">
        <x:v>OMODA &amp; JAECOO</x:v>
      </x:c>
      <x:c r="F290" s="12" t="n">
        <x:v>1.537</x:v>
      </x:c>
      <x:c r="G290" s="34" t="n">
        <x:v>0.06011670444770052</x:v>
      </x:c>
      <x:c r="H290" s="34" t="n">
        <x:v>0.05</x:v>
      </x:c>
      <x:c r="I290" s="12" t="n">
        <x:v>1.445</x:v>
      </x:c>
      <x:c r="J290" s="12" t="n">
        <x:v>0.0155</x:v>
      </x:c>
      <x:c r="K290" s="12" t="str">
        <x:v>Dealer Manager</x:v>
      </x:c>
      <x:c r="L290" s="12" t="str">
        <x:f>IF(G290&gt;H290,"BREACH","OK")</x:f>
        <x:v>BREACH</x:v>
      </x:c>
    </x:row>
    <x:row r="291">
      <x:c r="A291" s="12" t="str">
        <x:v>PRC-00290</x:v>
      </x:c>
      <x:c r="B291" s="18" t="n">
        <x:v>46218</x:v>
      </x:c>
      <x:c r="C291" s="12" t="str">
        <x:v>DLR-008</x:v>
      </x:c>
      <x:c r="D291" s="12" t="str">
        <x:v>VinFast HTA Nguyễn Văn Linh</x:v>
      </x:c>
      <x:c r="E291" s="12" t="str">
        <x:v>VinFast</x:v>
      </x:c>
      <x:c r="F291" s="12" t="n">
        <x:v>0.812</x:v>
      </x:c>
      <x:c r="G291" s="34" t="n">
        <x:v>0.05216867822121386</x:v>
      </x:c>
      <x:c r="H291" s="34" t="n">
        <x:v>0.05</x:v>
      </x:c>
      <x:c r="I291" s="12" t="n">
        <x:v>0.769</x:v>
      </x:c>
      <x:c r="J291" s="12" t="n">
        <x:v>0.0018</x:v>
      </x:c>
      <x:c r="K291" s="12" t="str">
        <x:v>Commercial Director</x:v>
      </x:c>
      <x:c r="L291" s="12" t="str">
        <x:f>IF(G291&gt;H291,"BREACH","OK")</x:f>
        <x:v>BREACH</x:v>
      </x:c>
    </x:row>
    <x:row r="292">
      <x:c r="A292" s="12" t="str">
        <x:v>PRC-00291</x:v>
      </x:c>
      <x:c r="B292" s="18" t="n">
        <x:v>46220</x:v>
      </x:c>
      <x:c r="C292" s="12" t="str">
        <x:v>DLR-003</x:v>
      </x:c>
      <x:c r="D292" s="12" t="str">
        <x:v>Mỹ Đình Ford</x:v>
      </x:c>
      <x:c r="E292" s="12" t="str">
        <x:v>Ford</x:v>
      </x:c>
      <x:c r="F292" s="12" t="n">
        <x:v>0.815</x:v>
      </x:c>
      <x:c r="G292" s="34" t="n">
        <x:v>0.048338929926490824</x:v>
      </x:c>
      <x:c r="H292" s="34" t="n">
        <x:v>0.045</x:v>
      </x:c>
      <x:c r="I292" s="12" t="n">
        <x:v>0.775</x:v>
      </x:c>
      <x:c r="J292" s="12" t="n">
        <x:v>0.0027</x:v>
      </x:c>
      <x:c r="K292" s="12" t="str">
        <x:v>Brand Director</x:v>
      </x:c>
      <x:c r="L292" s="12" t="str">
        <x:f>IF(G292&gt;H292,"BREACH","OK")</x:f>
        <x:v>BREACH</x:v>
      </x:c>
    </x:row>
    <x:row r="293">
      <x:c r="A293" s="12" t="str">
        <x:v>PRC-00292</x:v>
      </x:c>
      <x:c r="B293" s="18" t="n">
        <x:v>46206</x:v>
      </x:c>
      <x:c r="C293" s="12" t="str">
        <x:v>DLR-007</x:v>
      </x:c>
      <x:c r="D293" s="12" t="str">
        <x:v>BYD Hà Đông</x:v>
      </x:c>
      <x:c r="E293" s="12" t="str">
        <x:v>BYD</x:v>
      </x:c>
      <x:c r="F293" s="12" t="n">
        <x:v>0.395</x:v>
      </x:c>
      <x:c r="G293" s="34" t="n">
        <x:v>0.040130203977270185</x:v>
      </x:c>
      <x:c r="H293" s="34" t="n">
        <x:v>0.045</x:v>
      </x:c>
      <x:c r="I293" s="12" t="n">
        <x:v>0.379</x:v>
      </x:c>
      <x:c r="J293" s="12" t="n">
        <x:v>0</x:v>
      </x:c>
      <x:c r="K293" s="12" t="str">
        <x:v>Dealer Manager</x:v>
      </x:c>
      <x:c r="L293" s="12" t="str">
        <x:f>IF(G293&gt;H293,"BREACH","OK")</x:f>
        <x:v>OK</x:v>
      </x:c>
    </x:row>
    <x:row r="294">
      <x:c r="A294" s="12" t="str">
        <x:v>PRC-00293</x:v>
      </x:c>
      <x:c r="B294" s="18" t="n">
        <x:v>46224</x:v>
      </x:c>
      <x:c r="C294" s="12" t="str">
        <x:v>DLR-018</x:v>
      </x:c>
      <x:c r="D294" s="12" t="str">
        <x:v>OMODA &amp; JAECOO HTA Nam Từ Liêm</x:v>
      </x:c>
      <x:c r="E294" s="12" t="str">
        <x:v>OMODA &amp; JAECOO</x:v>
      </x:c>
      <x:c r="F294" s="12" t="n">
        <x:v>1.257</x:v>
      </x:c>
      <x:c r="G294" s="34" t="n">
        <x:v>0.042206351737133</x:v>
      </x:c>
      <x:c r="H294" s="34" t="n">
        <x:v>0.05</x:v>
      </x:c>
      <x:c r="I294" s="12" t="n">
        <x:v>1.204</x:v>
      </x:c>
      <x:c r="J294" s="12" t="n">
        <x:v>0</x:v>
      </x:c>
      <x:c r="K294" s="12" t="str">
        <x:v>Commercial Director</x:v>
      </x:c>
      <x:c r="L294" s="12" t="str">
        <x:f>IF(G294&gt;H294,"BREACH","OK")</x:f>
        <x:v>OK</x:v>
      </x:c>
    </x:row>
    <x:row r="295">
      <x:c r="A295" s="12" t="str">
        <x:v>PRC-00294</x:v>
      </x:c>
      <x:c r="B295" s="18" t="n">
        <x:v>46218</x:v>
      </x:c>
      <x:c r="C295" s="12" t="str">
        <x:v>DLR-008</x:v>
      </x:c>
      <x:c r="D295" s="12" t="str">
        <x:v>VinFast HTA Nguyễn Văn Linh</x:v>
      </x:c>
      <x:c r="E295" s="12" t="str">
        <x:v>VinFast</x:v>
      </x:c>
      <x:c r="F295" s="12" t="n">
        <x:v>1.574</x:v>
      </x:c>
      <x:c r="G295" s="34" t="n">
        <x:v>0.02067790486477625</x:v>
      </x:c>
      <x:c r="H295" s="34" t="n">
        <x:v>0.04</x:v>
      </x:c>
      <x:c r="I295" s="12" t="n">
        <x:v>1.541</x:v>
      </x:c>
      <x:c r="J295" s="12" t="n">
        <x:v>0</x:v>
      </x:c>
      <x:c r="K295" s="12" t="str">
        <x:v>Commercial Director</x:v>
      </x:c>
      <x:c r="L295" s="12" t="str">
        <x:f>IF(G295&gt;H295,"BREACH","OK")</x:f>
        <x:v>OK</x:v>
      </x:c>
    </x:row>
    <x:row r="296">
      <x:c r="A296" s="12" t="str">
        <x:v>PRC-00295</x:v>
      </x:c>
      <x:c r="B296" s="18" t="n">
        <x:v>46210</x:v>
      </x:c>
      <x:c r="C296" s="12" t="str">
        <x:v>DLR-020</x:v>
      </x:c>
      <x:c r="D296" s="12" t="str">
        <x:v>Wuling HTA Long Biên</x:v>
      </x:c>
      <x:c r="E296" s="12" t="str">
        <x:v>Wuling</x:v>
      </x:c>
      <x:c r="F296" s="12" t="n">
        <x:v>0.864</x:v>
      </x:c>
      <x:c r="G296" s="34" t="n">
        <x:v>0.019441503455229336</x:v>
      </x:c>
      <x:c r="H296" s="34" t="n">
        <x:v>0.05</x:v>
      </x:c>
      <x:c r="I296" s="12" t="n">
        <x:v>0.847</x:v>
      </x:c>
      <x:c r="J296" s="12" t="n">
        <x:v>0</x:v>
      </x:c>
      <x:c r="K296" s="12" t="str">
        <x:v>Dealer Manager</x:v>
      </x:c>
      <x:c r="L296" s="12" t="str">
        <x:f>IF(G296&gt;H296,"BREACH","OK")</x:f>
        <x:v>OK</x:v>
      </x:c>
    </x:row>
    <x:row r="297">
      <x:c r="A297" s="12" t="str">
        <x:v>PRC-00296</x:v>
      </x:c>
      <x:c r="B297" s="18" t="n">
        <x:v>46224</x:v>
      </x:c>
      <x:c r="C297" s="12" t="str">
        <x:v>DLR-005</x:v>
      </x:c>
      <x:c r="D297" s="12" t="str">
        <x:v>BYD HTA Tây Hồ</x:v>
      </x:c>
      <x:c r="E297" s="12" t="str">
        <x:v>BYD</x:v>
      </x:c>
      <x:c r="F297" s="12" t="n">
        <x:v>0.852</x:v>
      </x:c>
      <x:c r="G297" s="34" t="n">
        <x:v>0.03559809610270057</x:v>
      </x:c>
      <x:c r="H297" s="34" t="n">
        <x:v>0.05</x:v>
      </x:c>
      <x:c r="I297" s="12" t="n">
        <x:v>0.821</x:v>
      </x:c>
      <x:c r="J297" s="12" t="n">
        <x:v>0</x:v>
      </x:c>
      <x:c r="K297" s="12" t="str">
        <x:v>Dealer Manager</x:v>
      </x:c>
      <x:c r="L297" s="12" t="str">
        <x:f>IF(G297&gt;H297,"BREACH","OK")</x:f>
        <x:v>OK</x:v>
      </x:c>
    </x:row>
    <x:row r="298">
      <x:c r="A298" s="12" t="str">
        <x:v>PRC-00297</x:v>
      </x:c>
      <x:c r="B298" s="18" t="n">
        <x:v>46207</x:v>
      </x:c>
      <x:c r="C298" s="12" t="str">
        <x:v>DLR-004</x:v>
      </x:c>
      <x:c r="D298" s="12" t="str">
        <x:v>Việt Trì Ford</x:v>
      </x:c>
      <x:c r="E298" s="12" t="str">
        <x:v>Ford</x:v>
      </x:c>
      <x:c r="F298" s="12" t="n">
        <x:v>1.04</x:v>
      </x:c>
      <x:c r="G298" s="34" t="n">
        <x:v>0.01044623937621858</x:v>
      </x:c>
      <x:c r="H298" s="34" t="n">
        <x:v>0.05</x:v>
      </x:c>
      <x:c r="I298" s="12" t="n">
        <x:v>1.029</x:v>
      </x:c>
      <x:c r="J298" s="12" t="n">
        <x:v>0</x:v>
      </x:c>
      <x:c r="K298" s="12" t="str">
        <x:v>Brand Director</x:v>
      </x:c>
      <x:c r="L298" s="12" t="str">
        <x:f>IF(G298&gt;H298,"BREACH","OK")</x:f>
        <x:v>OK</x:v>
      </x:c>
    </x:row>
    <x:row r="299">
      <x:c r="A299" s="12" t="str">
        <x:v>PRC-00298</x:v>
      </x:c>
      <x:c r="B299" s="18" t="n">
        <x:v>46210</x:v>
      </x:c>
      <x:c r="C299" s="12" t="str">
        <x:v>DLR-014</x:v>
      </x:c>
      <x:c r="D299" s="12" t="str">
        <x:v>VinFast HTA Nam Từ Liêm</x:v>
      </x:c>
      <x:c r="E299" s="12" t="str">
        <x:v>VinFast</x:v>
      </x:c>
      <x:c r="F299" s="12" t="n">
        <x:v>1.393</x:v>
      </x:c>
      <x:c r="G299" s="34" t="n">
        <x:v>0.03540608987679448</x:v>
      </x:c>
      <x:c r="H299" s="34" t="n">
        <x:v>0.03</x:v>
      </x:c>
      <x:c r="I299" s="12" t="n">
        <x:v>1.344</x:v>
      </x:c>
      <x:c r="J299" s="12" t="n">
        <x:v>0.0075</x:v>
      </x:c>
      <x:c r="K299" s="12" t="str">
        <x:v>Commercial Director</x:v>
      </x:c>
      <x:c r="L299" s="12" t="str">
        <x:f>IF(G299&gt;H299,"BREACH","OK")</x:f>
        <x:v>BREACH</x:v>
      </x:c>
    </x:row>
    <x:row r="300">
      <x:c r="A300" s="12" t="str">
        <x:v>PRC-00299</x:v>
      </x:c>
      <x:c r="B300" s="18" t="n">
        <x:v>46220</x:v>
      </x:c>
      <x:c r="C300" s="12" t="str">
        <x:v>DLR-007</x:v>
      </x:c>
      <x:c r="D300" s="12" t="str">
        <x:v>BYD Hà Đông</x:v>
      </x:c>
      <x:c r="E300" s="12" t="str">
        <x:v>BYD</x:v>
      </x:c>
      <x:c r="F300" s="12" t="n">
        <x:v>1.046</x:v>
      </x:c>
      <x:c r="G300" s="34" t="n">
        <x:v>0.06547009817652562</x:v>
      </x:c>
      <x:c r="H300" s="34" t="n">
        <x:v>0.05</x:v>
      </x:c>
      <x:c r="I300" s="12" t="n">
        <x:v>0.978</x:v>
      </x:c>
      <x:c r="J300" s="12" t="n">
        <x:v>0.0162</x:v>
      </x:c>
      <x:c r="K300" s="12" t="str">
        <x:v>Commercial Director</x:v>
      </x:c>
      <x:c r="L300" s="12" t="str">
        <x:f>IF(G300&gt;H300,"BREACH","OK")</x:f>
        <x:v>BREACH</x:v>
      </x:c>
    </x:row>
    <x:row r="301">
      <x:c r="A301" s="12" t="str">
        <x:v>PRC-00300</x:v>
      </x:c>
      <x:c r="B301" s="18" t="n">
        <x:v>46217</x:v>
      </x:c>
      <x:c r="C301" s="12" t="str">
        <x:v>DLR-001</x:v>
      </x:c>
      <x:c r="D301" s="12" t="str">
        <x:v>Hà Thành Ford</x:v>
      </x:c>
      <x:c r="E301" s="12" t="str">
        <x:v>Ford</x:v>
      </x:c>
      <x:c r="F301" s="12" t="n">
        <x:v>0.38</x:v>
      </x:c>
      <x:c r="G301" s="34" t="n">
        <x:v>0.024061406451197677</x:v>
      </x:c>
      <x:c r="H301" s="34" t="n">
        <x:v>0.03</x:v>
      </x:c>
      <x:c r="I301" s="12" t="n">
        <x:v>0.371</x:v>
      </x:c>
      <x:c r="J301" s="12" t="n">
        <x:v>0</x:v>
      </x:c>
      <x:c r="K301" s="12" t="str">
        <x:v>Dealer Manager</x:v>
      </x:c>
      <x:c r="L301" s="12" t="str">
        <x:f>IF(G301&gt;H301,"BREACH","OK")</x:f>
        <x:v>OK</x:v>
      </x:c>
    </x:row>
    <x:row r="302">
      <x:c r="A302" s="12" t="str">
        <x:v>PRC-00301</x:v>
      </x:c>
      <x:c r="B302" s="18" t="n">
        <x:v>46225</x:v>
      </x:c>
      <x:c r="C302" s="12" t="str">
        <x:v>DLR-013</x:v>
      </x:c>
      <x:c r="D302" s="12" t="str">
        <x:v>VinFast HTA Ninh Bình</x:v>
      </x:c>
      <x:c r="E302" s="12" t="str">
        <x:v>VinFast</x:v>
      </x:c>
      <x:c r="F302" s="12" t="n">
        <x:v>0.843</x:v>
      </x:c>
      <x:c r="G302" s="34" t="n">
        <x:v>0.07258197815248904</x:v>
      </x:c>
      <x:c r="H302" s="34" t="n">
        <x:v>0.04</x:v>
      </x:c>
      <x:c r="I302" s="12" t="n">
        <x:v>0.782</x:v>
      </x:c>
      <x:c r="J302" s="12" t="n">
        <x:v>0.0275</x:v>
      </x:c>
      <x:c r="K302" s="12" t="str">
        <x:v>Dealer Manager</x:v>
      </x:c>
      <x:c r="L302" s="12" t="str">
        <x:f>IF(G302&gt;H302,"BREACH","OK")</x:f>
        <x:v>BREACH</x:v>
      </x:c>
    </x:row>
    <x:row r="303">
      <x:c r="A303" s="12" t="str">
        <x:v>PRC-00302</x:v>
      </x:c>
      <x:c r="B303" s="18" t="n">
        <x:v>46214</x:v>
      </x:c>
      <x:c r="C303" s="12" t="str">
        <x:v>DLR-018</x:v>
      </x:c>
      <x:c r="D303" s="12" t="str">
        <x:v>OMODA &amp; JAECOO HTA Nam Từ Liêm</x:v>
      </x:c>
      <x:c r="E303" s="12" t="str">
        <x:v>OMODA &amp; JAECOO</x:v>
      </x:c>
      <x:c r="F303" s="12" t="n">
        <x:v>0.506</x:v>
      </x:c>
      <x:c r="G303" s="34" t="n">
        <x:v>0.02599823015033819</x:v>
      </x:c>
      <x:c r="H303" s="34" t="n">
        <x:v>0.05</x:v>
      </x:c>
      <x:c r="I303" s="12" t="n">
        <x:v>0.493</x:v>
      </x:c>
      <x:c r="J303" s="12" t="n">
        <x:v>0</x:v>
      </x:c>
      <x:c r="K303" s="12" t="str">
        <x:v>Dealer Manager</x:v>
      </x:c>
      <x:c r="L303" s="12" t="str">
        <x:f>IF(G303&gt;H303,"BREACH","OK")</x:f>
        <x:v>OK</x:v>
      </x:c>
    </x:row>
    <x:row r="304">
      <x:c r="A304" s="12" t="str">
        <x:v>PRC-00303</x:v>
      </x:c>
      <x:c r="B304" s="18" t="n">
        <x:v>46214</x:v>
      </x:c>
      <x:c r="C304" s="12" t="str">
        <x:v>DLR-020</x:v>
      </x:c>
      <x:c r="D304" s="12" t="str">
        <x:v>Wuling HTA Long Biên</x:v>
      </x:c>
      <x:c r="E304" s="12" t="str">
        <x:v>Wuling</x:v>
      </x:c>
      <x:c r="F304" s="12" t="n">
        <x:v>0.853</x:v>
      </x:c>
      <x:c r="G304" s="34" t="n">
        <x:v>0.0441717813454869</x:v>
      </x:c>
      <x:c r="H304" s="34" t="n">
        <x:v>0.045</x:v>
      </x:c>
      <x:c r="I304" s="12" t="n">
        <x:v>0.815</x:v>
      </x:c>
      <x:c r="J304" s="12" t="n">
        <x:v>0</x:v>
      </x:c>
      <x:c r="K304" s="12" t="str">
        <x:v>Dealer Manager</x:v>
      </x:c>
      <x:c r="L304" s="12" t="str">
        <x:f>IF(G304&gt;H304,"BREACH","OK")</x:f>
        <x:v>OK</x:v>
      </x:c>
    </x:row>
    <x:row r="305">
      <x:c r="A305" s="12" t="str">
        <x:v>PRC-00304</x:v>
      </x:c>
      <x:c r="B305" s="18" t="n">
        <x:v>46207</x:v>
      </x:c>
      <x:c r="C305" s="12" t="str">
        <x:v>DLR-006</x:v>
      </x:c>
      <x:c r="D305" s="12" t="str">
        <x:v>BYD HTA Hoàn Kiếm</x:v>
      </x:c>
      <x:c r="E305" s="12" t="str">
        <x:v>BYD</x:v>
      </x:c>
      <x:c r="F305" s="12" t="n">
        <x:v>1.578</x:v>
      </x:c>
      <x:c r="G305" s="34" t="n">
        <x:v>0.03477786192474646</x:v>
      </x:c>
      <x:c r="H305" s="34" t="n">
        <x:v>0.03</x:v>
      </x:c>
      <x:c r="I305" s="12" t="n">
        <x:v>1.523</x:v>
      </x:c>
      <x:c r="J305" s="12" t="n">
        <x:v>0.0075</x:v>
      </x:c>
      <x:c r="K305" s="12" t="str">
        <x:v>Dealer Manager</x:v>
      </x:c>
      <x:c r="L305" s="12" t="str">
        <x:f>IF(G305&gt;H305,"BREACH","OK")</x:f>
        <x:v>BREACH</x:v>
      </x:c>
    </x:row>
    <x:row r="306">
      <x:c r="A306" s="12" t="str">
        <x:v>PRC-00305</x:v>
      </x:c>
      <x:c r="B306" s="18" t="n">
        <x:v>46204</x:v>
      </x:c>
      <x:c r="C306" s="12" t="str">
        <x:v>DLR-003</x:v>
      </x:c>
      <x:c r="D306" s="12" t="str">
        <x:v>Mỹ Đình Ford</x:v>
      </x:c>
      <x:c r="E306" s="12" t="str">
        <x:v>Ford</x:v>
      </x:c>
      <x:c r="F306" s="12" t="n">
        <x:v>0.821</x:v>
      </x:c>
      <x:c r="G306" s="34" t="n">
        <x:v>0.05516250135022534</x:v>
      </x:c>
      <x:c r="H306" s="34" t="n">
        <x:v>0.04</x:v>
      </x:c>
      <x:c r="I306" s="12" t="n">
        <x:v>0.775</x:v>
      </x:c>
      <x:c r="J306" s="12" t="n">
        <x:v>0.0124</x:v>
      </x:c>
      <x:c r="K306" s="12" t="str">
        <x:v>Commercial Director</x:v>
      </x:c>
      <x:c r="L306" s="12" t="str">
        <x:f>IF(G306&gt;H306,"BREACH","OK")</x:f>
        <x:v>BREACH</x:v>
      </x:c>
    </x:row>
    <x:row r="307">
      <x:c r="A307" s="12" t="str">
        <x:v>PRC-00306</x:v>
      </x:c>
      <x:c r="B307" s="18" t="n">
        <x:v>46225</x:v>
      </x:c>
      <x:c r="C307" s="12" t="str">
        <x:v>DLR-015</x:v>
      </x:c>
      <x:c r="D307" s="12" t="str">
        <x:v>VinFast HTA Văn Phú</x:v>
      </x:c>
      <x:c r="E307" s="12" t="str">
        <x:v>VinFast</x:v>
      </x:c>
      <x:c r="F307" s="12" t="n">
        <x:v>1.306</x:v>
      </x:c>
      <x:c r="G307" s="34" t="n">
        <x:v>0.028006452285757787</x:v>
      </x:c>
      <x:c r="H307" s="34" t="n">
        <x:v>0.045</x:v>
      </x:c>
      <x:c r="I307" s="12" t="n">
        <x:v>1.269</x:v>
      </x:c>
      <x:c r="J307" s="12" t="n">
        <x:v>0</x:v>
      </x:c>
      <x:c r="K307" s="12" t="str">
        <x:v>Commercial Director</x:v>
      </x:c>
      <x:c r="L307" s="12" t="str">
        <x:f>IF(G307&gt;H307,"BREACH","OK")</x:f>
        <x:v>OK</x:v>
      </x:c>
    </x:row>
    <x:row r="308">
      <x:c r="A308" s="12" t="str">
        <x:v>PRC-00307</x:v>
      </x:c>
      <x:c r="B308" s="18" t="n">
        <x:v>46204</x:v>
      </x:c>
      <x:c r="C308" s="12" t="str">
        <x:v>DLR-009</x:v>
      </x:c>
      <x:c r="D308" s="12" t="str">
        <x:v>VinFast HTA Đông Anh</x:v>
      </x:c>
      <x:c r="E308" s="12" t="str">
        <x:v>VinFast</x:v>
      </x:c>
      <x:c r="F308" s="12" t="n">
        <x:v>0.72</x:v>
      </x:c>
      <x:c r="G308" s="34" t="n">
        <x:v>0.02176455897282807</x:v>
      </x:c>
      <x:c r="H308" s="34" t="n">
        <x:v>0.045</x:v>
      </x:c>
      <x:c r="I308" s="12" t="n">
        <x:v>0.704</x:v>
      </x:c>
      <x:c r="J308" s="12" t="n">
        <x:v>0</x:v>
      </x:c>
      <x:c r="K308" s="12" t="str">
        <x:v>Brand Director</x:v>
      </x:c>
      <x:c r="L308" s="12" t="str">
        <x:f>IF(G308&gt;H308,"BREACH","OK")</x:f>
        <x:v>OK</x:v>
      </x:c>
    </x:row>
    <x:row r="309">
      <x:c r="A309" s="12" t="str">
        <x:v>PRC-00308</x:v>
      </x:c>
      <x:c r="B309" s="18" t="n">
        <x:v>46204</x:v>
      </x:c>
      <x:c r="C309" s="12" t="str">
        <x:v>DLR-009</x:v>
      </x:c>
      <x:c r="D309" s="12" t="str">
        <x:v>VinFast HTA Đông Anh</x:v>
      </x:c>
      <x:c r="E309" s="12" t="str">
        <x:v>VinFast</x:v>
      </x:c>
      <x:c r="F309" s="12" t="n">
        <x:v>0.663</x:v>
      </x:c>
      <x:c r="G309" s="34" t="n">
        <x:v>0.04533088549800314</x:v>
      </x:c>
      <x:c r="H309" s="34" t="n">
        <x:v>0.045</x:v>
      </x:c>
      <x:c r="I309" s="12" t="n">
        <x:v>0.633</x:v>
      </x:c>
      <x:c r="J309" s="12" t="n">
        <x:v>0.0002</x:v>
      </x:c>
      <x:c r="K309" s="12" t="str">
        <x:v>Commercial Director</x:v>
      </x:c>
      <x:c r="L309" s="12" t="str">
        <x:f>IF(G309&gt;H309,"BREACH","OK")</x:f>
        <x:v>BREACH</x:v>
      </x:c>
    </x:row>
    <x:row r="310">
      <x:c r="A310" s="12" t="str">
        <x:v>PRC-00309</x:v>
      </x:c>
      <x:c r="B310" s="18" t="n">
        <x:v>46211</x:v>
      </x:c>
      <x:c r="C310" s="12" t="str">
        <x:v>DLR-009</x:v>
      </x:c>
      <x:c r="D310" s="12" t="str">
        <x:v>VinFast HTA Đông Anh</x:v>
      </x:c>
      <x:c r="E310" s="12" t="str">
        <x:v>VinFast</x:v>
      </x:c>
      <x:c r="F310" s="12" t="n">
        <x:v>1.034</x:v>
      </x:c>
      <x:c r="G310" s="34" t="n">
        <x:v>0.07636241436439054</x:v>
      </x:c>
      <x:c r="H310" s="34" t="n">
        <x:v>0.05</x:v>
      </x:c>
      <x:c r="I310" s="12" t="n">
        <x:v>0.955</x:v>
      </x:c>
      <x:c r="J310" s="12" t="n">
        <x:v>0.0273</x:v>
      </x:c>
      <x:c r="K310" s="12" t="str">
        <x:v>Brand Director</x:v>
      </x:c>
      <x:c r="L310" s="12" t="str">
        <x:f>IF(G310&gt;H310,"BREACH","OK")</x:f>
        <x:v>BREACH</x:v>
      </x:c>
    </x:row>
    <x:row r="311">
      <x:c r="A311" s="12" t="str">
        <x:v>PRC-00310</x:v>
      </x:c>
      <x:c r="B311" s="18" t="n">
        <x:v>46225</x:v>
      </x:c>
      <x:c r="C311" s="12" t="str">
        <x:v>DLR-016</x:v>
      </x:c>
      <x:c r="D311" s="12" t="str">
        <x:v>VinFast HTA Mỹ Đình</x:v>
      </x:c>
      <x:c r="E311" s="12" t="str">
        <x:v>VinFast</x:v>
      </x:c>
      <x:c r="F311" s="12" t="n">
        <x:v>1.031</x:v>
      </x:c>
      <x:c r="G311" s="34" t="n">
        <x:v>0.06559517588876458</x:v>
      </x:c>
      <x:c r="H311" s="34" t="n">
        <x:v>0.03</x:v>
      </x:c>
      <x:c r="I311" s="12" t="n">
        <x:v>0.964</x:v>
      </x:c>
      <x:c r="J311" s="12" t="n">
        <x:v>0.0367</x:v>
      </x:c>
      <x:c r="K311" s="12" t="str">
        <x:v>Commercial Director</x:v>
      </x:c>
      <x:c r="L311" s="12" t="str">
        <x:f>IF(G311&gt;H311,"BREACH","OK")</x:f>
        <x:v>BREACH</x:v>
      </x:c>
    </x:row>
    <x:row r="312">
      <x:c r="A312" s="12" t="str">
        <x:v>PRC-00311</x:v>
      </x:c>
      <x:c r="B312" s="18" t="n">
        <x:v>46214</x:v>
      </x:c>
      <x:c r="C312" s="12" t="str">
        <x:v>DLR-004</x:v>
      </x:c>
      <x:c r="D312" s="12" t="str">
        <x:v>Việt Trì Ford</x:v>
      </x:c>
      <x:c r="E312" s="12" t="str">
        <x:v>Ford</x:v>
      </x:c>
      <x:c r="F312" s="12" t="n">
        <x:v>1.478</x:v>
      </x:c>
      <x:c r="G312" s="34" t="n">
        <x:v>0.045853425257260765</x:v>
      </x:c>
      <x:c r="H312" s="34" t="n">
        <x:v>0.03</x:v>
      </x:c>
      <x:c r="I312" s="12" t="n">
        <x:v>1.41</x:v>
      </x:c>
      <x:c r="J312" s="12" t="n">
        <x:v>0.0234</x:v>
      </x:c>
      <x:c r="K312" s="12" t="str">
        <x:v>Dealer Manager</x:v>
      </x:c>
      <x:c r="L312" s="12" t="str">
        <x:f>IF(G312&gt;H312,"BREACH","OK")</x:f>
        <x:v>BREACH</x:v>
      </x:c>
    </x:row>
    <x:row r="313">
      <x:c r="A313" s="12" t="str">
        <x:v>PRC-00312</x:v>
      </x:c>
      <x:c r="B313" s="18" t="n">
        <x:v>46216</x:v>
      </x:c>
      <x:c r="C313" s="12" t="str">
        <x:v>DLR-011</x:v>
      </x:c>
      <x:c r="D313" s="12" t="str">
        <x:v>VinFast HTA Phạm Văn Đồng</x:v>
      </x:c>
      <x:c r="E313" s="12" t="str">
        <x:v>VinFast</x:v>
      </x:c>
      <x:c r="F313" s="12" t="n">
        <x:v>1.083</x:v>
      </x:c>
      <x:c r="G313" s="34" t="n">
        <x:v>0.07691603502311842</x:v>
      </x:c>
      <x:c r="H313" s="34" t="n">
        <x:v>0.04</x:v>
      </x:c>
      <x:c r="I313" s="12" t="n">
        <x:v>0.999</x:v>
      </x:c>
      <x:c r="J313" s="12" t="n">
        <x:v>0.04</x:v>
      </x:c>
      <x:c r="K313" s="12" t="str">
        <x:v>Commercial Director</x:v>
      </x:c>
      <x:c r="L313" s="12" t="str">
        <x:f>IF(G313&gt;H313,"BREACH","OK")</x:f>
        <x:v>BREACH</x:v>
      </x:c>
    </x:row>
    <x:row r="314">
      <x:c r="A314" s="12" t="str">
        <x:v>PRC-00313</x:v>
      </x:c>
      <x:c r="B314" s="18" t="n">
        <x:v>46216</x:v>
      </x:c>
      <x:c r="C314" s="12" t="str">
        <x:v>DLR-018</x:v>
      </x:c>
      <x:c r="D314" s="12" t="str">
        <x:v>OMODA &amp; JAECOO HTA Nam Từ Liêm</x:v>
      </x:c>
      <x:c r="E314" s="12" t="str">
        <x:v>OMODA &amp; JAECOO</x:v>
      </x:c>
      <x:c r="F314" s="12" t="n">
        <x:v>0.414</x:v>
      </x:c>
      <x:c r="G314" s="34" t="n">
        <x:v>0.06362456042530976</x:v>
      </x:c>
      <x:c r="H314" s="34" t="n">
        <x:v>0.03</x:v>
      </x:c>
      <x:c r="I314" s="12" t="n">
        <x:v>0.388</x:v>
      </x:c>
      <x:c r="J314" s="12" t="n">
        <x:v>0.0139</x:v>
      </x:c>
      <x:c r="K314" s="12" t="str">
        <x:v>Brand Director</x:v>
      </x:c>
      <x:c r="L314" s="12" t="str">
        <x:f>IF(G314&gt;H314,"BREACH","OK")</x:f>
        <x:v>BREACH</x:v>
      </x:c>
    </x:row>
    <x:row r="315">
      <x:c r="A315" s="12" t="str">
        <x:v>PRC-00314</x:v>
      </x:c>
      <x:c r="B315" s="18" t="n">
        <x:v>46212</x:v>
      </x:c>
      <x:c r="C315" s="12" t="str">
        <x:v>DLR-006</x:v>
      </x:c>
      <x:c r="D315" s="12" t="str">
        <x:v>BYD HTA Hoàn Kiếm</x:v>
      </x:c>
      <x:c r="E315" s="12" t="str">
        <x:v>BYD</x:v>
      </x:c>
      <x:c r="F315" s="12" t="n">
        <x:v>1.529</x:v>
      </x:c>
      <x:c r="G315" s="34" t="n">
        <x:v>0.07046828287190232</x:v>
      </x:c>
      <x:c r="H315" s="34" t="n">
        <x:v>0.045</x:v>
      </x:c>
      <x:c r="I315" s="12" t="n">
        <x:v>1.422</x:v>
      </x:c>
      <x:c r="J315" s="12" t="n">
        <x:v>0.039</x:v>
      </x:c>
      <x:c r="K315" s="12" t="str">
        <x:v>Brand Director</x:v>
      </x:c>
      <x:c r="L315" s="12" t="str">
        <x:f>IF(G315&gt;H315,"BREACH","OK")</x:f>
        <x:v>BREACH</x:v>
      </x:c>
    </x:row>
    <x:row r="316">
      <x:c r="A316" s="12" t="str">
        <x:v>PRC-00315</x:v>
      </x:c>
      <x:c r="B316" s="18" t="n">
        <x:v>46217</x:v>
      </x:c>
      <x:c r="C316" s="12" t="str">
        <x:v>DLR-002</x:v>
      </x:c>
      <x:c r="D316" s="12" t="str">
        <x:v>Hà Thành Ford - Mỹ Đình</x:v>
      </x:c>
      <x:c r="E316" s="12" t="str">
        <x:v>Ford</x:v>
      </x:c>
      <x:c r="F316" s="12" t="n">
        <x:v>1.243</x:v>
      </x:c>
      <x:c r="G316" s="34" t="n">
        <x:v>0.053913970531356804</x:v>
      </x:c>
      <x:c r="H316" s="34" t="n">
        <x:v>0.03</x:v>
      </x:c>
      <x:c r="I316" s="12" t="n">
        <x:v>1.176</x:v>
      </x:c>
      <x:c r="J316" s="12" t="n">
        <x:v>0.0297</x:v>
      </x:c>
      <x:c r="K316" s="12" t="str">
        <x:v>Brand Director</x:v>
      </x:c>
      <x:c r="L316" s="12" t="str">
        <x:f>IF(G316&gt;H316,"BREACH","OK")</x:f>
        <x:v>BREACH</x:v>
      </x:c>
    </x:row>
    <x:row r="317">
      <x:c r="A317" s="12" t="str">
        <x:v>PRC-00316</x:v>
      </x:c>
      <x:c r="B317" s="18" t="n">
        <x:v>46224</x:v>
      </x:c>
      <x:c r="C317" s="12" t="str">
        <x:v>DLR-011</x:v>
      </x:c>
      <x:c r="D317" s="12" t="str">
        <x:v>VinFast HTA Phạm Văn Đồng</x:v>
      </x:c>
      <x:c r="E317" s="12" t="str">
        <x:v>VinFast</x:v>
      </x:c>
      <x:c r="F317" s="12" t="n">
        <x:v>1.694</x:v>
      </x:c>
      <x:c r="G317" s="34" t="n">
        <x:v>0.06518337517614689</x:v>
      </x:c>
      <x:c r="H317" s="34" t="n">
        <x:v>0.045</x:v>
      </x:c>
      <x:c r="I317" s="12" t="n">
        <x:v>1.583</x:v>
      </x:c>
      <x:c r="J317" s="12" t="n">
        <x:v>0.0342</x:v>
      </x:c>
      <x:c r="K317" s="12" t="str">
        <x:v>Dealer Manager</x:v>
      </x:c>
      <x:c r="L317" s="12" t="str">
        <x:f>IF(G317&gt;H317,"BREACH","OK")</x:f>
        <x:v>BREACH</x:v>
      </x:c>
    </x:row>
    <x:row r="318">
      <x:c r="A318" s="12" t="str">
        <x:v>PRC-00317</x:v>
      </x:c>
      <x:c r="B318" s="18" t="n">
        <x:v>46216</x:v>
      </x:c>
      <x:c r="C318" s="12" t="str">
        <x:v>DLR-003</x:v>
      </x:c>
      <x:c r="D318" s="12" t="str">
        <x:v>Mỹ Đình Ford</x:v>
      </x:c>
      <x:c r="E318" s="12" t="str">
        <x:v>Ford</x:v>
      </x:c>
      <x:c r="F318" s="12" t="n">
        <x:v>1.655</x:v>
      </x:c>
      <x:c r="G318" s="34" t="n">
        <x:v>0.045455301366730164</x:v>
      </x:c>
      <x:c r="H318" s="34" t="n">
        <x:v>0.03</x:v>
      </x:c>
      <x:c r="I318" s="12" t="n">
        <x:v>1.579</x:v>
      </x:c>
      <x:c r="J318" s="12" t="n">
        <x:v>0.0256</x:v>
      </x:c>
      <x:c r="K318" s="12" t="str">
        <x:v>Dealer Manager</x:v>
      </x:c>
      <x:c r="L318" s="12" t="str">
        <x:f>IF(G318&gt;H318,"BREACH","OK")</x:f>
        <x:v>BREACH</x:v>
      </x:c>
    </x:row>
    <x:row r="319">
      <x:c r="A319" s="12" t="str">
        <x:v>PRC-00318</x:v>
      </x:c>
      <x:c r="B319" s="18" t="n">
        <x:v>46211</x:v>
      </x:c>
      <x:c r="C319" s="12" t="str">
        <x:v>DLR-009</x:v>
      </x:c>
      <x:c r="D319" s="12" t="str">
        <x:v>VinFast HTA Đông Anh</x:v>
      </x:c>
      <x:c r="E319" s="12" t="str">
        <x:v>VinFast</x:v>
      </x:c>
      <x:c r="F319" s="12" t="n">
        <x:v>1.362</x:v>
      </x:c>
      <x:c r="G319" s="34" t="n">
        <x:v>0.01727864043564837</x:v>
      </x:c>
      <x:c r="H319" s="34" t="n">
        <x:v>0.03</x:v>
      </x:c>
      <x:c r="I319" s="12" t="n">
        <x:v>1.338</x:v>
      </x:c>
      <x:c r="J319" s="12" t="n">
        <x:v>0</x:v>
      </x:c>
      <x:c r="K319" s="12" t="str">
        <x:v>Commercial Director</x:v>
      </x:c>
      <x:c r="L319" s="12" t="str">
        <x:f>IF(G319&gt;H319,"BREACH","OK")</x:f>
        <x:v>OK</x:v>
      </x:c>
    </x:row>
    <x:row r="320">
      <x:c r="A320" s="12" t="str">
        <x:v>PRC-00319</x:v>
      </x:c>
      <x:c r="B320" s="18" t="n">
        <x:v>46213</x:v>
      </x:c>
      <x:c r="C320" s="12" t="str">
        <x:v>DLR-005</x:v>
      </x:c>
      <x:c r="D320" s="12" t="str">
        <x:v>BYD HTA Tây Hồ</x:v>
      </x:c>
      <x:c r="E320" s="12" t="str">
        <x:v>BYD</x:v>
      </x:c>
      <x:c r="F320" s="12" t="n">
        <x:v>1.226</x:v>
      </x:c>
      <x:c r="G320" s="34" t="n">
        <x:v>0.03910924642854675</x:v>
      </x:c>
      <x:c r="H320" s="34" t="n">
        <x:v>0.05</x:v>
      </x:c>
      <x:c r="I320" s="12" t="n">
        <x:v>1.178</x:v>
      </x:c>
      <x:c r="J320" s="12" t="n">
        <x:v>0</x:v>
      </x:c>
      <x:c r="K320" s="12" t="str">
        <x:v>Commercial Director</x:v>
      </x:c>
      <x:c r="L320" s="12" t="str">
        <x:f>IF(G320&gt;H320,"BREACH","OK")</x:f>
        <x:v>OK</x:v>
      </x:c>
    </x:row>
    <x:row r="321">
      <x:c r="A321" s="12" t="str">
        <x:v>PRC-00320</x:v>
      </x:c>
      <x:c r="B321" s="18" t="n">
        <x:v>46215</x:v>
      </x:c>
      <x:c r="C321" s="12" t="str">
        <x:v>DLR-015</x:v>
      </x:c>
      <x:c r="D321" s="12" t="str">
        <x:v>VinFast HTA Văn Phú</x:v>
      </x:c>
      <x:c r="E321" s="12" t="str">
        <x:v>VinFast</x:v>
      </x:c>
      <x:c r="F321" s="12" t="n">
        <x:v>0.543</x:v>
      </x:c>
      <x:c r="G321" s="34" t="n">
        <x:v>0.07094020483348873</x:v>
      </x:c>
      <x:c r="H321" s="34" t="n">
        <x:v>0.045</x:v>
      </x:c>
      <x:c r="I321" s="12" t="n">
        <x:v>0.505</x:v>
      </x:c>
      <x:c r="J321" s="12" t="n">
        <x:v>0.0141</x:v>
      </x:c>
      <x:c r="K321" s="12" t="str">
        <x:v>Commercial Director</x:v>
      </x:c>
      <x:c r="L321" s="12" t="str">
        <x:f>IF(G321&gt;H321,"BREACH","OK")</x:f>
        <x:v>BREACH</x:v>
      </x:c>
    </x:row>
  </x:sheetData>
  <x:conditionalFormatting sqref="J2:J321">
    <x:cfRule type="dataBar" priority="1">
      <x:dataBar>
        <x:cfvo type="min"/>
        <x:cfvo type="max"/>
        <x:color rgb="FFC00000"/>
      </x:dataBar>
      <x:extLst>
        <x:ext xmlns:x14="http://schemas.microsoft.com/office/spreadsheetml/2009/9/main" uri="{B025F937-C7B1-47D3-B67F-A62EFF666E3E}">
          <x14:id>{4924D614-8FBD-4922-DA88-549EC1C70FEC}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c3bb32602604a4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924D614-8FBD-4922-DA88-549EC1C70FEC}">
            <x14:dataBar gradient="1">
              <x14:cfvo type="min"/>
              <x14:cfvo type="max"/>
              <x14:fillColor rgb="FFC00000"/>
            </x14:dataBar>
          </x14:cfRule>
          <xm:sqref>J2:J321</xm:sqref>
        </x14:conditionalFormatting>
      </x14:conditionalFormattings>
    </x:ext>
  </x:extLst>
</x:worksheet>
</file>

<file path=xl/worksheets/sheet3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20" hidden="0" customWidth="1"/>
    <x:col min="9" max="9" width="18" hidden="0" customWidth="1"/>
    <x:col min="10" max="10" width="18" hidden="0" customWidth="1"/>
    <x:col min="11" max="11" width="14" hidden="0" customWidth="1"/>
    <x:col min="12" max="12" width="16" hidden="0" customWidth="1"/>
    <x:col min="13" max="13" width="16" hidden="0" customWidth="1"/>
    <x:col min="14" max="14" width="16" hidden="0" customWidth="1"/>
    <x:col min="15" max="15" width="22" hidden="0" customWidth="1"/>
  </x:cols>
  <x:sheetData>
    <x:row r="1">
      <x:c r="A1" s="29" t="str">
        <x:v>Mã đại lý</x:v>
      </x:c>
      <x:c r="B1" s="29" t="str">
        <x:v>Đại lý</x:v>
      </x:c>
      <x:c r="C1" s="29" t="str">
        <x:v>Thương hiệu</x:v>
      </x:c>
      <x:c r="D1" s="29" t="str">
        <x:v>Địa bàn</x:v>
      </x:c>
      <x:c r="E1" s="29" t="str">
        <x:v>Doanh thu xe</x:v>
      </x:c>
      <x:c r="F1" s="29" t="str">
        <x:v>Doanh thu dịch vụ</x:v>
      </x:c>
      <x:c r="G1" s="29" t="str">
        <x:v>LN gộp xe</x:v>
      </x:c>
      <x:c r="H1" s="29" t="str">
        <x:v>LN gộp dịch vụ</x:v>
      </x:c>
      <x:c r="I1" s="29" t="str">
        <x:v>Chi phí nhân sự</x:v>
      </x:c>
      <x:c r="J1" s="29" t="str">
        <x:v>Chi phí mặt bằng</x:v>
      </x:c>
      <x:c r="K1" s="29" t="str">
        <x:v>Marketing</x:v>
      </x:c>
      <x:c r="L1" s="29" t="str">
        <x:v>Chi phí khác</x:v>
      </x:c>
      <x:c r="M1" s="29" t="str">
        <x:v>EBITDA</x:v>
      </x:c>
      <x:c r="N1" s="29" t="str">
        <x:v>Biên EBITDA</x:v>
      </x:c>
      <x:c r="O1" s="29" t="str">
        <x:v>Doanh thu/nhân viên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str">
        <x:v>Hà Nội</x:v>
      </x:c>
      <x:c r="E2" s="35" t="n">
        <x:v>163.04</x:v>
      </x:c>
      <x:c r="F2" s="35" t="n">
        <x:v>10.69</x:v>
      </x:c>
      <x:c r="G2" s="35" t="n">
        <x:v>11.79</x:v>
      </x:c>
      <x:c r="H2" s="35" t="n">
        <x:v>3.42</x:v>
      </x:c>
      <x:c r="I2" s="35" t="n">
        <x:v>3.66</x:v>
      </x:c>
      <x:c r="J2" s="35" t="n">
        <x:v>1.55</x:v>
      </x:c>
      <x:c r="K2" s="35" t="n">
        <x:v>1.74</x:v>
      </x:c>
      <x:c r="L2" s="35" t="n">
        <x:v>1.31</x:v>
      </x:c>
      <x:c r="M2" s="35" t="n">
        <x:f>G2+H2-I2-J2-K2-L2</x:f>
        <x:v>6.9499999999999975</x:v>
      </x:c>
      <x:c r="N2" s="34" t="n">
        <x:f>IFERROR(M2/(E2+F2),0)</x:f>
        <x:v>0.04000460484660104</x:v>
      </x:c>
      <x:c r="O2" s="35" t="n">
        <x:f>IFERROR((E2+F2)/XLOOKUP(A2,Workforce!A:A,Workforce!F:F),0)</x:f>
        <x:v>10.858125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str">
        <x:v>Hà Nội</x:v>
      </x:c>
      <x:c r="E3" s="35" t="n">
        <x:v>400.81</x:v>
      </x:c>
      <x:c r="F3" s="35" t="n">
        <x:v>15.5</x:v>
      </x:c>
      <x:c r="G3" s="35" t="n">
        <x:v>27.9</x:v>
      </x:c>
      <x:c r="H3" s="35" t="n">
        <x:v>6.2</x:v>
      </x:c>
      <x:c r="I3" s="35" t="n">
        <x:v>12.41</x:v>
      </x:c>
      <x:c r="J3" s="35" t="n">
        <x:v>6.73</x:v>
      </x:c>
      <x:c r="K3" s="35" t="n">
        <x:v>4.61</x:v>
      </x:c>
      <x:c r="L3" s="35" t="n">
        <x:v>4.72</x:v>
      </x:c>
      <x:c r="M3" s="35" t="n">
        <x:f>G3+H3-I3-J3-K3-L3</x:f>
        <x:v>5.630000000000002</x:v>
      </x:c>
      <x:c r="N3" s="34" t="n">
        <x:f>IFERROR(M3/(E3+F3),0)</x:f>
        <x:v>0.013523576181211121</x:v>
      </x:c>
      <x:c r="O3" s="35" t="n">
        <x:f>IFERROR((E3+F3)/XLOOKUP(A3,Workforce!A:A,Workforce!F:F),0)</x:f>
        <x:v>24.488823529411764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str">
        <x:v>Hà Nội</x:v>
      </x:c>
      <x:c r="E4" s="35" t="n">
        <x:v>259.95</x:v>
      </x:c>
      <x:c r="F4" s="35" t="n">
        <x:v>20.14</x:v>
      </x:c>
      <x:c r="G4" s="35" t="n">
        <x:v>27.19</x:v>
      </x:c>
      <x:c r="H4" s="35" t="n">
        <x:v>7.77</x:v>
      </x:c>
      <x:c r="I4" s="35" t="n">
        <x:v>8.52</x:v>
      </x:c>
      <x:c r="J4" s="35" t="n">
        <x:v>4.32</x:v>
      </x:c>
      <x:c r="K4" s="35" t="n">
        <x:v>3.4</x:v>
      </x:c>
      <x:c r="L4" s="35" t="n">
        <x:v>3.06</x:v>
      </x:c>
      <x:c r="M4" s="35" t="n">
        <x:f>G4+H4-I4-J4-K4-L4</x:f>
        <x:v>15.660000000000002</x:v>
      </x:c>
      <x:c r="N4" s="34" t="n">
        <x:f>IFERROR(M4/(E4+F4),0)</x:f>
        <x:v>0.05591060016423294</x:v>
      </x:c>
      <x:c r="O4" s="35" t="n">
        <x:f>IFERROR((E4+F4)/XLOOKUP(A4,Workforce!A:A,Workforce!F:F),0)</x:f>
        <x:v>10.373703703703702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str">
        <x:v>Phú Thọ</x:v>
      </x:c>
      <x:c r="E5" s="35" t="n">
        <x:v>326.17</x:v>
      </x:c>
      <x:c r="F5" s="35" t="n">
        <x:v>23.94</x:v>
      </x:c>
      <x:c r="G5" s="35" t="n">
        <x:v>25.49</x:v>
      </x:c>
      <x:c r="H5" s="35" t="n">
        <x:v>9.35</x:v>
      </x:c>
      <x:c r="I5" s="35" t="n">
        <x:v>7.74</x:v>
      </x:c>
      <x:c r="J5" s="35" t="n">
        <x:v>4.91</x:v>
      </x:c>
      <x:c r="K5" s="35" t="n">
        <x:v>2.54</x:v>
      </x:c>
      <x:c r="L5" s="35" t="n">
        <x:v>3.6</x:v>
      </x:c>
      <x:c r="M5" s="35" t="n">
        <x:f>G5+H5-I5-J5-K5-L5</x:f>
        <x:v>16.049999999999994</x:v>
      </x:c>
      <x:c r="N5" s="34" t="n">
        <x:f>IFERROR(M5/(E5+F5),0)</x:f>
        <x:v>0.04584273514038443</x:v>
      </x:c>
      <x:c r="O5" s="35" t="n">
        <x:f>IFERROR((E5+F5)/XLOOKUP(A5,Workforce!A:A,Workforce!F:F),0)</x:f>
        <x:v>23.340666666666667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str">
        <x:v>Hà Nội</x:v>
      </x:c>
      <x:c r="E6" s="35" t="n">
        <x:v>400.9</x:v>
      </x:c>
      <x:c r="F6" s="35" t="n">
        <x:v>17.6</x:v>
      </x:c>
      <x:c r="G6" s="35" t="n">
        <x:v>35.33</x:v>
      </x:c>
      <x:c r="H6" s="35" t="n">
        <x:v>5.81</x:v>
      </x:c>
      <x:c r="I6" s="35" t="n">
        <x:v>13.16</x:v>
      </x:c>
      <x:c r="J6" s="35" t="n">
        <x:v>4.54</x:v>
      </x:c>
      <x:c r="K6" s="35" t="n">
        <x:v>2.98</x:v>
      </x:c>
      <x:c r="L6" s="35" t="n">
        <x:v>4.01</x:v>
      </x:c>
      <x:c r="M6" s="35" t="n">
        <x:f>G6+H6-I6-J6-K6-L6</x:f>
        <x:v>16.450000000000003</x:v>
      </x:c>
      <x:c r="N6" s="34" t="n">
        <x:f>IFERROR(M6/(E6+F6),0)</x:f>
        <x:v>0.039307048984468344</x:v>
      </x:c>
      <x:c r="O6" s="35" t="n">
        <x:f>IFERROR((E6+F6)/XLOOKUP(A6,Workforce!A:A,Workforce!F:F),0)</x:f>
        <x:v>17.4375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str">
        <x:v>Hà Nội</x:v>
      </x:c>
      <x:c r="E7" s="35" t="n">
        <x:v>279.42</x:v>
      </x:c>
      <x:c r="F7" s="35" t="n">
        <x:v>9.06</x:v>
      </x:c>
      <x:c r="G7" s="35" t="n">
        <x:v>16.49</x:v>
      </x:c>
      <x:c r="H7" s="35" t="n">
        <x:v>3.03</x:v>
      </x:c>
      <x:c r="I7" s="35" t="n">
        <x:v>7.39</x:v>
      </x:c>
      <x:c r="J7" s="35" t="n">
        <x:v>4.2</x:v>
      </x:c>
      <x:c r="K7" s="35" t="n">
        <x:v>3.6</x:v>
      </x:c>
      <x:c r="L7" s="35" t="n">
        <x:v>3.16</x:v>
      </x:c>
      <x:c r="M7" s="35" t="n">
        <x:f>G7+H7-I7-J7-K7-L7</x:f>
        <x:v>1.1699999999999982</x:v>
      </x:c>
      <x:c r="N7" s="34" t="n">
        <x:f>IFERROR(M7/(E7+F7),0)</x:f>
        <x:v>0.004055740432612306</x:v>
      </x:c>
      <x:c r="O7" s="35" t="n">
        <x:f>IFERROR((E7+F7)/XLOOKUP(A7,Workforce!A:A,Workforce!F:F),0)</x:f>
        <x:v>10.302857142857144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str">
        <x:v>Hà Nội</x:v>
      </x:c>
      <x:c r="E8" s="35" t="n">
        <x:v>110.81</x:v>
      </x:c>
      <x:c r="F8" s="35" t="n">
        <x:v>18.29</x:v>
      </x:c>
      <x:c r="G8" s="35" t="n">
        <x:v>11.49</x:v>
      </x:c>
      <x:c r="H8" s="35" t="n">
        <x:v>7.16</x:v>
      </x:c>
      <x:c r="I8" s="35" t="n">
        <x:v>3.57</x:v>
      </x:c>
      <x:c r="J8" s="35" t="n">
        <x:v>1.44</x:v>
      </x:c>
      <x:c r="K8" s="35" t="n">
        <x:v>0.96</x:v>
      </x:c>
      <x:c r="L8" s="35" t="n">
        <x:v>1.5</x:v>
      </x:c>
      <x:c r="M8" s="35" t="n">
        <x:f>G8+H8-I8-J8-K8-L8</x:f>
        <x:v>11.18</x:v>
      </x:c>
      <x:c r="N8" s="34" t="n">
        <x:f>IFERROR(M8/(E8+F8),0)</x:f>
        <x:v>0.0865995352439969</x:v>
      </x:c>
      <x:c r="O8" s="35" t="n">
        <x:f>IFERROR((E8+F8)/XLOOKUP(A8,Workforce!A:A,Workforce!F:F),0)</x:f>
        <x:v>8.06875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str">
        <x:v>Hà Nội</x:v>
      </x:c>
      <x:c r="E9" s="35" t="n">
        <x:v>236.74</x:v>
      </x:c>
      <x:c r="F9" s="35" t="n">
        <x:v>26.23</x:v>
      </x:c>
      <x:c r="G9" s="35" t="n">
        <x:v>16.44</x:v>
      </x:c>
      <x:c r="H9" s="35" t="n">
        <x:v>7.48</x:v>
      </x:c>
      <x:c r="I9" s="35" t="n">
        <x:v>8.01</x:v>
      </x:c>
      <x:c r="J9" s="35" t="n">
        <x:v>3.61</x:v>
      </x:c>
      <x:c r="K9" s="35" t="n">
        <x:v>3.03</x:v>
      </x:c>
      <x:c r="L9" s="35" t="n">
        <x:v>2.31</x:v>
      </x:c>
      <x:c r="M9" s="35" t="n">
        <x:f>G9+H9-I9-J9-K9-L9</x:f>
        <x:v>6.960000000000003</x:v>
      </x:c>
      <x:c r="N9" s="34" t="n">
        <x:f>IFERROR(M9/(E9+F9),0)</x:f>
        <x:v>0.026466897364718415</x:v>
      </x:c>
      <x:c r="O9" s="35" t="n">
        <x:f>IFERROR((E9+F9)/XLOOKUP(A9,Workforce!A:A,Workforce!F:F),0)</x:f>
        <x:v>21.91416666666667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str">
        <x:v>Hà Nội</x:v>
      </x:c>
      <x:c r="E10" s="35" t="n">
        <x:v>110.3</x:v>
      </x:c>
      <x:c r="F10" s="35" t="n">
        <x:v>22.89</x:v>
      </x:c>
      <x:c r="G10" s="35" t="n">
        <x:v>9.62</x:v>
      </x:c>
      <x:c r="H10" s="35" t="n">
        <x:v>7.5</x:v>
      </x:c>
      <x:c r="I10" s="35" t="n">
        <x:v>3.81</x:v>
      </x:c>
      <x:c r="J10" s="35" t="n">
        <x:v>1.4</x:v>
      </x:c>
      <x:c r="K10" s="35" t="n">
        <x:v>1.04</x:v>
      </x:c>
      <x:c r="L10" s="35" t="n">
        <x:v>1.25</x:v>
      </x:c>
      <x:c r="M10" s="35" t="n">
        <x:f>G10+H10-I10-J10-K10-L10</x:f>
        <x:v>9.619999999999997</x:v>
      </x:c>
      <x:c r="N10" s="34" t="n">
        <x:f>IFERROR(M10/(E10+F10),0)</x:f>
        <x:v>0.07222764471807191</x:v>
      </x:c>
      <x:c r="O10" s="35" t="n">
        <x:f>IFERROR((E10+F10)/XLOOKUP(A10,Workforce!A:A,Workforce!F:F),0)</x:f>
        <x:v>13.318999999999999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str">
        <x:v>Hà Nội</x:v>
      </x:c>
      <x:c r="E11" s="35" t="n">
        <x:v>143.47</x:v>
      </x:c>
      <x:c r="F11" s="35" t="n">
        <x:v>14.36</x:v>
      </x:c>
      <x:c r="G11" s="35" t="n">
        <x:v>13.1</x:v>
      </x:c>
      <x:c r="H11" s="35" t="n">
        <x:v>5.29</x:v>
      </x:c>
      <x:c r="I11" s="35" t="n">
        <x:v>3.57</x:v>
      </x:c>
      <x:c r="J11" s="35" t="n">
        <x:v>2.67</x:v>
      </x:c>
      <x:c r="K11" s="35" t="n">
        <x:v>1.14</x:v>
      </x:c>
      <x:c r="L11" s="35" t="n">
        <x:v>1.32</x:v>
      </x:c>
      <x:c r="M11" s="35" t="n">
        <x:f>G11+H11-I11-J11-K11-L11</x:f>
        <x:v>9.69</x:v>
      </x:c>
      <x:c r="N11" s="34" t="n">
        <x:f>IFERROR(M11/(E11+F11),0)</x:f>
        <x:v>0.06139517202052842</x:v>
      </x:c>
      <x:c r="O11" s="35" t="n">
        <x:f>IFERROR((E11+F11)/XLOOKUP(A11,Workforce!A:A,Workforce!F:F),0)</x:f>
        <x:v>10.521999999999998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str">
        <x:v>Hà Nội</x:v>
      </x:c>
      <x:c r="E12" s="35" t="n">
        <x:v>248.47</x:v>
      </x:c>
      <x:c r="F12" s="35" t="n">
        <x:v>22.62</x:v>
      </x:c>
      <x:c r="G12" s="35" t="n">
        <x:v>21.45</x:v>
      </x:c>
      <x:c r="H12" s="35" t="n">
        <x:v>7.95</x:v>
      </x:c>
      <x:c r="I12" s="35" t="n">
        <x:v>4.93</x:v>
      </x:c>
      <x:c r="J12" s="35" t="n">
        <x:v>4.17</x:v>
      </x:c>
      <x:c r="K12" s="35" t="n">
        <x:v>2.65</x:v>
      </x:c>
      <x:c r="L12" s="35" t="n">
        <x:v>2.09</x:v>
      </x:c>
      <x:c r="M12" s="35" t="n">
        <x:f>G12+H12-I12-J12-K12-L12</x:f>
        <x:v>15.559999999999999</x:v>
      </x:c>
      <x:c r="N12" s="34" t="n">
        <x:f>IFERROR(M12/(E12+F12),0)</x:f>
        <x:v>0.05739791213250212</x:v>
      </x:c>
      <x:c r="O12" s="35" t="n">
        <x:f>IFERROR((E12+F12)/XLOOKUP(A12,Workforce!A:A,Workforce!F:F),0)</x:f>
        <x:v>33.88625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str">
        <x:v>Hà Nội</x:v>
      </x:c>
      <x:c r="E13" s="35" t="n">
        <x:v>312.19</x:v>
      </x:c>
      <x:c r="F13" s="35" t="n">
        <x:v>27.3</x:v>
      </x:c>
      <x:c r="G13" s="35" t="n">
        <x:v>28.74</x:v>
      </x:c>
      <x:c r="H13" s="35" t="n">
        <x:v>10.57</x:v>
      </x:c>
      <x:c r="I13" s="35" t="n">
        <x:v>10.52</x:v>
      </x:c>
      <x:c r="J13" s="35" t="n">
        <x:v>5.02</x:v>
      </x:c>
      <x:c r="K13" s="35" t="n">
        <x:v>4.27</x:v>
      </x:c>
      <x:c r="L13" s="35" t="n">
        <x:v>3.37</x:v>
      </x:c>
      <x:c r="M13" s="35" t="n">
        <x:f>G13+H13-I13-J13-K13-L13</x:f>
        <x:v>16.130000000000003</x:v>
      </x:c>
      <x:c r="N13" s="34" t="n">
        <x:f>IFERROR(M13/(E13+F13),0)</x:f>
        <x:v>0.04751244513829569</x:v>
      </x:c>
      <x:c r="O13" s="35" t="n">
        <x:f>IFERROR((E13+F13)/XLOOKUP(A13,Workforce!A:A,Workforce!F:F),0)</x:f>
        <x:v>22.63266666666667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str">
        <x:v>Ninh Bình</x:v>
      </x:c>
      <x:c r="E14" s="35" t="n">
        <x:v>156.51</x:v>
      </x:c>
      <x:c r="F14" s="35" t="n">
        <x:v>27.26</x:v>
      </x:c>
      <x:c r="G14" s="35" t="n">
        <x:v>15.39</x:v>
      </x:c>
      <x:c r="H14" s="35" t="n">
        <x:v>9.93</x:v>
      </x:c>
      <x:c r="I14" s="35" t="n">
        <x:v>3.92</x:v>
      </x:c>
      <x:c r="J14" s="35" t="n">
        <x:v>2.66</x:v>
      </x:c>
      <x:c r="K14" s="35" t="n">
        <x:v>2.03</x:v>
      </x:c>
      <x:c r="L14" s="35" t="n">
        <x:v>1.12</x:v>
      </x:c>
      <x:c r="M14" s="35" t="n">
        <x:f>G14+H14-I14-J14-K14-L14</x:f>
        <x:v>15.589999999999996</x:v>
      </x:c>
      <x:c r="N14" s="34" t="n">
        <x:f>IFERROR(M14/(E14+F14),0)</x:f>
        <x:v>0.08483430374925177</x:v>
      </x:c>
      <x:c r="O14" s="35" t="n">
        <x:f>IFERROR((E14+F14)/XLOOKUP(A14,Workforce!A:A,Workforce!F:F),0)</x:f>
        <x:v>7.989999999999999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str">
        <x:v>Hà Nội</x:v>
      </x:c>
      <x:c r="E15" s="35" t="n">
        <x:v>174.92</x:v>
      </x:c>
      <x:c r="F15" s="35" t="n">
        <x:v>11.01</x:v>
      </x:c>
      <x:c r="G15" s="35" t="n">
        <x:v>10.11</x:v>
      </x:c>
      <x:c r="H15" s="35" t="n">
        <x:v>3.72</x:v>
      </x:c>
      <x:c r="I15" s="35" t="n">
        <x:v>4.32</x:v>
      </x:c>
      <x:c r="J15" s="35" t="n">
        <x:v>1.74</x:v>
      </x:c>
      <x:c r="K15" s="35" t="n">
        <x:v>1.44</x:v>
      </x:c>
      <x:c r="L15" s="35" t="n">
        <x:v>2.02</x:v>
      </x:c>
      <x:c r="M15" s="35" t="n">
        <x:f>G15+H15-I15-J15-K15-L15</x:f>
        <x:v>4.3100000000000005</x:v>
      </x:c>
      <x:c r="N15" s="34" t="n">
        <x:f>IFERROR(M15/(E15+F15),0)</x:f>
        <x:v>0.023180766955305767</x:v>
      </x:c>
      <x:c r="O15" s="35" t="n">
        <x:f>IFERROR((E15+F15)/XLOOKUP(A15,Workforce!A:A,Workforce!F:F),0)</x:f>
        <x:v>11.620624999999999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str">
        <x:v>Hà Nội</x:v>
      </x:c>
      <x:c r="E16" s="35" t="n">
        <x:v>410.9</x:v>
      </x:c>
      <x:c r="F16" s="35" t="n">
        <x:v>10.31</x:v>
      </x:c>
      <x:c r="G16" s="35" t="n">
        <x:v>41.17</x:v>
      </x:c>
      <x:c r="H16" s="35" t="n">
        <x:v>3.14</x:v>
      </x:c>
      <x:c r="I16" s="35" t="n">
        <x:v>12.66</x:v>
      </x:c>
      <x:c r="J16" s="35" t="n">
        <x:v>5.02</x:v>
      </x:c>
      <x:c r="K16" s="35" t="n">
        <x:v>3.72</x:v>
      </x:c>
      <x:c r="L16" s="35" t="n">
        <x:v>4.58</x:v>
      </x:c>
      <x:c r="M16" s="35" t="n">
        <x:f>G16+H16-I16-J16-K16-L16</x:f>
        <x:v>18.330000000000005</x:v>
      </x:c>
      <x:c r="N16" s="34" t="n">
        <x:f>IFERROR(M16/(E16+F16),0)</x:f>
        <x:v>0.043517485339854244</x:v>
      </x:c>
      <x:c r="O16" s="35" t="n">
        <x:f>IFERROR((E16+F16)/XLOOKUP(A16,Workforce!A:A,Workforce!F:F),0)</x:f>
        <x:v>17.550416666666667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str">
        <x:v>Hà Nội</x:v>
      </x:c>
      <x:c r="E17" s="35" t="n">
        <x:v>187.53</x:v>
      </x:c>
      <x:c r="F17" s="35" t="n">
        <x:v>11.13</x:v>
      </x:c>
      <x:c r="G17" s="35" t="n">
        <x:v>11.5</x:v>
      </x:c>
      <x:c r="H17" s="35" t="n">
        <x:v>4.07</x:v>
      </x:c>
      <x:c r="I17" s="35" t="n">
        <x:v>5.15</x:v>
      </x:c>
      <x:c r="J17" s="35" t="n">
        <x:v>3.3</x:v>
      </x:c>
      <x:c r="K17" s="35" t="n">
        <x:v>2.4</x:v>
      </x:c>
      <x:c r="L17" s="35" t="n">
        <x:v>1.94</x:v>
      </x:c>
      <x:c r="M17" s="35" t="n">
        <x:f>G17+H17-I17-J17-K17-L17</x:f>
        <x:v>2.7800000000000007</x:v>
      </x:c>
      <x:c r="N17" s="34" t="n">
        <x:f>IFERROR(M17/(E17+F17),0)</x:f>
        <x:v>0.013993758179804696</x:v>
      </x:c>
      <x:c r="O17" s="35" t="n">
        <x:f>IFERROR((E17+F17)/XLOOKUP(A17,Workforce!A:A,Workforce!F:F),0)</x:f>
        <x:v>14.19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str">
        <x:v>Hà Nội</x:v>
      </x:c>
      <x:c r="E18" s="35" t="n">
        <x:v>280.24</x:v>
      </x:c>
      <x:c r="F18" s="35" t="n">
        <x:v>27.71</x:v>
      </x:c>
      <x:c r="G18" s="35" t="n">
        <x:v>23.02</x:v>
      </x:c>
      <x:c r="H18" s="35" t="n">
        <x:v>8.95</x:v>
      </x:c>
      <x:c r="I18" s="35" t="n">
        <x:v>5.92</x:v>
      </x:c>
      <x:c r="J18" s="35" t="n">
        <x:v>4.04</x:v>
      </x:c>
      <x:c r="K18" s="35" t="n">
        <x:v>4.3</x:v>
      </x:c>
      <x:c r="L18" s="35" t="n">
        <x:v>3.28</x:v>
      </x:c>
      <x:c r="M18" s="35" t="n">
        <x:f>G18+H18-I18-J18-K18-L18</x:f>
        <x:v>14.429999999999998</x:v>
      </x:c>
      <x:c r="N18" s="34" t="n">
        <x:f>IFERROR(M18/(E18+F18),0)</x:f>
        <x:v>0.04685825621042376</x:v>
      </x:c>
      <x:c r="O18" s="35" t="n">
        <x:f>IFERROR((E18+F18)/XLOOKUP(A18,Workforce!A:A,Workforce!F:F),0)</x:f>
        <x:v>23.68846153846154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str">
        <x:v>Hà Nội</x:v>
      </x:c>
      <x:c r="E19" s="35" t="n">
        <x:v>247.56</x:v>
      </x:c>
      <x:c r="F19" s="35" t="n">
        <x:v>21.55</x:v>
      </x:c>
      <x:c r="G19" s="35" t="n">
        <x:v>21.55</x:v>
      </x:c>
      <x:c r="H19" s="35" t="n">
        <x:v>8.38</x:v>
      </x:c>
      <x:c r="I19" s="35" t="n">
        <x:v>6.52</x:v>
      </x:c>
      <x:c r="J19" s="35" t="n">
        <x:v>2.18</x:v>
      </x:c>
      <x:c r="K19" s="35" t="n">
        <x:v>2.42</x:v>
      </x:c>
      <x:c r="L19" s="35" t="n">
        <x:v>3.1</x:v>
      </x:c>
      <x:c r="M19" s="35" t="n">
        <x:f>G19+H19-I19-J19-K19-L19</x:f>
        <x:v>15.710000000000003</x:v>
      </x:c>
      <x:c r="N19" s="34" t="n">
        <x:f>IFERROR(M19/(E19+F19),0)</x:f>
        <x:v>0.05837761510163131</x:v>
      </x:c>
      <x:c r="O19" s="35" t="n">
        <x:f>IFERROR((E19+F19)/XLOOKUP(A19,Workforce!A:A,Workforce!F:F),0)</x:f>
        <x:v>10.350384615384616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str">
        <x:v>Phú Thọ</x:v>
      </x:c>
      <x:c r="E20" s="35" t="n">
        <x:v>256.32</x:v>
      </x:c>
      <x:c r="F20" s="35" t="n">
        <x:v>22.34</x:v>
      </x:c>
      <x:c r="G20" s="35" t="n">
        <x:v>22.64</x:v>
      </x:c>
      <x:c r="H20" s="35" t="n">
        <x:v>9.03</x:v>
      </x:c>
      <x:c r="I20" s="35" t="n">
        <x:v>5.46</x:v>
      </x:c>
      <x:c r="J20" s="35" t="n">
        <x:v>4.04</x:v>
      </x:c>
      <x:c r="K20" s="35" t="n">
        <x:v>1.92</x:v>
      </x:c>
      <x:c r="L20" s="35" t="n">
        <x:v>2.77</x:v>
      </x:c>
      <x:c r="M20" s="35" t="n">
        <x:f>G20+H20-I20-J20-K20-L20</x:f>
        <x:v>17.48</x:v>
      </x:c>
      <x:c r="N20" s="34" t="n">
        <x:f>IFERROR(M20/(E20+F20),0)</x:f>
        <x:v>0.06272877341563196</x:v>
      </x:c>
      <x:c r="O20" s="35" t="n">
        <x:f>IFERROR((E20+F20)/XLOOKUP(A20,Workforce!A:A,Workforce!F:F),0)</x:f>
        <x:v>14.666315789473682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str">
        <x:v>Hà Nội</x:v>
      </x:c>
      <x:c r="E21" s="35" t="n">
        <x:v>130.75</x:v>
      </x:c>
      <x:c r="F21" s="35" t="n">
        <x:v>13.82</x:v>
      </x:c>
      <x:c r="G21" s="35" t="n">
        <x:v>13.55</x:v>
      </x:c>
      <x:c r="H21" s="35" t="n">
        <x:v>5.31</x:v>
      </x:c>
      <x:c r="I21" s="35" t="n">
        <x:v>3.05</x:v>
      </x:c>
      <x:c r="J21" s="35" t="n">
        <x:v>1.17</x:v>
      </x:c>
      <x:c r="K21" s="35" t="n">
        <x:v>1.5</x:v>
      </x:c>
      <x:c r="L21" s="35" t="n">
        <x:v>1.25</x:v>
      </x:c>
      <x:c r="M21" s="35" t="n">
        <x:f>G21+H21-I21-J21-K21-L21</x:f>
        <x:v>11.889999999999999</x:v>
      </x:c>
      <x:c r="N21" s="34" t="n">
        <x:f>IFERROR(M21/(E21+F21),0)</x:f>
        <x:v>0.08224389569066888</x:v>
      </x:c>
      <x:c r="O21" s="35" t="n">
        <x:f>IFERROR((E21+F21)/XLOOKUP(A21,Workforce!A:A,Workforce!F:F),0)</x:f>
        <x:v>8.031666666666666</x:v>
      </x:c>
    </x:row>
  </x:sheetData>
  <x:pageMargins left="0.7" right="0.7" top="0.75" bottom="0.75" header="0.3" footer="0.3"/>
  <x:tableParts count="1">
    <x:tablePart xmlns:r="http://schemas.openxmlformats.org/officeDocument/2006/relationships" r:id="Rda490fac09f741f4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22" hidden="0" customWidth="1"/>
  </x:cols>
  <x:sheetData>
    <x:row r="1">
      <x:c r="A1" s="29" t="str">
        <x:v>Mã đại lý</x:v>
      </x:c>
      <x:c r="B1" s="29" t="str">
        <x:v>Đại lý</x:v>
      </x:c>
      <x:c r="C1" s="29" t="str">
        <x:v>Thương hiệu</x:v>
      </x:c>
      <x:c r="D1" s="29" t="str">
        <x:v>Tồn kho</x:v>
      </x:c>
      <x:c r="E1" s="29" t="str">
        <x:v>Phải thu</x:v>
      </x:c>
      <x:c r="F1" s="29" t="str">
        <x:v>Phải trả</x:v>
      </x:c>
      <x:c r="G1" s="29" t="str">
        <x:v>Giá vốn tháng</x:v>
      </x:c>
      <x:c r="H1" s="29" t="str">
        <x:v>Doanh thu tháng</x:v>
      </x:c>
      <x:c r="I1" s="29" t="str">
        <x:v>DIO</x:v>
      </x:c>
      <x:c r="J1" s="29" t="str">
        <x:v>DSO</x:v>
      </x:c>
      <x:c r="K1" s="29" t="str">
        <x:v>DPO</x:v>
      </x:c>
      <x:c r="L1" s="29" t="str">
        <x:v>Cash Conversion Cycle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35" t="n">
        <x:v>43.43</x:v>
      </x:c>
      <x:c r="E2" s="35" t="n">
        <x:v>19.56</x:v>
      </x:c>
      <x:c r="F2" s="35" t="n">
        <x:v>51.7</x:v>
      </x:c>
      <x:c r="G2" s="35" t="n">
        <x:v>114.44</x:v>
      </x:c>
      <x:c r="H2" s="35" t="n">
        <x:v>134.52</x:v>
      </x:c>
      <x:c r="I2" s="20" t="n">
        <x:f>IFERROR(D2/G2*30,0)</x:f>
        <x:v>11.385005242922055</x:v>
      </x:c>
      <x:c r="J2" s="20" t="n">
        <x:f>IFERROR(E2/H2*30,0)</x:f>
        <x:v>4.362176628010704</x:v>
      </x:c>
      <x:c r="K2" s="20" t="n">
        <x:f>IFERROR(F2/G2*30,0)</x:f>
        <x:v>13.552953512757778</x:v>
      </x:c>
      <x:c r="L2" s="20" t="n">
        <x:f>I2+J2-K2</x:f>
        <x:v>2.194228358174982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35" t="n">
        <x:v>108.28</x:v>
      </x:c>
      <x:c r="E3" s="35" t="n">
        <x:v>7.16</x:v>
      </x:c>
      <x:c r="F3" s="35" t="n">
        <x:v>21.41</x:v>
      </x:c>
      <x:c r="G3" s="35" t="n">
        <x:v>92.3</x:v>
      </x:c>
      <x:c r="H3" s="35" t="n">
        <x:v>76.82</x:v>
      </x:c>
      <x:c r="I3" s="20" t="n">
        <x:f>IFERROR(D3/G3*30,0)</x:f>
        <x:v>35.193932827735644</x:v>
      </x:c>
      <x:c r="J3" s="20" t="n">
        <x:f>IFERROR(E3/H3*30,0)</x:f>
        <x:v>2.79614683676126</x:v>
      </x:c>
      <x:c r="K3" s="20" t="n">
        <x:f>IFERROR(F3/G3*30,0)</x:f>
        <x:v>6.958829902491875</x:v>
      </x:c>
      <x:c r="L3" s="20" t="n">
        <x:f>I3+J3-K3</x:f>
        <x:v>31.03124976200503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35" t="n">
        <x:v>99.01</x:v>
      </x:c>
      <x:c r="E4" s="35" t="n">
        <x:v>32.39</x:v>
      </x:c>
      <x:c r="F4" s="35" t="n">
        <x:v>63.98</x:v>
      </x:c>
      <x:c r="G4" s="35" t="n">
        <x:v>117.41</x:v>
      </x:c>
      <x:c r="H4" s="35" t="n">
        <x:v>128.01</x:v>
      </x:c>
      <x:c r="I4" s="20" t="n">
        <x:f>IFERROR(D4/G4*30,0)</x:f>
        <x:v>25.298526530959887</x:v>
      </x:c>
      <x:c r="J4" s="20" t="n">
        <x:f>IFERROR(E4/H4*30,0)</x:f>
        <x:v>7.590813217717366</x:v>
      </x:c>
      <x:c r="K4" s="20" t="n">
        <x:f>IFERROR(F4/G4*30,0)</x:f>
        <x:v>16.34784089941232</x:v>
      </x:c>
      <x:c r="L4" s="20" t="n">
        <x:f>I4+J4-K4</x:f>
        <x:v>16.541498849264933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35" t="n">
        <x:v>56.85</x:v>
      </x:c>
      <x:c r="E5" s="35" t="n">
        <x:v>33.95</x:v>
      </x:c>
      <x:c r="F5" s="35" t="n">
        <x:v>66.73</x:v>
      </x:c>
      <x:c r="G5" s="35" t="n">
        <x:v>72.85</x:v>
      </x:c>
      <x:c r="H5" s="35" t="n">
        <x:v>125.48</x:v>
      </x:c>
      <x:c r="I5" s="20" t="n">
        <x:f>IFERROR(D5/G5*30,0)</x:f>
        <x:v>23.411118737131094</x:v>
      </x:c>
      <x:c r="J5" s="20" t="n">
        <x:f>IFERROR(E5/H5*30,0)</x:f>
        <x:v>8.116831367548615</x:v>
      </x:c>
      <x:c r="K5" s="20" t="n">
        <x:f>IFERROR(F5/G5*30,0)</x:f>
        <x:v>27.479752916952645</x:v>
      </x:c>
      <x:c r="L5" s="20" t="n">
        <x:f>I5+J5-K5</x:f>
        <x:v>4.048197187727066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35" t="n">
        <x:v>138.36</x:v>
      </x:c>
      <x:c r="E6" s="35" t="n">
        <x:v>23.95</x:v>
      </x:c>
      <x:c r="F6" s="35" t="n">
        <x:v>63.45</x:v>
      </x:c>
      <x:c r="G6" s="35" t="n">
        <x:v>81.28</x:v>
      </x:c>
      <x:c r="H6" s="35" t="n">
        <x:v>133.29</x:v>
      </x:c>
      <x:c r="I6" s="20" t="n">
        <x:f>IFERROR(D6/G6*30,0)</x:f>
        <x:v>51.06791338582678</x:v>
      </x:c>
      <x:c r="J6" s="20" t="n">
        <x:f>IFERROR(E6/H6*30,0)</x:f>
        <x:v>5.390501913121764</x:v>
      </x:c>
      <x:c r="K6" s="20" t="n">
        <x:f>IFERROR(F6/G6*30,0)</x:f>
        <x:v>23.419045275590552</x:v>
      </x:c>
      <x:c r="L6" s="20" t="n">
        <x:f>I6+J6-K6</x:f>
        <x:v>33.03937002335799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35" t="n">
        <x:v>97.88</x:v>
      </x:c>
      <x:c r="E7" s="35" t="n">
        <x:v>12.14</x:v>
      </x:c>
      <x:c r="F7" s="35" t="n">
        <x:v>59.88</x:v>
      </x:c>
      <x:c r="G7" s="35" t="n">
        <x:v>64.94</x:v>
      </x:c>
      <x:c r="H7" s="35" t="n">
        <x:v>78.19</x:v>
      </x:c>
      <x:c r="I7" s="20" t="n">
        <x:f>IFERROR(D7/G7*30,0)</x:f>
        <x:v>45.21712349861411</x:v>
      </x:c>
      <x:c r="J7" s="20" t="n">
        <x:f>IFERROR(E7/H7*30,0)</x:f>
        <x:v>4.657884639979537</x:v>
      </x:c>
      <x:c r="K7" s="20" t="n">
        <x:f>IFERROR(F7/G7*30,0)</x:f>
        <x:v>27.662457653218357</x:v>
      </x:c>
      <x:c r="L7" s="20" t="n">
        <x:f>I7+J7-K7</x:f>
        <x:v>22.212550485375285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35" t="n">
        <x:v>141.4</x:v>
      </x:c>
      <x:c r="E8" s="35" t="n">
        <x:v>21.84</x:v>
      </x:c>
      <x:c r="F8" s="35" t="n">
        <x:v>62.16</x:v>
      </x:c>
      <x:c r="G8" s="35" t="n">
        <x:v>82.49</x:v>
      </x:c>
      <x:c r="H8" s="35" t="n">
        <x:v>79.82</x:v>
      </x:c>
      <x:c r="I8" s="20" t="n">
        <x:f>IFERROR(D8/G8*30,0)</x:f>
        <x:v>51.42441508061584</x:v>
      </x:c>
      <x:c r="J8" s="20" t="n">
        <x:f>IFERROR(E8/H8*30,0)</x:f>
        <x:v>8.208469055374593</x:v>
      </x:c>
      <x:c r="K8" s="20" t="n">
        <x:f>IFERROR(F8/G8*30,0)</x:f>
        <x:v>22.606376530488543</x:v>
      </x:c>
      <x:c r="L8" s="20" t="n">
        <x:f>I8+J8-K8</x:f>
        <x:v>37.02650760550189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35" t="n">
        <x:v>113.26</x:v>
      </x:c>
      <x:c r="E9" s="35" t="n">
        <x:v>8.24</x:v>
      </x:c>
      <x:c r="F9" s="35" t="n">
        <x:v>29.93</x:v>
      </x:c>
      <x:c r="G9" s="35" t="n">
        <x:v>42.63</x:v>
      </x:c>
      <x:c r="H9" s="35" t="n">
        <x:v>140.8</x:v>
      </x:c>
      <x:c r="I9" s="20" t="n">
        <x:f>IFERROR(D9/G9*30,0)</x:f>
        <x:v>79.70443349753695</x:v>
      </x:c>
      <x:c r="J9" s="20" t="n">
        <x:f>IFERROR(E9/H9*30,0)</x:f>
        <x:v>1.7556818181818181</x:v>
      </x:c>
      <x:c r="K9" s="20" t="n">
        <x:f>IFERROR(F9/G9*30,0)</x:f>
        <x:v>21.062631949331458</x:v>
      </x:c>
      <x:c r="L9" s="20" t="n">
        <x:f>I9+J9-K9</x:f>
        <x:v>60.397483366387306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35" t="n">
        <x:v>127.77</x:v>
      </x:c>
      <x:c r="E10" s="35" t="n">
        <x:v>14.84</x:v>
      </x:c>
      <x:c r="F10" s="35" t="n">
        <x:v>70.11</x:v>
      </x:c>
      <x:c r="G10" s="35" t="n">
        <x:v>77.38</x:v>
      </x:c>
      <x:c r="H10" s="35" t="n">
        <x:v>53.04</x:v>
      </x:c>
      <x:c r="I10" s="20" t="n">
        <x:f>IFERROR(D10/G10*30,0)</x:f>
        <x:v>49.536055828379425</x:v>
      </x:c>
      <x:c r="J10" s="20" t="n">
        <x:f>IFERROR(E10/H10*30,0)</x:f>
        <x:v>8.393665158371041</x:v>
      </x:c>
      <x:c r="K10" s="20" t="n">
        <x:f>IFERROR(F10/G10*30,0)</x:f>
        <x:v>27.18144223313518</x:v>
      </x:c>
      <x:c r="L10" s="20" t="n">
        <x:f>I10+J10-K10</x:f>
        <x:v>30.74827875361529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35" t="n">
        <x:v>138.02</x:v>
      </x:c>
      <x:c r="E11" s="35" t="n">
        <x:v>5.77</x:v>
      </x:c>
      <x:c r="F11" s="35" t="n">
        <x:v>32.15</x:v>
      </x:c>
      <x:c r="G11" s="35" t="n">
        <x:v>49.02</x:v>
      </x:c>
      <x:c r="H11" s="35" t="n">
        <x:v>96.85</x:v>
      </x:c>
      <x:c r="I11" s="20" t="n">
        <x:f>IFERROR(D11/G11*30,0)</x:f>
        <x:v>84.46756425948593</x:v>
      </x:c>
      <x:c r="J11" s="20" t="n">
        <x:f>IFERROR(E11/H11*30,0)</x:f>
        <x:v>1.7872999483737737</x:v>
      </x:c>
      <x:c r="K11" s="20" t="n">
        <x:f>IFERROR(F11/G11*30,0)</x:f>
        <x:v>19.675642594859237</x:v>
      </x:c>
      <x:c r="L11" s="20" t="n">
        <x:f>I11+J11-K11</x:f>
        <x:v>66.57922161300046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35" t="n">
        <x:v>91.8</x:v>
      </x:c>
      <x:c r="E12" s="35" t="n">
        <x:v>14.5</x:v>
      </x:c>
      <x:c r="F12" s="35" t="n">
        <x:v>28.65</x:v>
      </x:c>
      <x:c r="G12" s="35" t="n">
        <x:v>52.45</x:v>
      </x:c>
      <x:c r="H12" s="35" t="n">
        <x:v>57.47</x:v>
      </x:c>
      <x:c r="I12" s="20" t="n">
        <x:f>IFERROR(D12/G12*30,0)</x:f>
        <x:v>52.5071496663489</x:v>
      </x:c>
      <x:c r="J12" s="20" t="n">
        <x:f>IFERROR(E12/H12*30,0)</x:f>
        <x:v>7.569166521663478</x:v>
      </x:c>
      <x:c r="K12" s="20" t="n">
        <x:f>IFERROR(F12/G12*30,0)</x:f>
        <x:v>16.387035271687317</x:v>
      </x:c>
      <x:c r="L12" s="20" t="n">
        <x:f>I12+J12-K12</x:f>
        <x:v>43.68928091632506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35" t="n">
        <x:v>47.46</x:v>
      </x:c>
      <x:c r="E13" s="35" t="n">
        <x:v>18.91</x:v>
      </x:c>
      <x:c r="F13" s="35" t="n">
        <x:v>80.01</x:v>
      </x:c>
      <x:c r="G13" s="35" t="n">
        <x:v>43.95</x:v>
      </x:c>
      <x:c r="H13" s="35" t="n">
        <x:v>149.01</x:v>
      </x:c>
      <x:c r="I13" s="20" t="n">
        <x:f>IFERROR(D13/G13*30,0)</x:f>
        <x:v>32.395904436860064</x:v>
      </x:c>
      <x:c r="J13" s="20" t="n">
        <x:f>IFERROR(E13/H13*30,0)</x:f>
        <x:v>3.807127038453795</x:v>
      </x:c>
      <x:c r="K13" s="20" t="n">
        <x:f>IFERROR(F13/G13*30,0)</x:f>
        <x:v>54.61433447098976</x:v>
      </x:c>
      <x:c r="L13" s="20" t="n">
        <x:f>I13+J13-K13</x:f>
        <x:v>-18.411302995675904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35" t="n">
        <x:v>35.41</x:v>
      </x:c>
      <x:c r="E14" s="35" t="n">
        <x:v>9.59</x:v>
      </x:c>
      <x:c r="F14" s="35" t="n">
        <x:v>47.62</x:v>
      </x:c>
      <x:c r="G14" s="35" t="n">
        <x:v>54.55</x:v>
      </x:c>
      <x:c r="H14" s="35" t="n">
        <x:v>100.43</x:v>
      </x:c>
      <x:c r="I14" s="20" t="n">
        <x:f>IFERROR(D14/G14*30,0)</x:f>
        <x:v>19.473877176901926</x:v>
      </x:c>
      <x:c r="J14" s="20" t="n">
        <x:f>IFERROR(E14/H14*30,0)</x:f>
        <x:v>2.8646818679677386</x:v>
      </x:c>
      <x:c r="K14" s="20" t="n">
        <x:f>IFERROR(F14/G14*30,0)</x:f>
        <x:v>26.188817598533454</x:v>
      </x:c>
      <x:c r="L14" s="20" t="n">
        <x:f>I14+J14-K14</x:f>
        <x:v>-3.8502585536637888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35" t="n">
        <x:v>137.22</x:v>
      </x:c>
      <x:c r="E15" s="35" t="n">
        <x:v>19.87</x:v>
      </x:c>
      <x:c r="F15" s="35" t="n">
        <x:v>78.06</x:v>
      </x:c>
      <x:c r="G15" s="35" t="n">
        <x:v>48.89</x:v>
      </x:c>
      <x:c r="H15" s="35" t="n">
        <x:v>58.29</x:v>
      </x:c>
      <x:c r="I15" s="20" t="n">
        <x:f>IFERROR(D15/G15*30,0)</x:f>
        <x:v>84.20126815299652</x:v>
      </x:c>
      <x:c r="J15" s="20" t="n">
        <x:f>IFERROR(E15/H15*30,0)</x:f>
        <x:v>10.2264539372105</x:v>
      </x:c>
      <x:c r="K15" s="20" t="n">
        <x:f>IFERROR(F15/G15*30,0)</x:f>
        <x:v>47.89936592350174</x:v>
      </x:c>
      <x:c r="L15" s="20" t="n">
        <x:f>I15+J15-K15</x:f>
        <x:v>46.52835616670529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35" t="n">
        <x:v>48.76</x:v>
      </x:c>
      <x:c r="E16" s="35" t="n">
        <x:v>37.63</x:v>
      </x:c>
      <x:c r="F16" s="35" t="n">
        <x:v>23.55</x:v>
      </x:c>
      <x:c r="G16" s="35" t="n">
        <x:v>72.04</x:v>
      </x:c>
      <x:c r="H16" s="35" t="n">
        <x:v>73.97</x:v>
      </x:c>
      <x:c r="I16" s="20" t="n">
        <x:f>IFERROR(D16/G16*30,0)</x:f>
        <x:v>20.30538589672404</x:v>
      </x:c>
      <x:c r="J16" s="20" t="n">
        <x:f>IFERROR(E16/H16*30,0)</x:f>
        <x:v>15.261592537515211</x:v>
      </x:c>
      <x:c r="K16" s="20" t="n">
        <x:f>IFERROR(F16/G16*30,0)</x:f>
        <x:v>9.8070516379789</x:v>
      </x:c>
      <x:c r="L16" s="20" t="n">
        <x:f>I16+J16-K16</x:f>
        <x:v>25.759926796260352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35" t="n">
        <x:v>77.06</x:v>
      </x:c>
      <x:c r="E17" s="35" t="n">
        <x:v>25.16</x:v>
      </x:c>
      <x:c r="F17" s="35" t="n">
        <x:v>21.03</x:v>
      </x:c>
      <x:c r="G17" s="35" t="n">
        <x:v>89.25</x:v>
      </x:c>
      <x:c r="H17" s="35" t="n">
        <x:v>65.89</x:v>
      </x:c>
      <x:c r="I17" s="20" t="n">
        <x:f>IFERROR(D17/G17*30,0)</x:f>
        <x:v>25.90252100840336</x:v>
      </x:c>
      <x:c r="J17" s="20" t="n">
        <x:f>IFERROR(E17/H17*30,0)</x:f>
        <x:v>11.455456063135529</x:v>
      </x:c>
      <x:c r="K17" s="20" t="n">
        <x:f>IFERROR(F17/G17*30,0)</x:f>
        <x:v>7.068907563025211</x:v>
      </x:c>
      <x:c r="L17" s="20" t="n">
        <x:f>I17+J17-K17</x:f>
        <x:v>30.28906950851368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35" t="n">
        <x:v>106.91</x:v>
      </x:c>
      <x:c r="E18" s="35" t="n">
        <x:v>20.95</x:v>
      </x:c>
      <x:c r="F18" s="35" t="n">
        <x:v>50.02</x:v>
      </x:c>
      <x:c r="G18" s="35" t="n">
        <x:v>58.16</x:v>
      </x:c>
      <x:c r="H18" s="35" t="n">
        <x:v>125.82</x:v>
      </x:c>
      <x:c r="I18" s="20" t="n">
        <x:f>IFERROR(D18/G18*30,0)</x:f>
        <x:v>55.14614855570839</x:v>
      </x:c>
      <x:c r="J18" s="20" t="n">
        <x:f>IFERROR(E18/H18*30,0)</x:f>
        <x:v>4.995231282784931</x:v>
      </x:c>
      <x:c r="K18" s="20" t="n">
        <x:f>IFERROR(F18/G18*30,0)</x:f>
        <x:v>25.80123796423659</x:v>
      </x:c>
      <x:c r="L18" s="20" t="n">
        <x:f>I18+J18-K18</x:f>
        <x:v>34.34014187425673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35" t="n">
        <x:v>50.46</x:v>
      </x:c>
      <x:c r="E19" s="35" t="n">
        <x:v>19.99</x:v>
      </x:c>
      <x:c r="F19" s="35" t="n">
        <x:v>52.47</x:v>
      </x:c>
      <x:c r="G19" s="35" t="n">
        <x:v>52.09</x:v>
      </x:c>
      <x:c r="H19" s="35" t="n">
        <x:v>78.72</x:v>
      </x:c>
      <x:c r="I19" s="20" t="n">
        <x:f>IFERROR(D19/G19*30,0)</x:f>
        <x:v>29.061240161259356</x:v>
      </x:c>
      <x:c r="J19" s="20" t="n">
        <x:f>IFERROR(E19/H19*30,0)</x:f>
        <x:v>7.618140243902438</x:v>
      </x:c>
      <x:c r="K19" s="20" t="n">
        <x:f>IFERROR(F19/G19*30,0)</x:f>
        <x:v>30.21885198694567</x:v>
      </x:c>
      <x:c r="L19" s="20" t="n">
        <x:f>I19+J19-K19</x:f>
        <x:v>6.460528418216125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35" t="n">
        <x:v>121.51</x:v>
      </x:c>
      <x:c r="E20" s="35" t="n">
        <x:v>17.02</x:v>
      </x:c>
      <x:c r="F20" s="35" t="n">
        <x:v>35.23</x:v>
      </x:c>
      <x:c r="G20" s="35" t="n">
        <x:v>63.48</x:v>
      </x:c>
      <x:c r="H20" s="35" t="n">
        <x:v>87.28</x:v>
      </x:c>
      <x:c r="I20" s="20" t="n">
        <x:f>IFERROR(D20/G20*30,0)</x:f>
        <x:v>57.424385633270326</x:v>
      </x:c>
      <x:c r="J20" s="20" t="n">
        <x:f>IFERROR(E20/H20*30,0)</x:f>
        <x:v>5.850137488542621</x:v>
      </x:c>
      <x:c r="K20" s="20" t="n">
        <x:f>IFERROR(F20/G20*30,0)</x:f>
        <x:v>16.649338374291116</x:v>
      </x:c>
      <x:c r="L20" s="20" t="n">
        <x:f>I20+J20-K20</x:f>
        <x:v>46.62518474752183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35" t="n">
        <x:v>83.73</x:v>
      </x:c>
      <x:c r="E21" s="35" t="n">
        <x:v>23.05</x:v>
      </x:c>
      <x:c r="F21" s="35" t="n">
        <x:v>49.16</x:v>
      </x:c>
      <x:c r="G21" s="35" t="n">
        <x:v>70.56</x:v>
      </x:c>
      <x:c r="H21" s="35" t="n">
        <x:v>60.8</x:v>
      </x:c>
      <x:c r="I21" s="20" t="n">
        <x:f>IFERROR(D21/G21*30,0)</x:f>
        <x:v>35.599489795918366</x:v>
      </x:c>
      <x:c r="J21" s="20" t="n">
        <x:f>IFERROR(E21/H21*30,0)</x:f>
        <x:v>11.373355263157896</x:v>
      </x:c>
      <x:c r="K21" s="20" t="n">
        <x:f>IFERROR(F21/G21*30,0)</x:f>
        <x:v>20.901360544217685</x:v>
      </x:c>
      <x:c r="L21" s="20" t="n">
        <x:f>I21+J21-K21</x:f>
        <x:v>26.07148451485858</x:v>
      </x:c>
    </x:row>
  </x:sheetData>
  <x:conditionalFormatting sqref="L2:L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f34aee1204a4fe2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15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6" hidden="0" customWidth="1"/>
    <x:col min="11" max="11" width="20" hidden="0" customWidth="1"/>
    <x:col min="12" max="12" width="16" hidden="0" customWidth="1"/>
  </x:cols>
  <x:sheetData>
    <x:row r="1">
      <x:c r="A1" s="29" t="str">
        <x:v>Tuần</x:v>
      </x:c>
      <x:c r="B1" s="29" t="str">
        <x:v>Bắt đầu</x:v>
      </x:c>
      <x:c r="C1" s="29" t="str">
        <x:v>Tiền đầu kỳ</x:v>
      </x:c>
      <x:c r="D1" s="29" t="str">
        <x:v>Thu tiền</x:v>
      </x:c>
      <x:c r="E1" s="29" t="str">
        <x:v>Thanh toán xe</x:v>
      </x:c>
      <x:c r="F1" s="29" t="str">
        <x:v>OPEX</x:v>
      </x:c>
      <x:c r="G1" s="29" t="str">
        <x:v>CAPEX</x:v>
      </x:c>
      <x:c r="H1" s="29" t="str">
        <x:v>Nợ vay</x:v>
      </x:c>
      <x:c r="I1" s="29" t="str">
        <x:v>Dòng tiền ròng</x:v>
      </x:c>
      <x:c r="J1" s="29" t="str">
        <x:v>Tiền cuối kỳ</x:v>
      </x:c>
      <x:c r="K1" s="29" t="str">
        <x:v>Mức tiền tối thiểu</x:v>
      </x:c>
      <x:c r="L1" s="29" t="str">
        <x:v>Headroom</x:v>
      </x:c>
    </x:row>
    <x:row r="2">
      <x:c r="A2" s="12" t="n">
        <x:v>1</x:v>
      </x:c>
      <x:c r="B2" s="18" t="n">
        <x:v>46223</x:v>
      </x:c>
      <x:c r="C2" s="35" t="n">
        <x:v>185</x:v>
      </x:c>
      <x:c r="D2" s="35" t="n">
        <x:v>138.49</x:v>
      </x:c>
      <x:c r="E2" s="35" t="n">
        <x:v>86.74</x:v>
      </x:c>
      <x:c r="F2" s="35" t="n">
        <x:v>21.14</x:v>
      </x:c>
      <x:c r="G2" s="35" t="n">
        <x:v>10.66</x:v>
      </x:c>
      <x:c r="H2" s="35" t="n">
        <x:v>7.58</x:v>
      </x:c>
      <x:c r="I2" s="35" t="n">
        <x:v>12.37</x:v>
      </x:c>
      <x:c r="J2" s="35" t="n">
        <x:v>197.37</x:v>
      </x:c>
      <x:c r="K2" s="35" t="n">
        <x:v>90</x:v>
      </x:c>
      <x:c r="L2" s="35" t="n">
        <x:f>J2-K2</x:f>
        <x:v>107.37</x:v>
      </x:c>
    </x:row>
    <x:row r="3">
      <x:c r="A3" s="12" t="n">
        <x:v>2</x:v>
      </x:c>
      <x:c r="B3" s="18" t="n">
        <x:v>46230</x:v>
      </x:c>
      <x:c r="C3" s="35" t="n">
        <x:v>197.37</x:v>
      </x:c>
      <x:c r="D3" s="35" t="n">
        <x:v>95.48</x:v>
      </x:c>
      <x:c r="E3" s="35" t="n">
        <x:v>123.58</x:v>
      </x:c>
      <x:c r="F3" s="35" t="n">
        <x:v>21.1</x:v>
      </x:c>
      <x:c r="G3" s="35" t="n">
        <x:v>2.08</x:v>
      </x:c>
      <x:c r="H3" s="35" t="n">
        <x:v>7.85</x:v>
      </x:c>
      <x:c r="I3" s="35" t="n">
        <x:v>-59.13</x:v>
      </x:c>
      <x:c r="J3" s="35" t="n">
        <x:v>138.24</x:v>
      </x:c>
      <x:c r="K3" s="35" t="n">
        <x:v>90</x:v>
      </x:c>
      <x:c r="L3" s="35" t="n">
        <x:f>J3-K3</x:f>
        <x:v>48.24000000000001</x:v>
      </x:c>
    </x:row>
    <x:row r="4">
      <x:c r="A4" s="12" t="n">
        <x:v>3</x:v>
      </x:c>
      <x:c r="B4" s="18" t="n">
        <x:v>46237</x:v>
      </x:c>
      <x:c r="C4" s="35" t="n">
        <x:v>138.24</x:v>
      </x:c>
      <x:c r="D4" s="35" t="n">
        <x:v>129.62</x:v>
      </x:c>
      <x:c r="E4" s="35" t="n">
        <x:v>86.95</x:v>
      </x:c>
      <x:c r="F4" s="35" t="n">
        <x:v>19.47</x:v>
      </x:c>
      <x:c r="G4" s="35" t="n">
        <x:v>8.2</x:v>
      </x:c>
      <x:c r="H4" s="35" t="n">
        <x:v>4.07</x:v>
      </x:c>
      <x:c r="I4" s="35" t="n">
        <x:v>10.93</x:v>
      </x:c>
      <x:c r="J4" s="35" t="n">
        <x:v>149.17</x:v>
      </x:c>
      <x:c r="K4" s="35" t="n">
        <x:v>90</x:v>
      </x:c>
      <x:c r="L4" s="35" t="n">
        <x:f>J4-K4</x:f>
        <x:v>59.16999999999999</x:v>
      </x:c>
    </x:row>
    <x:row r="5">
      <x:c r="A5" s="12" t="n">
        <x:v>4</x:v>
      </x:c>
      <x:c r="B5" s="18" t="n">
        <x:v>46244</x:v>
      </x:c>
      <x:c r="C5" s="35" t="n">
        <x:v>149.17</x:v>
      </x:c>
      <x:c r="D5" s="35" t="n">
        <x:v>126.71</x:v>
      </x:c>
      <x:c r="E5" s="35" t="n">
        <x:v>80.32</x:v>
      </x:c>
      <x:c r="F5" s="35" t="n">
        <x:v>21.93</x:v>
      </x:c>
      <x:c r="G5" s="35" t="n">
        <x:v>8.59</x:v>
      </x:c>
      <x:c r="H5" s="35" t="n">
        <x:v>5.92</x:v>
      </x:c>
      <x:c r="I5" s="35" t="n">
        <x:v>9.95</x:v>
      </x:c>
      <x:c r="J5" s="35" t="n">
        <x:v>159.12</x:v>
      </x:c>
      <x:c r="K5" s="35" t="n">
        <x:v>90</x:v>
      </x:c>
      <x:c r="L5" s="35" t="n">
        <x:f>J5-K5</x:f>
        <x:v>69.12</x:v>
      </x:c>
    </x:row>
    <x:row r="6">
      <x:c r="A6" s="12" t="n">
        <x:v>5</x:v>
      </x:c>
      <x:c r="B6" s="18" t="n">
        <x:v>46251</x:v>
      </x:c>
      <x:c r="C6" s="35" t="n">
        <x:v>159.12</x:v>
      </x:c>
      <x:c r="D6" s="35" t="n">
        <x:v>146.71</x:v>
      </x:c>
      <x:c r="E6" s="35" t="n">
        <x:v>90.11</x:v>
      </x:c>
      <x:c r="F6" s="35" t="n">
        <x:v>16.79</x:v>
      </x:c>
      <x:c r="G6" s="35" t="n">
        <x:v>8.02</x:v>
      </x:c>
      <x:c r="H6" s="35" t="n">
        <x:v>6.59</x:v>
      </x:c>
      <x:c r="I6" s="35" t="n">
        <x:v>25.19</x:v>
      </x:c>
      <x:c r="J6" s="35" t="n">
        <x:v>184.31</x:v>
      </x:c>
      <x:c r="K6" s="35" t="n">
        <x:v>90</x:v>
      </x:c>
      <x:c r="L6" s="35" t="n">
        <x:f>J6-K6</x:f>
        <x:v>94.31</x:v>
      </x:c>
    </x:row>
    <x:row r="7">
      <x:c r="A7" s="12" t="n">
        <x:v>6</x:v>
      </x:c>
      <x:c r="B7" s="18" t="n">
        <x:v>46258</x:v>
      </x:c>
      <x:c r="C7" s="35" t="n">
        <x:v>184.31</x:v>
      </x:c>
      <x:c r="D7" s="35" t="n">
        <x:v>100.69</x:v>
      </x:c>
      <x:c r="E7" s="35" t="n">
        <x:v>95.16</x:v>
      </x:c>
      <x:c r="F7" s="35" t="n">
        <x:v>14.65</x:v>
      </x:c>
      <x:c r="G7" s="35" t="n">
        <x:v>8.13</x:v>
      </x:c>
      <x:c r="H7" s="35" t="n">
        <x:v>6.87</x:v>
      </x:c>
      <x:c r="I7" s="35" t="n">
        <x:v>-24.11</x:v>
      </x:c>
      <x:c r="J7" s="35" t="n">
        <x:v>160.2</x:v>
      </x:c>
      <x:c r="K7" s="35" t="n">
        <x:v>90</x:v>
      </x:c>
      <x:c r="L7" s="35" t="n">
        <x:f>J7-K7</x:f>
        <x:v>70.19999999999999</x:v>
      </x:c>
    </x:row>
    <x:row r="8">
      <x:c r="A8" s="12" t="n">
        <x:v>7</x:v>
      </x:c>
      <x:c r="B8" s="18" t="n">
        <x:v>46265</x:v>
      </x:c>
      <x:c r="C8" s="35" t="n">
        <x:v>160.2</x:v>
      </x:c>
      <x:c r="D8" s="35" t="n">
        <x:v>142.04</x:v>
      </x:c>
      <x:c r="E8" s="35" t="n">
        <x:v>83.59</x:v>
      </x:c>
      <x:c r="F8" s="35" t="n">
        <x:v>13.86</x:v>
      </x:c>
      <x:c r="G8" s="35" t="n">
        <x:v>10.74</x:v>
      </x:c>
      <x:c r="H8" s="35" t="n">
        <x:v>9.74</x:v>
      </x:c>
      <x:c r="I8" s="35" t="n">
        <x:v>24.1</x:v>
      </x:c>
      <x:c r="J8" s="35" t="n">
        <x:v>184.3</x:v>
      </x:c>
      <x:c r="K8" s="35" t="n">
        <x:v>90</x:v>
      </x:c>
      <x:c r="L8" s="35" t="n">
        <x:f>J8-K8</x:f>
        <x:v>94.30000000000001</x:v>
      </x:c>
    </x:row>
    <x:row r="9">
      <x:c r="A9" s="12" t="n">
        <x:v>8</x:v>
      </x:c>
      <x:c r="B9" s="18" t="n">
        <x:v>46272</x:v>
      </x:c>
      <x:c r="C9" s="35" t="n">
        <x:v>184.3</x:v>
      </x:c>
      <x:c r="D9" s="35" t="n">
        <x:v>131.98</x:v>
      </x:c>
      <x:c r="E9" s="35" t="n">
        <x:v>76.27</x:v>
      </x:c>
      <x:c r="F9" s="35" t="n">
        <x:v>12.87</x:v>
      </x:c>
      <x:c r="G9" s="35" t="n">
        <x:v>11.75</x:v>
      </x:c>
      <x:c r="H9" s="35" t="n">
        <x:v>8.39</x:v>
      </x:c>
      <x:c r="I9" s="35" t="n">
        <x:v>22.7</x:v>
      </x:c>
      <x:c r="J9" s="35" t="n">
        <x:v>207</x:v>
      </x:c>
      <x:c r="K9" s="35" t="n">
        <x:v>90</x:v>
      </x:c>
      <x:c r="L9" s="35" t="n">
        <x:f>J9-K9</x:f>
        <x:v>117</x:v>
      </x:c>
    </x:row>
    <x:row r="10">
      <x:c r="A10" s="12" t="n">
        <x:v>9</x:v>
      </x:c>
      <x:c r="B10" s="18" t="n">
        <x:v>46279</x:v>
      </x:c>
      <x:c r="C10" s="35" t="n">
        <x:v>207</x:v>
      </x:c>
      <x:c r="D10" s="35" t="n">
        <x:v>103.06</x:v>
      </x:c>
      <x:c r="E10" s="35" t="n">
        <x:v>72.83</x:v>
      </x:c>
      <x:c r="F10" s="35" t="n">
        <x:v>16.4</x:v>
      </x:c>
      <x:c r="G10" s="35" t="n">
        <x:v>11.58</x:v>
      </x:c>
      <x:c r="H10" s="35" t="n">
        <x:v>5.15</x:v>
      </x:c>
      <x:c r="I10" s="35" t="n">
        <x:v>-2.89</x:v>
      </x:c>
      <x:c r="J10" s="35" t="n">
        <x:v>204.11</x:v>
      </x:c>
      <x:c r="K10" s="35" t="n">
        <x:v>90</x:v>
      </x:c>
      <x:c r="L10" s="35" t="n">
        <x:f>J10-K10</x:f>
        <x:v>114.11000000000001</x:v>
      </x:c>
    </x:row>
    <x:row r="11">
      <x:c r="A11" s="12" t="n">
        <x:v>10</x:v>
      </x:c>
      <x:c r="B11" s="18" t="n">
        <x:v>46286</x:v>
      </x:c>
      <x:c r="C11" s="35" t="n">
        <x:v>204.11</x:v>
      </x:c>
      <x:c r="D11" s="35" t="n">
        <x:v>120.23</x:v>
      </x:c>
      <x:c r="E11" s="35" t="n">
        <x:v>94.38</x:v>
      </x:c>
      <x:c r="F11" s="35" t="n">
        <x:v>14.94</x:v>
      </x:c>
      <x:c r="G11" s="35" t="n">
        <x:v>10.31</x:v>
      </x:c>
      <x:c r="H11" s="35" t="n">
        <x:v>6.45</x:v>
      </x:c>
      <x:c r="I11" s="35" t="n">
        <x:v>-5.85</x:v>
      </x:c>
      <x:c r="J11" s="35" t="n">
        <x:v>198.26</x:v>
      </x:c>
      <x:c r="K11" s="35" t="n">
        <x:v>90</x:v>
      </x:c>
      <x:c r="L11" s="35" t="n">
        <x:f>J11-K11</x:f>
        <x:v>108.25999999999999</x:v>
      </x:c>
    </x:row>
    <x:row r="12">
      <x:c r="A12" s="12" t="n">
        <x:v>11</x:v>
      </x:c>
      <x:c r="B12" s="18" t="n">
        <x:v>46293</x:v>
      </x:c>
      <x:c r="C12" s="35" t="n">
        <x:v>198.26</x:v>
      </x:c>
      <x:c r="D12" s="35" t="n">
        <x:v>96.44</x:v>
      </x:c>
      <x:c r="E12" s="35" t="n">
        <x:v>91.2</x:v>
      </x:c>
      <x:c r="F12" s="35" t="n">
        <x:v>16.98</x:v>
      </x:c>
      <x:c r="G12" s="35" t="n">
        <x:v>3.44</x:v>
      </x:c>
      <x:c r="H12" s="35" t="n">
        <x:v>9.57</x:v>
      </x:c>
      <x:c r="I12" s="35" t="n">
        <x:v>-24.75</x:v>
      </x:c>
      <x:c r="J12" s="35" t="n">
        <x:v>173.51</x:v>
      </x:c>
      <x:c r="K12" s="35" t="n">
        <x:v>90</x:v>
      </x:c>
      <x:c r="L12" s="35" t="n">
        <x:f>J12-K12</x:f>
        <x:v>83.50999999999999</x:v>
      </x:c>
    </x:row>
    <x:row r="13">
      <x:c r="A13" s="12" t="n">
        <x:v>12</x:v>
      </x:c>
      <x:c r="B13" s="18" t="n">
        <x:v>46300</x:v>
      </x:c>
      <x:c r="C13" s="35" t="n">
        <x:v>173.51</x:v>
      </x:c>
      <x:c r="D13" s="35" t="n">
        <x:v>121.22</x:v>
      </x:c>
      <x:c r="E13" s="35" t="n">
        <x:v>113.27</x:v>
      </x:c>
      <x:c r="F13" s="35" t="n">
        <x:v>19.88</x:v>
      </x:c>
      <x:c r="G13" s="35" t="n">
        <x:v>11.08</x:v>
      </x:c>
      <x:c r="H13" s="35" t="n">
        <x:v>6.31</x:v>
      </x:c>
      <x:c r="I13" s="35" t="n">
        <x:v>-29.31</x:v>
      </x:c>
      <x:c r="J13" s="35" t="n">
        <x:v>144.2</x:v>
      </x:c>
      <x:c r="K13" s="35" t="n">
        <x:v>90</x:v>
      </x:c>
      <x:c r="L13" s="35" t="n">
        <x:f>J13-K13</x:f>
        <x:v>54.19999999999999</x:v>
      </x:c>
    </x:row>
    <x:row r="14">
      <x:c r="A14" s="12" t="n">
        <x:v>13</x:v>
      </x:c>
      <x:c r="B14" s="18" t="n">
        <x:v>46307</x:v>
      </x:c>
      <x:c r="C14" s="35" t="n">
        <x:v>144.2</x:v>
      </x:c>
      <x:c r="D14" s="35" t="n">
        <x:v>120.85</x:v>
      </x:c>
      <x:c r="E14" s="35" t="n">
        <x:v>90.64</x:v>
      </x:c>
      <x:c r="F14" s="35" t="n">
        <x:v>14.94</x:v>
      </x:c>
      <x:c r="G14" s="35" t="n">
        <x:v>4.08</x:v>
      </x:c>
      <x:c r="H14" s="35" t="n">
        <x:v>7.69</x:v>
      </x:c>
      <x:c r="I14" s="35" t="n">
        <x:v>3.49</x:v>
      </x:c>
      <x:c r="J14" s="35" t="n">
        <x:v>147.69</x:v>
      </x:c>
      <x:c r="K14" s="35" t="n">
        <x:v>90</x:v>
      </x:c>
      <x:c r="L14" s="35" t="n">
        <x:f>J14-K14</x:f>
        <x:v>57.69</x:v>
      </x:c>
    </x:row>
  </x:sheetData>
  <x:conditionalFormatting sqref="L2:L14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6f59f865a20436e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16" hidden="0" customWidth="1"/>
    <x:col min="5" max="5" width="14" hidden="0" customWidth="1"/>
    <x:col min="6" max="6" width="12" hidden="0" customWidth="1"/>
    <x:col min="7" max="7" width="16" hidden="0" customWidth="1"/>
    <x:col min="8" max="8" width="14" hidden="0" customWidth="1"/>
    <x:col min="9" max="9" width="14" hidden="0" customWidth="1"/>
    <x:col min="10" max="10" width="20" hidden="0" customWidth="1"/>
    <x:col min="11" max="11" width="14" hidden="0" customWidth="1"/>
    <x:col min="12" max="12" width="20" hidden="0" customWidth="1"/>
  </x:cols>
  <x:sheetData>
    <x:row r="1">
      <x:c r="A1" s="29" t="str">
        <x:v>Mã đại lý</x:v>
      </x:c>
      <x:c r="B1" s="29" t="str">
        <x:v>Đại lý</x:v>
      </x:c>
      <x:c r="C1" s="29" t="str">
        <x:v>Thương hiệu</x:v>
      </x:c>
      <x:c r="D1" s="29" t="str">
        <x:v>Địa bàn</x:v>
      </x:c>
      <x:c r="E1" s="29" t="str">
        <x:v>Headcount</x:v>
      </x:c>
      <x:c r="F1" s="29" t="str">
        <x:v>Sales</x:v>
      </x:c>
      <x:c r="G1" s="29" t="str">
        <x:v>Kỹ thuật viên</x:v>
      </x:c>
      <x:c r="H1" s="29" t="str">
        <x:v>Hỗ trợ</x:v>
      </x:c>
      <x:c r="I1" s="29" t="str">
        <x:v>Turnover</x:v>
      </x:c>
      <x:c r="J1" s="29" t="str">
        <x:v>Đào tạo hoàn thành</x:v>
      </x:c>
      <x:c r="K1" s="29" t="str">
        <x:v>Engagement</x:v>
      </x:c>
      <x:c r="L1" s="29" t="str">
        <x:v>Succession Coverage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str">
        <x:v>Hà Nội</x:v>
      </x:c>
      <x:c r="E2" s="12" t="n">
        <x:v>97</x:v>
      </x:c>
      <x:c r="F2" s="12" t="n">
        <x:v>16</x:v>
      </x:c>
      <x:c r="G2" s="12" t="n">
        <x:v>41</x:v>
      </x:c>
      <x:c r="H2" s="12" t="n">
        <x:v>40</x:v>
      </x:c>
      <x:c r="I2" s="34" t="n">
        <x:v>0.15220729962013374</x:v>
      </x:c>
      <x:c r="J2" s="34" t="n">
        <x:v>0.8871209732940526</x:v>
      </x:c>
      <x:c r="K2" s="12" t="n">
        <x:v>76.70449548931002</x:v>
      </x:c>
      <x:c r="L2" s="34" t="n">
        <x:v>0.6704099717587437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str">
        <x:v>Hà Nội</x:v>
      </x:c>
      <x:c r="E3" s="12" t="n">
        <x:v>106</x:v>
      </x:c>
      <x:c r="F3" s="12" t="n">
        <x:v>17</x:v>
      </x:c>
      <x:c r="G3" s="12" t="n">
        <x:v>20</x:v>
      </x:c>
      <x:c r="H3" s="12" t="n">
        <x:v>69</x:v>
      </x:c>
      <x:c r="I3" s="34" t="n">
        <x:v>0.101645674285268</x:v>
      </x:c>
      <x:c r="J3" s="34" t="n">
        <x:v>0.8381127670011455</x:v>
      </x:c>
      <x:c r="K3" s="12" t="n">
        <x:v>83.3917200338846</x:v>
      </x:c>
      <x:c r="L3" s="34" t="n">
        <x:v>0.5253979412447312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str">
        <x:v>Hà Nội</x:v>
      </x:c>
      <x:c r="E4" s="12" t="n">
        <x:v>45</x:v>
      </x:c>
      <x:c r="F4" s="12" t="n">
        <x:v>27</x:v>
      </x:c>
      <x:c r="G4" s="12" t="n">
        <x:v>37</x:v>
      </x:c>
      <x:c r="H4" s="12" t="n">
        <x:v>-19</x:v>
      </x:c>
      <x:c r="I4" s="34" t="n">
        <x:v>0.1762230261388894</x:v>
      </x:c>
      <x:c r="J4" s="34" t="n">
        <x:v>0.7562743785094412</x:v>
      </x:c>
      <x:c r="K4" s="12" t="n">
        <x:v>77.2949434344875</x:v>
      </x:c>
      <x:c r="L4" s="34" t="n">
        <x:v>0.5625154261423311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str">
        <x:v>Phú Thọ</x:v>
      </x:c>
      <x:c r="E5" s="12" t="n">
        <x:v>85</x:v>
      </x:c>
      <x:c r="F5" s="12" t="n">
        <x:v>15</x:v>
      </x:c>
      <x:c r="G5" s="12" t="n">
        <x:v>39</x:v>
      </x:c>
      <x:c r="H5" s="12" t="n">
        <x:v>31</x:v>
      </x:c>
      <x:c r="I5" s="34" t="n">
        <x:v>0.0845183589094454</x:v>
      </x:c>
      <x:c r="J5" s="34" t="n">
        <x:v>0.9778751157683709</x:v>
      </x:c>
      <x:c r="K5" s="12" t="n">
        <x:v>83.36541669242612</x:v>
      </x:c>
      <x:c r="L5" s="34" t="n">
        <x:v>0.48309507920996375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str">
        <x:v>Hà Nội</x:v>
      </x:c>
      <x:c r="E6" s="12" t="n">
        <x:v>107</x:v>
      </x:c>
      <x:c r="F6" s="12" t="n">
        <x:v>24</x:v>
      </x:c>
      <x:c r="G6" s="12" t="n">
        <x:v>40</x:v>
      </x:c>
      <x:c r="H6" s="12" t="n">
        <x:v>43</x:v>
      </x:c>
      <x:c r="I6" s="34" t="n">
        <x:v>0.07056569477983751</x:v>
      </x:c>
      <x:c r="J6" s="34" t="n">
        <x:v>0.8209994941820229</x:v>
      </x:c>
      <x:c r="K6" s="12" t="n">
        <x:v>78.1608420663983</x:v>
      </x:c>
      <x:c r="L6" s="34" t="n">
        <x:v>0.6156487430508019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str">
        <x:v>Hà Nội</x:v>
      </x:c>
      <x:c r="E7" s="12" t="n">
        <x:v>72</x:v>
      </x:c>
      <x:c r="F7" s="12" t="n">
        <x:v>28</x:v>
      </x:c>
      <x:c r="G7" s="12" t="n">
        <x:v>36</x:v>
      </x:c>
      <x:c r="H7" s="12" t="n">
        <x:v>8</x:v>
      </x:c>
      <x:c r="I7" s="34" t="n">
        <x:v>0.19117656869462557</x:v>
      </x:c>
      <x:c r="J7" s="34" t="n">
        <x:v>0.9435507615622656</x:v>
      </x:c>
      <x:c r="K7" s="12" t="n">
        <x:v>72.03612198919538</x:v>
      </x:c>
      <x:c r="L7" s="34" t="n">
        <x:v>0.7668123685942126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str">
        <x:v>Hà Nội</x:v>
      </x:c>
      <x:c r="E8" s="12" t="n">
        <x:v>94</x:v>
      </x:c>
      <x:c r="F8" s="12" t="n">
        <x:v>16</x:v>
      </x:c>
      <x:c r="G8" s="12" t="n">
        <x:v>22</x:v>
      </x:c>
      <x:c r="H8" s="12" t="n">
        <x:v>56</x:v>
      </x:c>
      <x:c r="I8" s="34" t="n">
        <x:v>0.07890972728968848</x:v>
      </x:c>
      <x:c r="J8" s="34" t="n">
        <x:v>0.8229402060052662</x:v>
      </x:c>
      <x:c r="K8" s="12" t="n">
        <x:v>69.687263083904</x:v>
      </x:c>
      <x:c r="L8" s="34" t="n">
        <x:v>0.38481630256615573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str">
        <x:v>Hà Nội</x:v>
      </x:c>
      <x:c r="E9" s="12" t="n">
        <x:v>68</x:v>
      </x:c>
      <x:c r="F9" s="12" t="n">
        <x:v>12</x:v>
      </x:c>
      <x:c r="G9" s="12" t="n">
        <x:v>40</x:v>
      </x:c>
      <x:c r="H9" s="12" t="n">
        <x:v>16</x:v>
      </x:c>
      <x:c r="I9" s="34" t="n">
        <x:v>0.2173034766388736</x:v>
      </x:c>
      <x:c r="J9" s="34" t="n">
        <x:v>0.9408203268562836</x:v>
      </x:c>
      <x:c r="K9" s="12" t="n">
        <x:v>86.60759204003921</x:v>
      </x:c>
      <x:c r="L9" s="34" t="n">
        <x:v>0.4912112604241532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str">
        <x:v>Hà Nội</x:v>
      </x:c>
      <x:c r="E10" s="12" t="n">
        <x:v>47</x:v>
      </x:c>
      <x:c r="F10" s="12" t="n">
        <x:v>10</x:v>
      </x:c>
      <x:c r="G10" s="12" t="n">
        <x:v>32</x:v>
      </x:c>
      <x:c r="H10" s="12" t="n">
        <x:v>5</x:v>
      </x:c>
      <x:c r="I10" s="34" t="n">
        <x:v>0.21111438113097925</x:v>
      </x:c>
      <x:c r="J10" s="34" t="n">
        <x:v>0.8118830868876449</x:v>
      </x:c>
      <x:c r="K10" s="12" t="n">
        <x:v>82.84064039717833</x:v>
      </x:c>
      <x:c r="L10" s="34" t="n">
        <x:v>0.5085515058059789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str">
        <x:v>Hà Nội</x:v>
      </x:c>
      <x:c r="E11" s="12" t="n">
        <x:v>58</x:v>
      </x:c>
      <x:c r="F11" s="12" t="n">
        <x:v>15</x:v>
      </x:c>
      <x:c r="G11" s="12" t="n">
        <x:v>14</x:v>
      </x:c>
      <x:c r="H11" s="12" t="n">
        <x:v>29</x:v>
      </x:c>
      <x:c r="I11" s="34" t="n">
        <x:v>0.12971306208759817</x:v>
      </x:c>
      <x:c r="J11" s="34" t="n">
        <x:v>0.8135998667393745</x:v>
      </x:c>
      <x:c r="K11" s="12" t="n">
        <x:v>68.45550302994447</x:v>
      </x:c>
      <x:c r="L11" s="34" t="n">
        <x:v>0.7496845150158036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str">
        <x:v>Hà Nội</x:v>
      </x:c>
      <x:c r="E12" s="12" t="n">
        <x:v>54</x:v>
      </x:c>
      <x:c r="F12" s="12" t="n">
        <x:v>8</x:v>
      </x:c>
      <x:c r="G12" s="12" t="n">
        <x:v>15</x:v>
      </x:c>
      <x:c r="H12" s="12" t="n">
        <x:v>31</x:v>
      </x:c>
      <x:c r="I12" s="34" t="n">
        <x:v>0.14288776520621793</x:v>
      </x:c>
      <x:c r="J12" s="34" t="n">
        <x:v>0.9433093502386967</x:v>
      </x:c>
      <x:c r="K12" s="12" t="n">
        <x:v>75.14214461999231</x:v>
      </x:c>
      <x:c r="L12" s="34" t="n">
        <x:v>0.3996997052660616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str">
        <x:v>Hà Nội</x:v>
      </x:c>
      <x:c r="E13" s="12" t="n">
        <x:v>59</x:v>
      </x:c>
      <x:c r="F13" s="12" t="n">
        <x:v>15</x:v>
      </x:c>
      <x:c r="G13" s="12" t="n">
        <x:v>35</x:v>
      </x:c>
      <x:c r="H13" s="12" t="n">
        <x:v>9</x:v>
      </x:c>
      <x:c r="I13" s="34" t="n">
        <x:v>0.07360470009956206</x:v>
      </x:c>
      <x:c r="J13" s="34" t="n">
        <x:v>0.7769722093449836</x:v>
      </x:c>
      <x:c r="K13" s="12" t="n">
        <x:v>71.83831791506573</x:v>
      </x:c>
      <x:c r="L13" s="34" t="n">
        <x:v>0.7242117385839237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str">
        <x:v>Ninh Bình</x:v>
      </x:c>
      <x:c r="E14" s="12" t="n">
        <x:v>101</x:v>
      </x:c>
      <x:c r="F14" s="12" t="n">
        <x:v>23</x:v>
      </x:c>
      <x:c r="G14" s="12" t="n">
        <x:v>15</x:v>
      </x:c>
      <x:c r="H14" s="12" t="n">
        <x:v>63</x:v>
      </x:c>
      <x:c r="I14" s="34" t="n">
        <x:v>0.10443672773941907</x:v>
      </x:c>
      <x:c r="J14" s="34" t="n">
        <x:v>0.9740421229352916</x:v>
      </x:c>
      <x:c r="K14" s="12" t="n">
        <x:v>75.77006746082414</x:v>
      </x:c>
      <x:c r="L14" s="34" t="n">
        <x:v>0.6178778457151929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str">
        <x:v>Hà Nội</x:v>
      </x:c>
      <x:c r="E15" s="12" t="n">
        <x:v>87</x:v>
      </x:c>
      <x:c r="F15" s="12" t="n">
        <x:v>16</x:v>
      </x:c>
      <x:c r="G15" s="12" t="n">
        <x:v>14</x:v>
      </x:c>
      <x:c r="H15" s="12" t="n">
        <x:v>57</x:v>
      </x:c>
      <x:c r="I15" s="34" t="n">
        <x:v>0.0977806193971909</x:v>
      </x:c>
      <x:c r="J15" s="34" t="n">
        <x:v>0.9318517310202622</x:v>
      </x:c>
      <x:c r="K15" s="12" t="n">
        <x:v>83.90668809870436</x:v>
      </x:c>
      <x:c r="L15" s="34" t="n">
        <x:v>0.7069711650297179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str">
        <x:v>Hà Nội</x:v>
      </x:c>
      <x:c r="E16" s="12" t="n">
        <x:v>88</x:v>
      </x:c>
      <x:c r="F16" s="12" t="n">
        <x:v>24</x:v>
      </x:c>
      <x:c r="G16" s="12" t="n">
        <x:v>24</x:v>
      </x:c>
      <x:c r="H16" s="12" t="n">
        <x:v>40</x:v>
      </x:c>
      <x:c r="I16" s="34" t="n">
        <x:v>0.21317616528648042</x:v>
      </x:c>
      <x:c r="J16" s="34" t="n">
        <x:v>0.9462820383878654</x:v>
      </x:c>
      <x:c r="K16" s="12" t="n">
        <x:v>86.56280724142985</x:v>
      </x:c>
      <x:c r="L16" s="34" t="n">
        <x:v>0.752303792732822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str">
        <x:v>Hà Nội</x:v>
      </x:c>
      <x:c r="E17" s="12" t="n">
        <x:v>65</x:v>
      </x:c>
      <x:c r="F17" s="12" t="n">
        <x:v>14</x:v>
      </x:c>
      <x:c r="G17" s="12" t="n">
        <x:v>10</x:v>
      </x:c>
      <x:c r="H17" s="12" t="n">
        <x:v>41</x:v>
      </x:c>
      <x:c r="I17" s="34" t="n">
        <x:v>0.15958541591455735</x:v>
      </x:c>
      <x:c r="J17" s="34" t="n">
        <x:v>0.7954444234771535</x:v>
      </x:c>
      <x:c r="K17" s="12" t="n">
        <x:v>72.28543670463176</x:v>
      </x:c>
      <x:c r="L17" s="34" t="n">
        <x:v>0.7675370215435896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str">
        <x:v>Hà Nội</x:v>
      </x:c>
      <x:c r="E18" s="12" t="n">
        <x:v>105</x:v>
      </x:c>
      <x:c r="F18" s="12" t="n">
        <x:v>13</x:v>
      </x:c>
      <x:c r="G18" s="12" t="n">
        <x:v>41</x:v>
      </x:c>
      <x:c r="H18" s="12" t="n">
        <x:v>51</x:v>
      </x:c>
      <x:c r="I18" s="34" t="n">
        <x:v>0.15347707050176826</x:v>
      </x:c>
      <x:c r="J18" s="34" t="n">
        <x:v>0.9282122432492709</x:v>
      </x:c>
      <x:c r="K18" s="12" t="n">
        <x:v>76.0148417466721</x:v>
      </x:c>
      <x:c r="L18" s="34" t="n">
        <x:v>0.5021655975253176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str">
        <x:v>Hà Nội</x:v>
      </x:c>
      <x:c r="E19" s="12" t="n">
        <x:v>63</x:v>
      </x:c>
      <x:c r="F19" s="12" t="n">
        <x:v>26</x:v>
      </x:c>
      <x:c r="G19" s="12" t="n">
        <x:v>28</x:v>
      </x:c>
      <x:c r="H19" s="12" t="n">
        <x:v>9</x:v>
      </x:c>
      <x:c r="I19" s="34" t="n">
        <x:v>0.1968244302679953</x:v>
      </x:c>
      <x:c r="J19" s="34" t="n">
        <x:v>0.86730995004185</x:v>
      </x:c>
      <x:c r="K19" s="12" t="n">
        <x:v>69.25208425148634</x:v>
      </x:c>
      <x:c r="L19" s="34" t="n">
        <x:v>0.7761188127092095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str">
        <x:v>Phú Thọ</x:v>
      </x:c>
      <x:c r="E20" s="12" t="n">
        <x:v>92</x:v>
      </x:c>
      <x:c r="F20" s="12" t="n">
        <x:v>19</x:v>
      </x:c>
      <x:c r="G20" s="12" t="n">
        <x:v>11</x:v>
      </x:c>
      <x:c r="H20" s="12" t="n">
        <x:v>62</x:v>
      </x:c>
      <x:c r="I20" s="34" t="n">
        <x:v>0.16272162339635438</x:v>
      </x:c>
      <x:c r="J20" s="34" t="n">
        <x:v>0.8475951665113177</x:v>
      </x:c>
      <x:c r="K20" s="12" t="n">
        <x:v>83.73251052084049</x:v>
      </x:c>
      <x:c r="L20" s="34" t="n">
        <x:v>0.49253589826156396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str">
        <x:v>Hà Nội</x:v>
      </x:c>
      <x:c r="E21" s="12" t="n">
        <x:v>93</x:v>
      </x:c>
      <x:c r="F21" s="12" t="n">
        <x:v>18</x:v>
      </x:c>
      <x:c r="G21" s="12" t="n">
        <x:v>20</x:v>
      </x:c>
      <x:c r="H21" s="12" t="n">
        <x:v>55</x:v>
      </x:c>
      <x:c r="I21" s="34" t="n">
        <x:v>0.13904785027677669</x:v>
      </x:c>
      <x:c r="J21" s="34" t="n">
        <x:v>0.7401969239244368</x:v>
      </x:c>
      <x:c r="K21" s="12" t="n">
        <x:v>72.23979661921047</x:v>
      </x:c>
      <x:c r="L21" s="34" t="n">
        <x:v>0.5344647620388542</x:v>
      </x:c>
    </x:row>
  </x:sheetData>
  <x:pageMargins left="0.7" right="0.7" top="0.75" bottom="0.75" header="0.3" footer="0.3"/>
  <x:tableParts count="1">
    <x:tablePart xmlns:r="http://schemas.openxmlformats.org/officeDocument/2006/relationships" r:id="Rc2ca59f51ac04ee0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9" max="9" width="20" hidden="0" customWidth="1"/>
  </x:cols>
  <x:sheetData>
    <x:row r="1">
      <x:c r="A1" s="29" t="str">
        <x:v>Mã NCC</x:v>
      </x:c>
      <x:c r="B1" s="29" t="str">
        <x:v>Nhà cung cấp</x:v>
      </x:c>
      <x:c r="C1" s="29" t="str">
        <x:v>Nhóm</x:v>
      </x:c>
      <x:c r="D1" s="29" t="str">
        <x:v>Spend YTD (tỷ)</x:v>
      </x:c>
      <x:c r="E1" s="29" t="str">
        <x:v>On-time Delivery</x:v>
      </x:c>
      <x:c r="F1" s="29" t="str">
        <x:v>Quality Score</x:v>
      </x:c>
      <x:c r="G1" s="29" t="str">
        <x:v>Compliance</x:v>
      </x:c>
      <x:c r="H1" s="29" t="str">
        <x:v>Criticality</x:v>
      </x:c>
      <x:c r="I1" s="29" t="str">
        <x:v>Khuyến nghị</x:v>
      </x:c>
    </x:row>
    <x:row r="2">
      <x:c r="A2" s="12" t="str">
        <x:v>VND-001</x:v>
      </x:c>
      <x:c r="B2" s="12" t="str">
        <x:v>Nhà cung cấp 01</x:v>
      </x:c>
      <x:c r="C2" s="12" t="str">
        <x:v>Logistics</x:v>
      </x:c>
      <x:c r="D2" s="12" t="n">
        <x:v>1.15</x:v>
      </x:c>
      <x:c r="E2" s="34" t="n">
        <x:v>0.7293130408604991</x:v>
      </x:c>
      <x:c r="F2" s="12" t="n">
        <x:v>86.81400745901709</x:v>
      </x:c>
      <x:c r="G2" s="12" t="str">
        <x:v>Non-compliant</x:v>
      </x:c>
      <x:c r="H2" s="12" t="str">
        <x:v>High</x:v>
      </x:c>
      <x:c r="I2" s="12" t="str">
        <x:v>Monitor</x:v>
      </x:c>
    </x:row>
    <x:row r="3">
      <x:c r="A3" s="12" t="str">
        <x:v>VND-002</x:v>
      </x:c>
      <x:c r="B3" s="12" t="str">
        <x:v>Nhà cung cấp 02</x:v>
      </x:c>
      <x:c r="C3" s="12" t="str">
        <x:v>IT</x:v>
      </x:c>
      <x:c r="D3" s="12" t="n">
        <x:v>35.09</x:v>
      </x:c>
      <x:c r="E3" s="34" t="n">
        <x:v>0.8597924940527637</x:v>
      </x:c>
      <x:c r="F3" s="12" t="n">
        <x:v>83.33818362876909</x:v>
      </x:c>
      <x:c r="G3" s="12" t="str">
        <x:v>Non-compliant</x:v>
      </x:c>
      <x:c r="H3" s="12" t="str">
        <x:v>High</x:v>
      </x:c>
      <x:c r="I3" s="12" t="str">
        <x:v>Renegotiate</x:v>
      </x:c>
    </x:row>
    <x:row r="4">
      <x:c r="A4" s="12" t="str">
        <x:v>VND-003</x:v>
      </x:c>
      <x:c r="B4" s="12" t="str">
        <x:v>Nhà cung cấp 03</x:v>
      </x:c>
      <x:c r="C4" s="12" t="str">
        <x:v>IT</x:v>
      </x:c>
      <x:c r="D4" s="12" t="n">
        <x:v>15.06</x:v>
      </x:c>
      <x:c r="E4" s="34" t="n">
        <x:v>0.7331745663612154</x:v>
      </x:c>
      <x:c r="F4" s="12" t="n">
        <x:v>81.39854692736452</x:v>
      </x:c>
      <x:c r="G4" s="12" t="str">
        <x:v>Conditional</x:v>
      </x:c>
      <x:c r="H4" s="12" t="str">
        <x:v>Low</x:v>
      </x:c>
      <x:c r="I4" s="12" t="str">
        <x:v>Renew</x:v>
      </x:c>
    </x:row>
    <x:row r="5">
      <x:c r="A5" s="12" t="str">
        <x:v>VND-004</x:v>
      </x:c>
      <x:c r="B5" s="12" t="str">
        <x:v>Nhà cung cấp 04</x:v>
      </x:c>
      <x:c r="C5" s="12" t="str">
        <x:v>Marketing</x:v>
      </x:c>
      <x:c r="D5" s="12" t="n">
        <x:v>27.77</x:v>
      </x:c>
      <x:c r="E5" s="34" t="n">
        <x:v>0.9210469354689427</x:v>
      </x:c>
      <x:c r="F5" s="12" t="n">
        <x:v>81.23455252236178</x:v>
      </x:c>
      <x:c r="G5" s="12" t="str">
        <x:v>Compliant</x:v>
      </x:c>
      <x:c r="H5" s="12" t="str">
        <x:v>Low</x:v>
      </x:c>
      <x:c r="I5" s="12" t="str">
        <x:v>Exit</x:v>
      </x:c>
    </x:row>
    <x:row r="6">
      <x:c r="A6" s="12" t="str">
        <x:v>VND-005</x:v>
      </x:c>
      <x:c r="B6" s="12" t="str">
        <x:v>Nhà cung cấp 05</x:v>
      </x:c>
      <x:c r="C6" s="12" t="str">
        <x:v>Facilities</x:v>
      </x:c>
      <x:c r="D6" s="12" t="n">
        <x:v>22.44</x:v>
      </x:c>
      <x:c r="E6" s="34" t="n">
        <x:v>0.9847137597204265</x:v>
      </x:c>
      <x:c r="F6" s="12" t="n">
        <x:v>97.83013504130287</x:v>
      </x:c>
      <x:c r="G6" s="12" t="str">
        <x:v>Compliant</x:v>
      </x:c>
      <x:c r="H6" s="12" t="str">
        <x:v>Low</x:v>
      </x:c>
      <x:c r="I6" s="12" t="str">
        <x:v>Renew</x:v>
      </x:c>
    </x:row>
    <x:row r="7">
      <x:c r="A7" s="12" t="str">
        <x:v>VND-006</x:v>
      </x:c>
      <x:c r="B7" s="12" t="str">
        <x:v>Nhà cung cấp 06</x:v>
      </x:c>
      <x:c r="C7" s="12" t="str">
        <x:v>Parts</x:v>
      </x:c>
      <x:c r="D7" s="12" t="n">
        <x:v>27.13</x:v>
      </x:c>
      <x:c r="E7" s="34" t="n">
        <x:v>0.8649611597374536</x:v>
      </x:c>
      <x:c r="F7" s="12" t="n">
        <x:v>93.26546192542185</x:v>
      </x:c>
      <x:c r="G7" s="12" t="str">
        <x:v>Compliant</x:v>
      </x:c>
      <x:c r="H7" s="12" t="str">
        <x:v>High</x:v>
      </x:c>
      <x:c r="I7" s="12" t="str">
        <x:v>Exit</x:v>
      </x:c>
    </x:row>
    <x:row r="8">
      <x:c r="A8" s="12" t="str">
        <x:v>VND-007</x:v>
      </x:c>
      <x:c r="B8" s="12" t="str">
        <x:v>Nhà cung cấp 07</x:v>
      </x:c>
      <x:c r="C8" s="12" t="str">
        <x:v>Marketing</x:v>
      </x:c>
      <x:c r="D8" s="12" t="n">
        <x:v>32.16</x:v>
      </x:c>
      <x:c r="E8" s="34" t="n">
        <x:v>0.9573055000942882</x:v>
      </x:c>
      <x:c r="F8" s="12" t="n">
        <x:v>84.65620507874888</x:v>
      </x:c>
      <x:c r="G8" s="12" t="str">
        <x:v>Compliant</x:v>
      </x:c>
      <x:c r="H8" s="12" t="str">
        <x:v>Low</x:v>
      </x:c>
      <x:c r="I8" s="12" t="str">
        <x:v>Renew</x:v>
      </x:c>
    </x:row>
    <x:row r="9">
      <x:c r="A9" s="12" t="str">
        <x:v>VND-008</x:v>
      </x:c>
      <x:c r="B9" s="12" t="str">
        <x:v>Nhà cung cấp 08</x:v>
      </x:c>
      <x:c r="C9" s="12" t="str">
        <x:v>Parts</x:v>
      </x:c>
      <x:c r="D9" s="12" t="n">
        <x:v>8.62</x:v>
      </x:c>
      <x:c r="E9" s="34" t="n">
        <x:v>0.9226133529461138</x:v>
      </x:c>
      <x:c r="F9" s="12" t="n">
        <x:v>91.00078187089298</x:v>
      </x:c>
      <x:c r="G9" s="12" t="str">
        <x:v>Non-compliant</x:v>
      </x:c>
      <x:c r="H9" s="12" t="str">
        <x:v>Low</x:v>
      </x:c>
      <x:c r="I9" s="12" t="str">
        <x:v>Exit</x:v>
      </x:c>
    </x:row>
    <x:row r="10">
      <x:c r="A10" s="12" t="str">
        <x:v>VND-009</x:v>
      </x:c>
      <x:c r="B10" s="12" t="str">
        <x:v>Nhà cung cấp 09</x:v>
      </x:c>
      <x:c r="C10" s="12" t="str">
        <x:v>IT</x:v>
      </x:c>
      <x:c r="D10" s="12" t="n">
        <x:v>5.7</x:v>
      </x:c>
      <x:c r="E10" s="34" t="n">
        <x:v>0.9132288445718115</x:v>
      </x:c>
      <x:c r="F10" s="12" t="n">
        <x:v>97.04714847318121</x:v>
      </x:c>
      <x:c r="G10" s="12" t="str">
        <x:v>Non-compliant</x:v>
      </x:c>
      <x:c r="H10" s="12" t="str">
        <x:v>Medium</x:v>
      </x:c>
      <x:c r="I10" s="12" t="str">
        <x:v>Renegotiate</x:v>
      </x:c>
    </x:row>
    <x:row r="11">
      <x:c r="A11" s="12" t="str">
        <x:v>VND-010</x:v>
      </x:c>
      <x:c r="B11" s="12" t="str">
        <x:v>Nhà cung cấp 10</x:v>
      </x:c>
      <x:c r="C11" s="12" t="str">
        <x:v>Facilities</x:v>
      </x:c>
      <x:c r="D11" s="12" t="n">
        <x:v>40.68</x:v>
      </x:c>
      <x:c r="E11" s="34" t="n">
        <x:v>0.8811797966158463</x:v>
      </x:c>
      <x:c r="F11" s="12" t="n">
        <x:v>96.19978397296764</x:v>
      </x:c>
      <x:c r="G11" s="12" t="str">
        <x:v>Conditional</x:v>
      </x:c>
      <x:c r="H11" s="12" t="str">
        <x:v>High</x:v>
      </x:c>
      <x:c r="I11" s="12" t="str">
        <x:v>Monitor</x:v>
      </x:c>
    </x:row>
    <x:row r="12">
      <x:c r="A12" s="12" t="str">
        <x:v>VND-011</x:v>
      </x:c>
      <x:c r="B12" s="12" t="str">
        <x:v>Nhà cung cấp 11</x:v>
      </x:c>
      <x:c r="C12" s="12" t="str">
        <x:v>Parts</x:v>
      </x:c>
      <x:c r="D12" s="12" t="n">
        <x:v>30.17</x:v>
      </x:c>
      <x:c r="E12" s="34" t="n">
        <x:v>0.8095826463165475</x:v>
      </x:c>
      <x:c r="F12" s="12" t="n">
        <x:v>73.92894667192954</x:v>
      </x:c>
      <x:c r="G12" s="12" t="str">
        <x:v>Conditional</x:v>
      </x:c>
      <x:c r="H12" s="12" t="str">
        <x:v>Low</x:v>
      </x:c>
      <x:c r="I12" s="12" t="str">
        <x:v>Renew</x:v>
      </x:c>
    </x:row>
    <x:row r="13">
      <x:c r="A13" s="12" t="str">
        <x:v>VND-012</x:v>
      </x:c>
      <x:c r="B13" s="12" t="str">
        <x:v>Nhà cung cấp 12</x:v>
      </x:c>
      <x:c r="C13" s="12" t="str">
        <x:v>Facilities</x:v>
      </x:c>
      <x:c r="D13" s="12" t="n">
        <x:v>25.95</x:v>
      </x:c>
      <x:c r="E13" s="34" t="n">
        <x:v>0.8676571421300283</x:v>
      </x:c>
      <x:c r="F13" s="12" t="n">
        <x:v>88.8029728461153</x:v>
      </x:c>
      <x:c r="G13" s="12" t="str">
        <x:v>Conditional</x:v>
      </x:c>
      <x:c r="H13" s="12" t="str">
        <x:v>Low</x:v>
      </x:c>
      <x:c r="I13" s="12" t="str">
        <x:v>Monitor</x:v>
      </x:c>
    </x:row>
    <x:row r="14">
      <x:c r="A14" s="12" t="str">
        <x:v>VND-013</x:v>
      </x:c>
      <x:c r="B14" s="12" t="str">
        <x:v>Nhà cung cấp 13</x:v>
      </x:c>
      <x:c r="C14" s="12" t="str">
        <x:v>Construction</x:v>
      </x:c>
      <x:c r="D14" s="12" t="n">
        <x:v>1.04</x:v>
      </x:c>
      <x:c r="E14" s="34" t="n">
        <x:v>0.8749784399134704</x:v>
      </x:c>
      <x:c r="F14" s="12" t="n">
        <x:v>73.01348307093055</x:v>
      </x:c>
      <x:c r="G14" s="12" t="str">
        <x:v>Compliant</x:v>
      </x:c>
      <x:c r="H14" s="12" t="str">
        <x:v>Medium</x:v>
      </x:c>
      <x:c r="I14" s="12" t="str">
        <x:v>Renew</x:v>
      </x:c>
    </x:row>
    <x:row r="15">
      <x:c r="A15" s="12" t="str">
        <x:v>VND-014</x:v>
      </x:c>
      <x:c r="B15" s="12" t="str">
        <x:v>Nhà cung cấp 14</x:v>
      </x:c>
      <x:c r="C15" s="12" t="str">
        <x:v>Facilities</x:v>
      </x:c>
      <x:c r="D15" s="12" t="n">
        <x:v>14.41</x:v>
      </x:c>
      <x:c r="E15" s="34" t="n">
        <x:v>0.9090346658202219</x:v>
      </x:c>
      <x:c r="F15" s="12" t="n">
        <x:v>81.26783354726504</x:v>
      </x:c>
      <x:c r="G15" s="12" t="str">
        <x:v>Conditional</x:v>
      </x:c>
      <x:c r="H15" s="12" t="str">
        <x:v>High</x:v>
      </x:c>
      <x:c r="I15" s="12" t="str">
        <x:v>Exit</x:v>
      </x:c>
    </x:row>
    <x:row r="16">
      <x:c r="A16" s="12" t="str">
        <x:v>VND-015</x:v>
      </x:c>
      <x:c r="B16" s="12" t="str">
        <x:v>Nhà cung cấp 15</x:v>
      </x:c>
      <x:c r="C16" s="12" t="str">
        <x:v>Marketing</x:v>
      </x:c>
      <x:c r="D16" s="12" t="n">
        <x:v>13.98</x:v>
      </x:c>
      <x:c r="E16" s="34" t="n">
        <x:v>0.7713210814204946</x:v>
      </x:c>
      <x:c r="F16" s="12" t="n">
        <x:v>97.71072769651519</x:v>
      </x:c>
      <x:c r="G16" s="12" t="str">
        <x:v>Compliant</x:v>
      </x:c>
      <x:c r="H16" s="12" t="str">
        <x:v>Medium</x:v>
      </x:c>
      <x:c r="I16" s="12" t="str">
        <x:v>Monitor</x:v>
      </x:c>
    </x:row>
    <x:row r="17">
      <x:c r="A17" s="12" t="str">
        <x:v>VND-016</x:v>
      </x:c>
      <x:c r="B17" s="12" t="str">
        <x:v>Nhà cung cấp 16</x:v>
      </x:c>
      <x:c r="C17" s="12" t="str">
        <x:v>Marketing</x:v>
      </x:c>
      <x:c r="D17" s="12" t="n">
        <x:v>26.94</x:v>
      </x:c>
      <x:c r="E17" s="34" t="n">
        <x:v>0.959810072445724</x:v>
      </x:c>
      <x:c r="F17" s="12" t="n">
        <x:v>85.43339343951985</x:v>
      </x:c>
      <x:c r="G17" s="12" t="str">
        <x:v>Non-compliant</x:v>
      </x:c>
      <x:c r="H17" s="12" t="str">
        <x:v>Medium</x:v>
      </x:c>
      <x:c r="I17" s="12" t="str">
        <x:v>Renegotiate</x:v>
      </x:c>
    </x:row>
    <x:row r="18">
      <x:c r="A18" s="12" t="str">
        <x:v>VND-017</x:v>
      </x:c>
      <x:c r="B18" s="12" t="str">
        <x:v>Nhà cung cấp 17</x:v>
      </x:c>
      <x:c r="C18" s="12" t="str">
        <x:v>Construction</x:v>
      </x:c>
      <x:c r="D18" s="12" t="n">
        <x:v>19.65</x:v>
      </x:c>
      <x:c r="E18" s="34" t="n">
        <x:v>0.7656271478136331</x:v>
      </x:c>
      <x:c r="F18" s="12" t="n">
        <x:v>79.28853972226385</x:v>
      </x:c>
      <x:c r="G18" s="12" t="str">
        <x:v>Non-compliant</x:v>
      </x:c>
      <x:c r="H18" s="12" t="str">
        <x:v>Medium</x:v>
      </x:c>
      <x:c r="I18" s="12" t="str">
        <x:v>Renegotiate</x:v>
      </x:c>
    </x:row>
    <x:row r="19">
      <x:c r="A19" s="12" t="str">
        <x:v>VND-018</x:v>
      </x:c>
      <x:c r="B19" s="12" t="str">
        <x:v>Nhà cung cấp 18</x:v>
      </x:c>
      <x:c r="C19" s="12" t="str">
        <x:v>Marketing</x:v>
      </x:c>
      <x:c r="D19" s="12" t="n">
        <x:v>36.96</x:v>
      </x:c>
      <x:c r="E19" s="34" t="n">
        <x:v>0.7828413107888564</x:v>
      </x:c>
      <x:c r="F19" s="12" t="n">
        <x:v>89.52199170568488</x:v>
      </x:c>
      <x:c r="G19" s="12" t="str">
        <x:v>Compliant</x:v>
      </x:c>
      <x:c r="H19" s="12" t="str">
        <x:v>Low</x:v>
      </x:c>
      <x:c r="I19" s="12" t="str">
        <x:v>Renew</x:v>
      </x:c>
    </x:row>
    <x:row r="20">
      <x:c r="A20" s="12" t="str">
        <x:v>VND-019</x:v>
      </x:c>
      <x:c r="B20" s="12" t="str">
        <x:v>Nhà cung cấp 19</x:v>
      </x:c>
      <x:c r="C20" s="12" t="str">
        <x:v>Parts</x:v>
      </x:c>
      <x:c r="D20" s="12" t="n">
        <x:v>21.29</x:v>
      </x:c>
      <x:c r="E20" s="34" t="n">
        <x:v>0.9533628199927141</x:v>
      </x:c>
      <x:c r="F20" s="12" t="n">
        <x:v>75.03532541119188</x:v>
      </x:c>
      <x:c r="G20" s="12" t="str">
        <x:v>Non-compliant</x:v>
      </x:c>
      <x:c r="H20" s="12" t="str">
        <x:v>High</x:v>
      </x:c>
      <x:c r="I20" s="12" t="str">
        <x:v>Renew</x:v>
      </x:c>
    </x:row>
    <x:row r="21">
      <x:c r="A21" s="12" t="str">
        <x:v>VND-020</x:v>
      </x:c>
      <x:c r="B21" s="12" t="str">
        <x:v>Nhà cung cấp 20</x:v>
      </x:c>
      <x:c r="C21" s="12" t="str">
        <x:v>Marketing</x:v>
      </x:c>
      <x:c r="D21" s="12" t="n">
        <x:v>36.76</x:v>
      </x:c>
      <x:c r="E21" s="34" t="n">
        <x:v>0.8515718972886345</x:v>
      </x:c>
      <x:c r="F21" s="12" t="n">
        <x:v>97.10913647989366</x:v>
      </x:c>
      <x:c r="G21" s="12" t="str">
        <x:v>Conditional</x:v>
      </x:c>
      <x:c r="H21" s="12" t="str">
        <x:v>Medium</x:v>
      </x:c>
      <x:c r="I21" s="12" t="str">
        <x:v>Renegotiate</x:v>
      </x:c>
    </x:row>
    <x:row r="22">
      <x:c r="A22" s="12" t="str">
        <x:v>VND-021</x:v>
      </x:c>
      <x:c r="B22" s="12" t="str">
        <x:v>Nhà cung cấp 21</x:v>
      </x:c>
      <x:c r="C22" s="12" t="str">
        <x:v>Facilities</x:v>
      </x:c>
      <x:c r="D22" s="12" t="n">
        <x:v>24.91</x:v>
      </x:c>
      <x:c r="E22" s="34" t="n">
        <x:v>0.939065736022751</x:v>
      </x:c>
      <x:c r="F22" s="12" t="n">
        <x:v>80.04341584140379</x:v>
      </x:c>
      <x:c r="G22" s="12" t="str">
        <x:v>Conditional</x:v>
      </x:c>
      <x:c r="H22" s="12" t="str">
        <x:v>High</x:v>
      </x:c>
      <x:c r="I22" s="12" t="str">
        <x:v>Exit</x:v>
      </x:c>
    </x:row>
    <x:row r="23">
      <x:c r="A23" s="12" t="str">
        <x:v>VND-022</x:v>
      </x:c>
      <x:c r="B23" s="12" t="str">
        <x:v>Nhà cung cấp 22</x:v>
      </x:c>
      <x:c r="C23" s="12" t="str">
        <x:v>Construction</x:v>
      </x:c>
      <x:c r="D23" s="12" t="n">
        <x:v>38.28</x:v>
      </x:c>
      <x:c r="E23" s="34" t="n">
        <x:v>0.8146177829580008</x:v>
      </x:c>
      <x:c r="F23" s="12" t="n">
        <x:v>76.12736801149507</x:v>
      </x:c>
      <x:c r="G23" s="12" t="str">
        <x:v>Conditional</x:v>
      </x:c>
      <x:c r="H23" s="12" t="str">
        <x:v>Medium</x:v>
      </x:c>
      <x:c r="I23" s="12" t="str">
        <x:v>Renew</x:v>
      </x:c>
    </x:row>
    <x:row r="24">
      <x:c r="A24" s="12" t="str">
        <x:v>VND-023</x:v>
      </x:c>
      <x:c r="B24" s="12" t="str">
        <x:v>Nhà cung cấp 23</x:v>
      </x:c>
      <x:c r="C24" s="12" t="str">
        <x:v>Facilities</x:v>
      </x:c>
      <x:c r="D24" s="12" t="n">
        <x:v>12.22</x:v>
      </x:c>
      <x:c r="E24" s="34" t="n">
        <x:v>0.9505790083718131</x:v>
      </x:c>
      <x:c r="F24" s="12" t="n">
        <x:v>70.44193971652672</x:v>
      </x:c>
      <x:c r="G24" s="12" t="str">
        <x:v>Conditional</x:v>
      </x:c>
      <x:c r="H24" s="12" t="str">
        <x:v>High</x:v>
      </x:c>
      <x:c r="I24" s="12" t="str">
        <x:v>Renew</x:v>
      </x:c>
    </x:row>
    <x:row r="25">
      <x:c r="A25" s="12" t="str">
        <x:v>VND-024</x:v>
      </x:c>
      <x:c r="B25" s="12" t="str">
        <x:v>Nhà cung cấp 24</x:v>
      </x:c>
      <x:c r="C25" s="12" t="str">
        <x:v>Facilities</x:v>
      </x:c>
      <x:c r="D25" s="12" t="n">
        <x:v>1.5</x:v>
      </x:c>
      <x:c r="E25" s="34" t="n">
        <x:v>0.753871642834046</x:v>
      </x:c>
      <x:c r="F25" s="12" t="n">
        <x:v>84.55446493726171</x:v>
      </x:c>
      <x:c r="G25" s="12" t="str">
        <x:v>Compliant</x:v>
      </x:c>
      <x:c r="H25" s="12" t="str">
        <x:v>High</x:v>
      </x:c>
      <x:c r="I25" s="12" t="str">
        <x:v>Monitor</x:v>
      </x:c>
    </x:row>
    <x:row r="26">
      <x:c r="A26" s="12" t="str">
        <x:v>VND-025</x:v>
      </x:c>
      <x:c r="B26" s="12" t="str">
        <x:v>Nhà cung cấp 25</x:v>
      </x:c>
      <x:c r="C26" s="12" t="str">
        <x:v>IT</x:v>
      </x:c>
      <x:c r="D26" s="12" t="n">
        <x:v>34.77</x:v>
      </x:c>
      <x:c r="E26" s="34" t="n">
        <x:v>0.8618563863957167</x:v>
      </x:c>
      <x:c r="F26" s="12" t="n">
        <x:v>82.37524970441038</x:v>
      </x:c>
      <x:c r="G26" s="12" t="str">
        <x:v>Conditional</x:v>
      </x:c>
      <x:c r="H26" s="12" t="str">
        <x:v>High</x:v>
      </x:c>
      <x:c r="I26" s="12" t="str">
        <x:v>Exit</x:v>
      </x:c>
    </x:row>
    <x:row r="27">
      <x:c r="A27" s="12" t="str">
        <x:v>VND-026</x:v>
      </x:c>
      <x:c r="B27" s="12" t="str">
        <x:v>Nhà cung cấp 26</x:v>
      </x:c>
      <x:c r="C27" s="12" t="str">
        <x:v>IT</x:v>
      </x:c>
      <x:c r="D27" s="12" t="n">
        <x:v>10.65</x:v>
      </x:c>
      <x:c r="E27" s="34" t="n">
        <x:v>0.7362385466622248</x:v>
      </x:c>
      <x:c r="F27" s="12" t="n">
        <x:v>73.2372141645628</x:v>
      </x:c>
      <x:c r="G27" s="12" t="str">
        <x:v>Conditional</x:v>
      </x:c>
      <x:c r="H27" s="12" t="str">
        <x:v>Low</x:v>
      </x:c>
      <x:c r="I27" s="12" t="str">
        <x:v>Renew</x:v>
      </x:c>
    </x:row>
    <x:row r="28">
      <x:c r="A28" s="12" t="str">
        <x:v>VND-027</x:v>
      </x:c>
      <x:c r="B28" s="12" t="str">
        <x:v>Nhà cung cấp 27</x:v>
      </x:c>
      <x:c r="C28" s="12" t="str">
        <x:v>Construction</x:v>
      </x:c>
      <x:c r="D28" s="12" t="n">
        <x:v>23.51</x:v>
      </x:c>
      <x:c r="E28" s="34" t="n">
        <x:v>0.721969023362875</x:v>
      </x:c>
      <x:c r="F28" s="12" t="n">
        <x:v>89.996893006304</x:v>
      </x:c>
      <x:c r="G28" s="12" t="str">
        <x:v>Non-compliant</x:v>
      </x:c>
      <x:c r="H28" s="12" t="str">
        <x:v>High</x:v>
      </x:c>
      <x:c r="I28" s="12" t="str">
        <x:v>Exit</x:v>
      </x:c>
    </x:row>
    <x:row r="29">
      <x:c r="A29" s="12" t="str">
        <x:v>VND-028</x:v>
      </x:c>
      <x:c r="B29" s="12" t="str">
        <x:v>Nhà cung cấp 28</x:v>
      </x:c>
      <x:c r="C29" s="12" t="str">
        <x:v>Marketing</x:v>
      </x:c>
      <x:c r="D29" s="12" t="n">
        <x:v>28.01</x:v>
      </x:c>
      <x:c r="E29" s="34" t="n">
        <x:v>0.9159262132764022</x:v>
      </x:c>
      <x:c r="F29" s="12" t="n">
        <x:v>78.54875432388275</x:v>
      </x:c>
      <x:c r="G29" s="12" t="str">
        <x:v>Conditional</x:v>
      </x:c>
      <x:c r="H29" s="12" t="str">
        <x:v>Low</x:v>
      </x:c>
      <x:c r="I29" s="12" t="str">
        <x:v>Renegotiate</x:v>
      </x:c>
    </x:row>
    <x:row r="30">
      <x:c r="A30" s="12" t="str">
        <x:v>VND-029</x:v>
      </x:c>
      <x:c r="B30" s="12" t="str">
        <x:v>Nhà cung cấp 29</x:v>
      </x:c>
      <x:c r="C30" s="12" t="str">
        <x:v>Facilities</x:v>
      </x:c>
      <x:c r="D30" s="12" t="n">
        <x:v>37.81</x:v>
      </x:c>
      <x:c r="E30" s="34" t="n">
        <x:v>0.8960380468082363</x:v>
      </x:c>
      <x:c r="F30" s="12" t="n">
        <x:v>91.10672102618486</x:v>
      </x:c>
      <x:c r="G30" s="12" t="str">
        <x:v>Non-compliant</x:v>
      </x:c>
      <x:c r="H30" s="12" t="str">
        <x:v>Low</x:v>
      </x:c>
      <x:c r="I30" s="12" t="str">
        <x:v>Monitor</x:v>
      </x:c>
    </x:row>
    <x:row r="31">
      <x:c r="A31" s="12" t="str">
        <x:v>VND-030</x:v>
      </x:c>
      <x:c r="B31" s="12" t="str">
        <x:v>Nhà cung cấp 30</x:v>
      </x:c>
      <x:c r="C31" s="12" t="str">
        <x:v>Logistics</x:v>
      </x:c>
      <x:c r="D31" s="12" t="n">
        <x:v>21.44</x:v>
      </x:c>
      <x:c r="E31" s="34" t="n">
        <x:v>0.7676434745890195</x:v>
      </x:c>
      <x:c r="F31" s="12" t="n">
        <x:v>70.26627706129293</x:v>
      </x:c>
      <x:c r="G31" s="12" t="str">
        <x:v>Conditional</x:v>
      </x:c>
      <x:c r="H31" s="12" t="str">
        <x:v>Low</x:v>
      </x:c>
      <x:c r="I31" s="12" t="str">
        <x:v>Exit</x:v>
      </x:c>
    </x:row>
    <x:row r="32">
      <x:c r="A32" s="12" t="str">
        <x:v>VND-031</x:v>
      </x:c>
      <x:c r="B32" s="12" t="str">
        <x:v>Nhà cung cấp 31</x:v>
      </x:c>
      <x:c r="C32" s="12" t="str">
        <x:v>Construction</x:v>
      </x:c>
      <x:c r="D32" s="12" t="n">
        <x:v>5.54</x:v>
      </x:c>
      <x:c r="E32" s="34" t="n">
        <x:v>0.8886072970053944</x:v>
      </x:c>
      <x:c r="F32" s="12" t="n">
        <x:v>96.77021440714111</x:v>
      </x:c>
      <x:c r="G32" s="12" t="str">
        <x:v>Conditional</x:v>
      </x:c>
      <x:c r="H32" s="12" t="str">
        <x:v>High</x:v>
      </x:c>
      <x:c r="I32" s="12" t="str">
        <x:v>Exit</x:v>
      </x:c>
    </x:row>
    <x:row r="33">
      <x:c r="A33" s="12" t="str">
        <x:v>VND-032</x:v>
      </x:c>
      <x:c r="B33" s="12" t="str">
        <x:v>Nhà cung cấp 32</x:v>
      </x:c>
      <x:c r="C33" s="12" t="str">
        <x:v>Marketing</x:v>
      </x:c>
      <x:c r="D33" s="12" t="n">
        <x:v>35.07</x:v>
      </x:c>
      <x:c r="E33" s="34" t="n">
        <x:v>0.9595363171348207</x:v>
      </x:c>
      <x:c r="F33" s="12" t="n">
        <x:v>70.30862938419497</x:v>
      </x:c>
      <x:c r="G33" s="12" t="str">
        <x:v>Non-compliant</x:v>
      </x:c>
      <x:c r="H33" s="12" t="str">
        <x:v>Medium</x:v>
      </x:c>
      <x:c r="I33" s="12" t="str">
        <x:v>Monitor</x:v>
      </x:c>
    </x:row>
    <x:row r="34">
      <x:c r="A34" s="12" t="str">
        <x:v>VND-033</x:v>
      </x:c>
      <x:c r="B34" s="12" t="str">
        <x:v>Nhà cung cấp 33</x:v>
      </x:c>
      <x:c r="C34" s="12" t="str">
        <x:v>Logistics</x:v>
      </x:c>
      <x:c r="D34" s="12" t="n">
        <x:v>10.8</x:v>
      </x:c>
      <x:c r="E34" s="34" t="n">
        <x:v>0.7754164604525036</x:v>
      </x:c>
      <x:c r="F34" s="12" t="n">
        <x:v>97.28313499774778</x:v>
      </x:c>
      <x:c r="G34" s="12" t="str">
        <x:v>Non-compliant</x:v>
      </x:c>
      <x:c r="H34" s="12" t="str">
        <x:v>Medium</x:v>
      </x:c>
      <x:c r="I34" s="12" t="str">
        <x:v>Renew</x:v>
      </x:c>
    </x:row>
    <x:row r="35">
      <x:c r="A35" s="12" t="str">
        <x:v>VND-034</x:v>
      </x:c>
      <x:c r="B35" s="12" t="str">
        <x:v>Nhà cung cấp 34</x:v>
      </x:c>
      <x:c r="C35" s="12" t="str">
        <x:v>IT</x:v>
      </x:c>
      <x:c r="D35" s="12" t="n">
        <x:v>42.95</x:v>
      </x:c>
      <x:c r="E35" s="34" t="n">
        <x:v>0.7962171023775908</x:v>
      </x:c>
      <x:c r="F35" s="12" t="n">
        <x:v>74.64040039778884</x:v>
      </x:c>
      <x:c r="G35" s="12" t="str">
        <x:v>Compliant</x:v>
      </x:c>
      <x:c r="H35" s="12" t="str">
        <x:v>High</x:v>
      </x:c>
      <x:c r="I35" s="12" t="str">
        <x:v>Renew</x:v>
      </x:c>
    </x:row>
    <x:row r="36">
      <x:c r="A36" s="12" t="str">
        <x:v>VND-035</x:v>
      </x:c>
      <x:c r="B36" s="12" t="str">
        <x:v>Nhà cung cấp 35</x:v>
      </x:c>
      <x:c r="C36" s="12" t="str">
        <x:v>Parts</x:v>
      </x:c>
      <x:c r="D36" s="12" t="n">
        <x:v>9.87</x:v>
      </x:c>
      <x:c r="E36" s="34" t="n">
        <x:v>0.8647414110433176</x:v>
      </x:c>
      <x:c r="F36" s="12" t="n">
        <x:v>86.08726490333672</x:v>
      </x:c>
      <x:c r="G36" s="12" t="str">
        <x:v>Compliant</x:v>
      </x:c>
      <x:c r="H36" s="12" t="str">
        <x:v>Medium</x:v>
      </x:c>
      <x:c r="I36" s="12" t="str">
        <x:v>Renew</x:v>
      </x:c>
    </x:row>
    <x:row r="37">
      <x:c r="A37" s="12" t="str">
        <x:v>VND-036</x:v>
      </x:c>
      <x:c r="B37" s="12" t="str">
        <x:v>Nhà cung cấp 36</x:v>
      </x:c>
      <x:c r="C37" s="12" t="str">
        <x:v>Construction</x:v>
      </x:c>
      <x:c r="D37" s="12" t="n">
        <x:v>26.88</x:v>
      </x:c>
      <x:c r="E37" s="34" t="n">
        <x:v>0.789988651197045</x:v>
      </x:c>
      <x:c r="F37" s="12" t="n">
        <x:v>72.62687059563949</x:v>
      </x:c>
      <x:c r="G37" s="12" t="str">
        <x:v>Non-compliant</x:v>
      </x:c>
      <x:c r="H37" s="12" t="str">
        <x:v>High</x:v>
      </x:c>
      <x:c r="I37" s="12" t="str">
        <x:v>Renew</x:v>
      </x:c>
    </x:row>
    <x:row r="38">
      <x:c r="A38" s="12" t="str">
        <x:v>VND-037</x:v>
      </x:c>
      <x:c r="B38" s="12" t="str">
        <x:v>Nhà cung cấp 37</x:v>
      </x:c>
      <x:c r="C38" s="12" t="str">
        <x:v>Logistics</x:v>
      </x:c>
      <x:c r="D38" s="12" t="n">
        <x:v>9.45</x:v>
      </x:c>
      <x:c r="E38" s="34" t="n">
        <x:v>0.8567938753388898</x:v>
      </x:c>
      <x:c r="F38" s="12" t="n">
        <x:v>71.65567665101229</x:v>
      </x:c>
      <x:c r="G38" s="12" t="str">
        <x:v>Conditional</x:v>
      </x:c>
      <x:c r="H38" s="12" t="str">
        <x:v>High</x:v>
      </x:c>
      <x:c r="I38" s="12" t="str">
        <x:v>Exit</x:v>
      </x:c>
    </x:row>
    <x:row r="39">
      <x:c r="A39" s="12" t="str">
        <x:v>VND-038</x:v>
      </x:c>
      <x:c r="B39" s="12" t="str">
        <x:v>Nhà cung cấp 38</x:v>
      </x:c>
      <x:c r="C39" s="12" t="str">
        <x:v>Marketing</x:v>
      </x:c>
      <x:c r="D39" s="12" t="n">
        <x:v>6.33</x:v>
      </x:c>
      <x:c r="E39" s="34" t="n">
        <x:v>0.9645151902258994</x:v>
      </x:c>
      <x:c r="F39" s="12" t="n">
        <x:v>81.62367010769711</x:v>
      </x:c>
      <x:c r="G39" s="12" t="str">
        <x:v>Conditional</x:v>
      </x:c>
      <x:c r="H39" s="12" t="str">
        <x:v>High</x:v>
      </x:c>
      <x:c r="I39" s="12" t="str">
        <x:v>Renegotiate</x:v>
      </x:c>
    </x:row>
    <x:row r="40">
      <x:c r="A40" s="12" t="str">
        <x:v>VND-039</x:v>
      </x:c>
      <x:c r="B40" s="12" t="str">
        <x:v>Nhà cung cấp 39</x:v>
      </x:c>
      <x:c r="C40" s="12" t="str">
        <x:v>Marketing</x:v>
      </x:c>
      <x:c r="D40" s="12" t="n">
        <x:v>28.69</x:v>
      </x:c>
      <x:c r="E40" s="34" t="n">
        <x:v>0.7202187881421853</x:v>
      </x:c>
      <x:c r="F40" s="12" t="n">
        <x:v>70.05534402071</x:v>
      </x:c>
      <x:c r="G40" s="12" t="str">
        <x:v>Non-compliant</x:v>
      </x:c>
      <x:c r="H40" s="12" t="str">
        <x:v>High</x:v>
      </x:c>
      <x:c r="I40" s="12" t="str">
        <x:v>Exit</x:v>
      </x:c>
    </x:row>
    <x:row r="41">
      <x:c r="A41" s="12" t="str">
        <x:v>VND-040</x:v>
      </x:c>
      <x:c r="B41" s="12" t="str">
        <x:v>Nhà cung cấp 40</x:v>
      </x:c>
      <x:c r="C41" s="12" t="str">
        <x:v>Parts</x:v>
      </x:c>
      <x:c r="D41" s="12" t="n">
        <x:v>15.16</x:v>
      </x:c>
      <x:c r="E41" s="34" t="n">
        <x:v>0.9814700682375703</x:v>
      </x:c>
      <x:c r="F41" s="12" t="n">
        <x:v>95.42595757113993</x:v>
      </x:c>
      <x:c r="G41" s="12" t="str">
        <x:v>Conditional</x:v>
      </x:c>
      <x:c r="H41" s="12" t="str">
        <x:v>High</x:v>
      </x:c>
      <x:c r="I41" s="12" t="str">
        <x:v>Renew</x:v>
      </x:c>
    </x:row>
  </x:sheetData>
  <x:conditionalFormatting sqref="F2:F4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4fc0dab55c145f2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40" hidden="0" customWidth="1"/>
    <x:col min="5" max="5" width="24" hidden="0" customWidth="1"/>
    <x:col min="6" max="6" width="16" hidden="0" customWidth="1"/>
    <x:col min="7" max="7" width="18" hidden="0" customWidth="1"/>
    <x:col min="8" max="8" width="16" hidden="0" customWidth="1"/>
    <x:col min="9" max="9" width="14" hidden="0" customWidth="1"/>
    <x:col min="10" max="10" width="20" hidden="0" customWidth="1"/>
  </x:cols>
  <x:sheetData>
    <x:row r="1">
      <x:c r="A1" s="29" t="str">
        <x:v>Mã</x:v>
      </x:c>
      <x:c r="B1" s="29" t="str">
        <x:v>Quy trình</x:v>
      </x:c>
      <x:c r="C1" s="29" t="str">
        <x:v>Mức độ</x:v>
      </x:c>
      <x:c r="D1" s="29" t="str">
        <x:v>Phát hiện</x:v>
      </x:c>
      <x:c r="E1" s="29" t="str">
        <x:v>Owner</x:v>
      </x:c>
      <x:c r="F1" s="29" t="str">
        <x:v>Ngày ghi nhận</x:v>
      </x:c>
      <x:c r="G1" s="29" t="str">
        <x:v>Hạn khắc phục</x:v>
      </x:c>
      <x:c r="H1" s="29" t="str">
        <x:v>Trạng thái</x:v>
      </x:c>
      <x:c r="I1" s="29" t="str">
        <x:v>Tiến độ</x:v>
      </x:c>
      <x:c r="J1" s="29" t="str">
        <x:v>Root Cause</x:v>
      </x:c>
    </x:row>
    <x:row r="2">
      <x:c r="A2" s="12" t="str">
        <x:v>AUD-001</x:v>
      </x:c>
      <x:c r="B2" s="12" t="str">
        <x:v>Data</x:v>
      </x:c>
      <x:c r="C2" s="12" t="str">
        <x:v>High</x:v>
      </x:c>
      <x:c r="D2" s="12" t="str">
        <x:v>Phát hiện kiểm toán mô phỏng 1</x:v>
      </x:c>
      <x:c r="E2" s="12" t="str">
        <x:v>Service Director</x:v>
      </x:c>
      <x:c r="F2" s="18" t="n">
        <x:v>46153</x:v>
      </x:c>
      <x:c r="G2" s="18" t="n">
        <x:v>46243</x:v>
      </x:c>
      <x:c r="H2" s="12" t="str">
        <x:v>Open</x:v>
      </x:c>
      <x:c r="I2" s="34" t="n">
        <x:v>0.4907045974829811</x:v>
      </x:c>
      <x:c r="J2" s="12" t="str">
        <x:v>Execution gap</x:v>
      </x:c>
    </x:row>
    <x:row r="3">
      <x:c r="A3" s="12" t="str">
        <x:v>AUD-002</x:v>
      </x:c>
      <x:c r="B3" s="12" t="str">
        <x:v>Finance</x:v>
      </x:c>
      <x:c r="C3" s="12" t="str">
        <x:v>Medium</x:v>
      </x:c>
      <x:c r="D3" s="12" t="str">
        <x:v>Phát hiện kiểm toán mô phỏng 2</x:v>
      </x:c>
      <x:c r="E3" s="12" t="str">
        <x:v>CIO</x:v>
      </x:c>
      <x:c r="F3" s="18" t="n">
        <x:v>46128</x:v>
      </x:c>
      <x:c r="G3" s="18" t="n">
        <x:v>46184</x:v>
      </x:c>
      <x:c r="H3" s="12" t="str">
        <x:v>Open</x:v>
      </x:c>
      <x:c r="I3" s="34" t="n">
        <x:v>0.4055915469177047</x:v>
      </x:c>
      <x:c r="J3" s="12" t="str">
        <x:v>Evidence gap</x:v>
      </x:c>
    </x:row>
    <x:row r="4">
      <x:c r="A4" s="12" t="str">
        <x:v>AUD-003</x:v>
      </x:c>
      <x:c r="B4" s="12" t="str">
        <x:v>Procurement</x:v>
      </x:c>
      <x:c r="C4" s="12" t="str">
        <x:v>Low</x:v>
      </x:c>
      <x:c r="D4" s="12" t="str">
        <x:v>Phát hiện kiểm toán mô phỏng 3</x:v>
      </x:c>
      <x:c r="E4" s="12" t="str">
        <x:v>CFO</x:v>
      </x:c>
      <x:c r="F4" s="18" t="n">
        <x:v>46096</x:v>
      </x:c>
      <x:c r="G4" s="18" t="n">
        <x:v>46162</x:v>
      </x:c>
      <x:c r="H4" s="12" t="str">
        <x:v>In Progress</x:v>
      </x:c>
      <x:c r="I4" s="34" t="n">
        <x:v>0.6507878312790151</x:v>
      </x:c>
      <x:c r="J4" s="12" t="str">
        <x:v>Evidence gap</x:v>
      </x:c>
    </x:row>
    <x:row r="5">
      <x:c r="A5" s="12" t="str">
        <x:v>AUD-004</x:v>
      </x:c>
      <x:c r="B5" s="12" t="str">
        <x:v>Sales</x:v>
      </x:c>
      <x:c r="C5" s="12" t="str">
        <x:v>High</x:v>
      </x:c>
      <x:c r="D5" s="12" t="str">
        <x:v>Phát hiện kiểm toán mô phỏng 4</x:v>
      </x:c>
      <x:c r="E5" s="12" t="str">
        <x:v>Service Director</x:v>
      </x:c>
      <x:c r="F5" s="18" t="n">
        <x:v>46181</x:v>
      </x:c>
      <x:c r="G5" s="18" t="n">
        <x:v>46274</x:v>
      </x:c>
      <x:c r="H5" s="12" t="str">
        <x:v>Open</x:v>
      </x:c>
      <x:c r="I5" s="34" t="n">
        <x:v>0.9295180573465455</x:v>
      </x:c>
      <x:c r="J5" s="12" t="str">
        <x:v>Evidence gap</x:v>
      </x:c>
    </x:row>
    <x:row r="6">
      <x:c r="A6" s="12" t="str">
        <x:v>AUD-005</x:v>
      </x:c>
      <x:c r="B6" s="12" t="str">
        <x:v>Service</x:v>
      </x:c>
      <x:c r="C6" s="12" t="str">
        <x:v>High</x:v>
      </x:c>
      <x:c r="D6" s="12" t="str">
        <x:v>Phát hiện kiểm toán mô phỏng 5</x:v>
      </x:c>
      <x:c r="E6" s="12" t="str">
        <x:v>CIO</x:v>
      </x:c>
      <x:c r="F6" s="18" t="n">
        <x:v>46180</x:v>
      </x:c>
      <x:c r="G6" s="18" t="n">
        <x:v>46256</x:v>
      </x:c>
      <x:c r="H6" s="12" t="str">
        <x:v>Open</x:v>
      </x:c>
      <x:c r="I6" s="34" t="n">
        <x:v>0.4895686471021673</x:v>
      </x:c>
      <x:c r="J6" s="12" t="str">
        <x:v>Design gap</x:v>
      </x:c>
    </x:row>
    <x:row r="7">
      <x:c r="A7" s="12" t="str">
        <x:v>AUD-006</x:v>
      </x:c>
      <x:c r="B7" s="12" t="str">
        <x:v>Procurement</x:v>
      </x:c>
      <x:c r="C7" s="12" t="str">
        <x:v>Low</x:v>
      </x:c>
      <x:c r="D7" s="12" t="str">
        <x:v>Phát hiện kiểm toán mô phỏng 6</x:v>
      </x:c>
      <x:c r="E7" s="12" t="str">
        <x:v>Commercial Director</x:v>
      </x:c>
      <x:c r="F7" s="18" t="n">
        <x:v>46033</x:v>
      </x:c>
      <x:c r="G7" s="18" t="n">
        <x:v>46080</x:v>
      </x:c>
      <x:c r="H7" s="12" t="str">
        <x:v>Closed</x:v>
      </x:c>
      <x:c r="I7" s="34" t="n">
        <x:v>0.8816141751249557</x:v>
      </x:c>
      <x:c r="J7" s="12" t="str">
        <x:v>Execution gap</x:v>
      </x:c>
    </x:row>
    <x:row r="8">
      <x:c r="A8" s="12" t="str">
        <x:v>AUD-007</x:v>
      </x:c>
      <x:c r="B8" s="12" t="str">
        <x:v>Procurement</x:v>
      </x:c>
      <x:c r="C8" s="12" t="str">
        <x:v>High</x:v>
      </x:c>
      <x:c r="D8" s="12" t="str">
        <x:v>Phát hiện kiểm toán mô phỏng 7</x:v>
      </x:c>
      <x:c r="E8" s="12" t="str">
        <x:v>COO</x:v>
      </x:c>
      <x:c r="F8" s="18" t="n">
        <x:v>46115</x:v>
      </x:c>
      <x:c r="G8" s="18" t="n">
        <x:v>46187</x:v>
      </x:c>
      <x:c r="H8" s="12" t="str">
        <x:v>Overdue</x:v>
      </x:c>
      <x:c r="I8" s="34" t="n">
        <x:v>0.4659684448421526</x:v>
      </x:c>
      <x:c r="J8" s="12" t="str">
        <x:v>Evidence gap</x:v>
      </x:c>
    </x:row>
    <x:row r="9">
      <x:c r="A9" s="12" t="str">
        <x:v>AUD-008</x:v>
      </x:c>
      <x:c r="B9" s="12" t="str">
        <x:v>Data</x:v>
      </x:c>
      <x:c r="C9" s="12" t="str">
        <x:v>Low</x:v>
      </x:c>
      <x:c r="D9" s="12" t="str">
        <x:v>Phát hiện kiểm toán mô phỏng 8</x:v>
      </x:c>
      <x:c r="E9" s="12" t="str">
        <x:v>COO</x:v>
      </x:c>
      <x:c r="F9" s="18" t="n">
        <x:v>46029</x:v>
      </x:c>
      <x:c r="G9" s="18" t="n">
        <x:v>46059</x:v>
      </x:c>
      <x:c r="H9" s="12" t="str">
        <x:v>Overdue</x:v>
      </x:c>
      <x:c r="I9" s="34" t="n">
        <x:v>0.5505821152348344</x:v>
      </x:c>
      <x:c r="J9" s="12" t="str">
        <x:v>Evidence gap</x:v>
      </x:c>
    </x:row>
    <x:row r="10">
      <x:c r="A10" s="12" t="str">
        <x:v>AUD-009</x:v>
      </x:c>
      <x:c r="B10" s="12" t="str">
        <x:v>Sales</x:v>
      </x:c>
      <x:c r="C10" s="12" t="str">
        <x:v>Low</x:v>
      </x:c>
      <x:c r="D10" s="12" t="str">
        <x:v>Phát hiện kiểm toán mô phỏng 9</x:v>
      </x:c>
      <x:c r="E10" s="12" t="str">
        <x:v>Service Director</x:v>
      </x:c>
      <x:c r="F10" s="18" t="n">
        <x:v>46136</x:v>
      </x:c>
      <x:c r="G10" s="18" t="n">
        <x:v>46212</x:v>
      </x:c>
      <x:c r="H10" s="12" t="str">
        <x:v>In Progress</x:v>
      </x:c>
      <x:c r="I10" s="34" t="n">
        <x:v>0.28812565840700605</x:v>
      </x:c>
      <x:c r="J10" s="12" t="str">
        <x:v>Design gap</x:v>
      </x:c>
    </x:row>
    <x:row r="11">
      <x:c r="A11" s="12" t="str">
        <x:v>AUD-010</x:v>
      </x:c>
      <x:c r="B11" s="12" t="str">
        <x:v>Finance</x:v>
      </x:c>
      <x:c r="C11" s="12" t="str">
        <x:v>Medium</x:v>
      </x:c>
      <x:c r="D11" s="12" t="str">
        <x:v>Phát hiện kiểm toán mô phỏng 10</x:v>
      </x:c>
      <x:c r="E11" s="12" t="str">
        <x:v>Service Director</x:v>
      </x:c>
      <x:c r="F11" s="18" t="n">
        <x:v>46205</x:v>
      </x:c>
      <x:c r="G11" s="18" t="n">
        <x:v>46253</x:v>
      </x:c>
      <x:c r="H11" s="12" t="str">
        <x:v>In Progress</x:v>
      </x:c>
      <x:c r="I11" s="34" t="n">
        <x:v>0.6041242969875027</x:v>
      </x:c>
      <x:c r="J11" s="12" t="str">
        <x:v>Design gap</x:v>
      </x:c>
    </x:row>
    <x:row r="12">
      <x:c r="A12" s="12" t="str">
        <x:v>AUD-011</x:v>
      </x:c>
      <x:c r="B12" s="12" t="str">
        <x:v>Procurement</x:v>
      </x:c>
      <x:c r="C12" s="12" t="str">
        <x:v>High</x:v>
      </x:c>
      <x:c r="D12" s="12" t="str">
        <x:v>Phát hiện kiểm toán mô phỏng 11</x:v>
      </x:c>
      <x:c r="E12" s="12" t="str">
        <x:v>CIO</x:v>
      </x:c>
      <x:c r="F12" s="18" t="n">
        <x:v>46085</x:v>
      </x:c>
      <x:c r="G12" s="18" t="n">
        <x:v>46122</x:v>
      </x:c>
      <x:c r="H12" s="12" t="str">
        <x:v>In Progress</x:v>
      </x:c>
      <x:c r="I12" s="34" t="n">
        <x:v>0.6570194963431638</x:v>
      </x:c>
      <x:c r="J12" s="12" t="str">
        <x:v>Execution gap</x:v>
      </x:c>
    </x:row>
    <x:row r="13">
      <x:c r="A13" s="12" t="str">
        <x:v>AUD-012</x:v>
      </x:c>
      <x:c r="B13" s="12" t="str">
        <x:v>Sales</x:v>
      </x:c>
      <x:c r="C13" s="12" t="str">
        <x:v>Medium</x:v>
      </x:c>
      <x:c r="D13" s="12" t="str">
        <x:v>Phát hiện kiểm toán mô phỏng 12</x:v>
      </x:c>
      <x:c r="E13" s="12" t="str">
        <x:v>Commercial Director</x:v>
      </x:c>
      <x:c r="F13" s="18" t="n">
        <x:v>46039</x:v>
      </x:c>
      <x:c r="G13" s="18" t="n">
        <x:v>46137</x:v>
      </x:c>
      <x:c r="H13" s="12" t="str">
        <x:v>Closed</x:v>
      </x:c>
      <x:c r="I13" s="34" t="n">
        <x:v>0.41758131542352483</x:v>
      </x:c>
      <x:c r="J13" s="12" t="str">
        <x:v>Design gap</x:v>
      </x:c>
    </x:row>
    <x:row r="14">
      <x:c r="A14" s="12" t="str">
        <x:v>AUD-013</x:v>
      </x:c>
      <x:c r="B14" s="12" t="str">
        <x:v>Data</x:v>
      </x:c>
      <x:c r="C14" s="12" t="str">
        <x:v>Low</x:v>
      </x:c>
      <x:c r="D14" s="12" t="str">
        <x:v>Phát hiện kiểm toán mô phỏng 13</x:v>
      </x:c>
      <x:c r="E14" s="12" t="str">
        <x:v>Service Director</x:v>
      </x:c>
      <x:c r="F14" s="18" t="n">
        <x:v>46029</x:v>
      </x:c>
      <x:c r="G14" s="18" t="n">
        <x:v>46084</x:v>
      </x:c>
      <x:c r="H14" s="12" t="str">
        <x:v>In Progress</x:v>
      </x:c>
      <x:c r="I14" s="34" t="n">
        <x:v>0.6441997812116096</x:v>
      </x:c>
      <x:c r="J14" s="12" t="str">
        <x:v>Execution gap</x:v>
      </x:c>
    </x:row>
    <x:row r="15">
      <x:c r="A15" s="12" t="str">
        <x:v>AUD-014</x:v>
      </x:c>
      <x:c r="B15" s="12" t="str">
        <x:v>Procurement</x:v>
      </x:c>
      <x:c r="C15" s="12" t="str">
        <x:v>High</x:v>
      </x:c>
      <x:c r="D15" s="12" t="str">
        <x:v>Phát hiện kiểm toán mô phỏng 14</x:v>
      </x:c>
      <x:c r="E15" s="12" t="str">
        <x:v>Service Director</x:v>
      </x:c>
      <x:c r="F15" s="18" t="n">
        <x:v>46091</x:v>
      </x:c>
      <x:c r="G15" s="18" t="n">
        <x:v>46168</x:v>
      </x:c>
      <x:c r="H15" s="12" t="str">
        <x:v>In Progress</x:v>
      </x:c>
      <x:c r="I15" s="34" t="n">
        <x:v>0.6356009961623312</x:v>
      </x:c>
      <x:c r="J15" s="12" t="str">
        <x:v>Evidence gap</x:v>
      </x:c>
    </x:row>
    <x:row r="16">
      <x:c r="A16" s="12" t="str">
        <x:v>AUD-015</x:v>
      </x:c>
      <x:c r="B16" s="12" t="str">
        <x:v>Procurement</x:v>
      </x:c>
      <x:c r="C16" s="12" t="str">
        <x:v>High</x:v>
      </x:c>
      <x:c r="D16" s="12" t="str">
        <x:v>Phát hiện kiểm toán mô phỏng 15</x:v>
      </x:c>
      <x:c r="E16" s="12" t="str">
        <x:v>CFO</x:v>
      </x:c>
      <x:c r="F16" s="18" t="n">
        <x:v>46074</x:v>
      </x:c>
      <x:c r="G16" s="18" t="n">
        <x:v>46157</x:v>
      </x:c>
      <x:c r="H16" s="12" t="str">
        <x:v>Overdue</x:v>
      </x:c>
      <x:c r="I16" s="34" t="n">
        <x:v>0.6735317202291712</x:v>
      </x:c>
      <x:c r="J16" s="12" t="str">
        <x:v>Evidence gap</x:v>
      </x:c>
    </x:row>
    <x:row r="17">
      <x:c r="A17" s="12" t="str">
        <x:v>AUD-016</x:v>
      </x:c>
      <x:c r="B17" s="12" t="str">
        <x:v>Sales</x:v>
      </x:c>
      <x:c r="C17" s="12" t="str">
        <x:v>Medium</x:v>
      </x:c>
      <x:c r="D17" s="12" t="str">
        <x:v>Phát hiện kiểm toán mô phỏng 16</x:v>
      </x:c>
      <x:c r="E17" s="12" t="str">
        <x:v>COO</x:v>
      </x:c>
      <x:c r="F17" s="18" t="n">
        <x:v>46059</x:v>
      </x:c>
      <x:c r="G17" s="18" t="n">
        <x:v>46124</x:v>
      </x:c>
      <x:c r="H17" s="12" t="str">
        <x:v>Overdue</x:v>
      </x:c>
      <x:c r="I17" s="34" t="n">
        <x:v>0.5443532336819414</x:v>
      </x:c>
      <x:c r="J17" s="12" t="str">
        <x:v>Evidence gap</x:v>
      </x:c>
    </x:row>
    <x:row r="18">
      <x:c r="A18" s="12" t="str">
        <x:v>AUD-017</x:v>
      </x:c>
      <x:c r="B18" s="12" t="str">
        <x:v>Procurement</x:v>
      </x:c>
      <x:c r="C18" s="12" t="str">
        <x:v>High</x:v>
      </x:c>
      <x:c r="D18" s="12" t="str">
        <x:v>Phát hiện kiểm toán mô phỏng 17</x:v>
      </x:c>
      <x:c r="E18" s="12" t="str">
        <x:v>CFO</x:v>
      </x:c>
      <x:c r="F18" s="18" t="n">
        <x:v>46078</x:v>
      </x:c>
      <x:c r="G18" s="18" t="n">
        <x:v>46167</x:v>
      </x:c>
      <x:c r="H18" s="12" t="str">
        <x:v>In Progress</x:v>
      </x:c>
      <x:c r="I18" s="34" t="n">
        <x:v>0.2268790105720887</x:v>
      </x:c>
      <x:c r="J18" s="12" t="str">
        <x:v>Evidence gap</x:v>
      </x:c>
    </x:row>
    <x:row r="19">
      <x:c r="A19" s="12" t="str">
        <x:v>AUD-018</x:v>
      </x:c>
      <x:c r="B19" s="12" t="str">
        <x:v>Data</x:v>
      </x:c>
      <x:c r="C19" s="12" t="str">
        <x:v>High</x:v>
      </x:c>
      <x:c r="D19" s="12" t="str">
        <x:v>Phát hiện kiểm toán mô phỏng 18</x:v>
      </x:c>
      <x:c r="E19" s="12" t="str">
        <x:v>CFO</x:v>
      </x:c>
      <x:c r="F19" s="18" t="n">
        <x:v>46102</x:v>
      </x:c>
      <x:c r="G19" s="18" t="n">
        <x:v>46178</x:v>
      </x:c>
      <x:c r="H19" s="12" t="str">
        <x:v>Open</x:v>
      </x:c>
      <x:c r="I19" s="34" t="n">
        <x:v>0.5634289069807764</x:v>
      </x:c>
      <x:c r="J19" s="12" t="str">
        <x:v>Evidence gap</x:v>
      </x:c>
    </x:row>
    <x:row r="20">
      <x:c r="A20" s="12" t="str">
        <x:v>AUD-019</x:v>
      </x:c>
      <x:c r="B20" s="12" t="str">
        <x:v>Service</x:v>
      </x:c>
      <x:c r="C20" s="12" t="str">
        <x:v>Medium</x:v>
      </x:c>
      <x:c r="D20" s="12" t="str">
        <x:v>Phát hiện kiểm toán mô phỏng 19</x:v>
      </x:c>
      <x:c r="E20" s="12" t="str">
        <x:v>CFO</x:v>
      </x:c>
      <x:c r="F20" s="18" t="n">
        <x:v>46135</x:v>
      </x:c>
      <x:c r="G20" s="18" t="n">
        <x:v>46228</x:v>
      </x:c>
      <x:c r="H20" s="12" t="str">
        <x:v>In Progress</x:v>
      </x:c>
      <x:c r="I20" s="34" t="n">
        <x:v>0.6995527133718474</x:v>
      </x:c>
      <x:c r="J20" s="12" t="str">
        <x:v>Design gap</x:v>
      </x:c>
    </x:row>
    <x:row r="21">
      <x:c r="A21" s="12" t="str">
        <x:v>AUD-020</x:v>
      </x:c>
      <x:c r="B21" s="12" t="str">
        <x:v>Finance</x:v>
      </x:c>
      <x:c r="C21" s="12" t="str">
        <x:v>High</x:v>
      </x:c>
      <x:c r="D21" s="12" t="str">
        <x:v>Phát hiện kiểm toán mô phỏng 20</x:v>
      </x:c>
      <x:c r="E21" s="12" t="str">
        <x:v>Commercial Director</x:v>
      </x:c>
      <x:c r="F21" s="18" t="n">
        <x:v>46104</x:v>
      </x:c>
      <x:c r="G21" s="18" t="n">
        <x:v>46169</x:v>
      </x:c>
      <x:c r="H21" s="12" t="str">
        <x:v>Closed</x:v>
      </x:c>
      <x:c r="I21" s="34" t="n">
        <x:v>0.8199581004842658</x:v>
      </x:c>
      <x:c r="J21" s="12" t="str">
        <x:v>Execution gap</x:v>
      </x:c>
    </x:row>
    <x:row r="22">
      <x:c r="A22" s="12" t="str">
        <x:v>AUD-021</x:v>
      </x:c>
      <x:c r="B22" s="12" t="str">
        <x:v>Data</x:v>
      </x:c>
      <x:c r="C22" s="12" t="str">
        <x:v>Medium</x:v>
      </x:c>
      <x:c r="D22" s="12" t="str">
        <x:v>Phát hiện kiểm toán mô phỏng 21</x:v>
      </x:c>
      <x:c r="E22" s="12" t="str">
        <x:v>CFO</x:v>
      </x:c>
      <x:c r="F22" s="18" t="n">
        <x:v>46170</x:v>
      </x:c>
      <x:c r="G22" s="18" t="n">
        <x:v>46243</x:v>
      </x:c>
      <x:c r="H22" s="12" t="str">
        <x:v>Closed</x:v>
      </x:c>
      <x:c r="I22" s="34" t="n">
        <x:v>0.4605413278088034</x:v>
      </x:c>
      <x:c r="J22" s="12" t="str">
        <x:v>Execution gap</x:v>
      </x:c>
    </x:row>
    <x:row r="23">
      <x:c r="A23" s="12" t="str">
        <x:v>AUD-022</x:v>
      </x:c>
      <x:c r="B23" s="12" t="str">
        <x:v>Sales</x:v>
      </x:c>
      <x:c r="C23" s="12" t="str">
        <x:v>Low</x:v>
      </x:c>
      <x:c r="D23" s="12" t="str">
        <x:v>Phát hiện kiểm toán mô phỏng 22</x:v>
      </x:c>
      <x:c r="E23" s="12" t="str">
        <x:v>Service Director</x:v>
      </x:c>
      <x:c r="F23" s="18" t="n">
        <x:v>46192</x:v>
      </x:c>
      <x:c r="G23" s="18" t="n">
        <x:v>46258</x:v>
      </x:c>
      <x:c r="H23" s="12" t="str">
        <x:v>Closed</x:v>
      </x:c>
      <x:c r="I23" s="34" t="n">
        <x:v>0.6383466520981476</x:v>
      </x:c>
      <x:c r="J23" s="12" t="str">
        <x:v>Evidence gap</x:v>
      </x:c>
    </x:row>
    <x:row r="24">
      <x:c r="A24" s="12" t="str">
        <x:v>AUD-023</x:v>
      </x:c>
      <x:c r="B24" s="12" t="str">
        <x:v>Service</x:v>
      </x:c>
      <x:c r="C24" s="12" t="str">
        <x:v>Medium</x:v>
      </x:c>
      <x:c r="D24" s="12" t="str">
        <x:v>Phát hiện kiểm toán mô phỏng 23</x:v>
      </x:c>
      <x:c r="E24" s="12" t="str">
        <x:v>CIO</x:v>
      </x:c>
      <x:c r="F24" s="18" t="n">
        <x:v>46075</x:v>
      </x:c>
      <x:c r="G24" s="18" t="n">
        <x:v>46162</x:v>
      </x:c>
      <x:c r="H24" s="12" t="str">
        <x:v>Closed</x:v>
      </x:c>
      <x:c r="I24" s="34" t="n">
        <x:v>0.36866040914559106</x:v>
      </x:c>
      <x:c r="J24" s="12" t="str">
        <x:v>Evidence gap</x:v>
      </x:c>
    </x:row>
    <x:row r="25">
      <x:c r="A25" s="12" t="str">
        <x:v>AUD-024</x:v>
      </x:c>
      <x:c r="B25" s="12" t="str">
        <x:v>Service</x:v>
      </x:c>
      <x:c r="C25" s="12" t="str">
        <x:v>Low</x:v>
      </x:c>
      <x:c r="D25" s="12" t="str">
        <x:v>Phát hiện kiểm toán mô phỏng 24</x:v>
      </x:c>
      <x:c r="E25" s="12" t="str">
        <x:v>Service Director</x:v>
      </x:c>
      <x:c r="F25" s="18" t="n">
        <x:v>46073</x:v>
      </x:c>
      <x:c r="G25" s="18" t="n">
        <x:v>46173</x:v>
      </x:c>
      <x:c r="H25" s="12" t="str">
        <x:v>Open</x:v>
      </x:c>
      <x:c r="I25" s="34" t="n">
        <x:v>0.860032778488199</x:v>
      </x:c>
      <x:c r="J25" s="12" t="str">
        <x:v>Evidence gap</x:v>
      </x:c>
    </x:row>
    <x:row r="26">
      <x:c r="A26" s="12" t="str">
        <x:v>AUD-025</x:v>
      </x:c>
      <x:c r="B26" s="12" t="str">
        <x:v>Inventory</x:v>
      </x:c>
      <x:c r="C26" s="12" t="str">
        <x:v>Medium</x:v>
      </x:c>
      <x:c r="D26" s="12" t="str">
        <x:v>Phát hiện kiểm toán mô phỏng 25</x:v>
      </x:c>
      <x:c r="E26" s="12" t="str">
        <x:v>Service Director</x:v>
      </x:c>
      <x:c r="F26" s="18" t="n">
        <x:v>46126</x:v>
      </x:c>
      <x:c r="G26" s="18" t="n">
        <x:v>46207</x:v>
      </x:c>
      <x:c r="H26" s="12" t="str">
        <x:v>Open</x:v>
      </x:c>
      <x:c r="I26" s="34" t="n">
        <x:v>0.5737869547370223</x:v>
      </x:c>
      <x:c r="J26" s="12" t="str">
        <x:v>Design gap</x:v>
      </x:c>
    </x:row>
    <x:row r="27">
      <x:c r="A27" s="12" t="str">
        <x:v>AUD-026</x:v>
      </x:c>
      <x:c r="B27" s="12" t="str">
        <x:v>Data</x:v>
      </x:c>
      <x:c r="C27" s="12" t="str">
        <x:v>Medium</x:v>
      </x:c>
      <x:c r="D27" s="12" t="str">
        <x:v>Phát hiện kiểm toán mô phỏng 26</x:v>
      </x:c>
      <x:c r="E27" s="12" t="str">
        <x:v>CFO</x:v>
      </x:c>
      <x:c r="F27" s="18" t="n">
        <x:v>46164</x:v>
      </x:c>
      <x:c r="G27" s="18" t="n">
        <x:v>46255</x:v>
      </x:c>
      <x:c r="H27" s="12" t="str">
        <x:v>Closed</x:v>
      </x:c>
      <x:c r="I27" s="34" t="n">
        <x:v>0.9820976560903051</x:v>
      </x:c>
      <x:c r="J27" s="12" t="str">
        <x:v>Execution gap</x:v>
      </x:c>
    </x:row>
    <x:row r="28">
      <x:c r="A28" s="12" t="str">
        <x:v>AUD-027</x:v>
      </x:c>
      <x:c r="B28" s="12" t="str">
        <x:v>Sales</x:v>
      </x:c>
      <x:c r="C28" s="12" t="str">
        <x:v>Low</x:v>
      </x:c>
      <x:c r="D28" s="12" t="str">
        <x:v>Phát hiện kiểm toán mô phỏng 27</x:v>
      </x:c>
      <x:c r="E28" s="12" t="str">
        <x:v>Service Director</x:v>
      </x:c>
      <x:c r="F28" s="18" t="n">
        <x:v>46067</x:v>
      </x:c>
      <x:c r="G28" s="18" t="n">
        <x:v>46104</x:v>
      </x:c>
      <x:c r="H28" s="12" t="str">
        <x:v>In Progress</x:v>
      </x:c>
      <x:c r="I28" s="34" t="n">
        <x:v>0.6835107430122228</x:v>
      </x:c>
      <x:c r="J28" s="12" t="str">
        <x:v>Execution gap</x:v>
      </x:c>
    </x:row>
    <x:row r="29">
      <x:c r="A29" s="12" t="str">
        <x:v>AUD-028</x:v>
      </x:c>
      <x:c r="B29" s="12" t="str">
        <x:v>Data</x:v>
      </x:c>
      <x:c r="C29" s="12" t="str">
        <x:v>Low</x:v>
      </x:c>
      <x:c r="D29" s="12" t="str">
        <x:v>Phát hiện kiểm toán mô phỏng 28</x:v>
      </x:c>
      <x:c r="E29" s="12" t="str">
        <x:v>CIO</x:v>
      </x:c>
      <x:c r="F29" s="18" t="n">
        <x:v>46180</x:v>
      </x:c>
      <x:c r="G29" s="18" t="n">
        <x:v>46215</x:v>
      </x:c>
      <x:c r="H29" s="12" t="str">
        <x:v>Closed</x:v>
      </x:c>
      <x:c r="I29" s="34" t="n">
        <x:v>0.8008085376702977</x:v>
      </x:c>
      <x:c r="J29" s="12" t="str">
        <x:v>Execution gap</x:v>
      </x:c>
    </x:row>
    <x:row r="30">
      <x:c r="A30" s="12" t="str">
        <x:v>AUD-029</x:v>
      </x:c>
      <x:c r="B30" s="12" t="str">
        <x:v>Service</x:v>
      </x:c>
      <x:c r="C30" s="12" t="str">
        <x:v>High</x:v>
      </x:c>
      <x:c r="D30" s="12" t="str">
        <x:v>Phát hiện kiểm toán mô phỏng 29</x:v>
      </x:c>
      <x:c r="E30" s="12" t="str">
        <x:v>CFO</x:v>
      </x:c>
      <x:c r="F30" s="18" t="n">
        <x:v>46123</x:v>
      </x:c>
      <x:c r="G30" s="18" t="n">
        <x:v>46193</x:v>
      </x:c>
      <x:c r="H30" s="12" t="str">
        <x:v>Open</x:v>
      </x:c>
      <x:c r="I30" s="34" t="n">
        <x:v>0.30298192367884424</x:v>
      </x:c>
      <x:c r="J30" s="12" t="str">
        <x:v>Evidence gap</x:v>
      </x:c>
    </x:row>
    <x:row r="31">
      <x:c r="A31" s="12" t="str">
        <x:v>AUD-030</x:v>
      </x:c>
      <x:c r="B31" s="12" t="str">
        <x:v>Data</x:v>
      </x:c>
      <x:c r="C31" s="12" t="str">
        <x:v>High</x:v>
      </x:c>
      <x:c r="D31" s="12" t="str">
        <x:v>Phát hiện kiểm toán mô phỏng 30</x:v>
      </x:c>
      <x:c r="E31" s="12" t="str">
        <x:v>CIO</x:v>
      </x:c>
      <x:c r="F31" s="18" t="n">
        <x:v>46137</x:v>
      </x:c>
      <x:c r="G31" s="18" t="n">
        <x:v>46209</x:v>
      </x:c>
      <x:c r="H31" s="12" t="str">
        <x:v>Overdue</x:v>
      </x:c>
      <x:c r="I31" s="34" t="n">
        <x:v>0.43487065365302857</x:v>
      </x:c>
      <x:c r="J31" s="12" t="str">
        <x:v>Evidence gap</x:v>
      </x:c>
    </x:row>
  </x:sheetData>
  <x:pageMargins left="0.7" right="0.7" top="0.75" bottom="0.75" header="0.3" footer="0.3"/>
  <x:tableParts count="1">
    <x:tablePart xmlns:r="http://schemas.openxmlformats.org/officeDocument/2006/relationships" r:id="Rfcad5045b4994575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14" hidden="0" customWidth="1"/>
    <x:col min="5" max="5" width="16" hidden="0" customWidth="1"/>
    <x:col min="6" max="6" width="18" hidden="0" customWidth="1"/>
    <x:col min="7" max="7" width="16" hidden="0" customWidth="1"/>
    <x:col min="8" max="8" width="20" hidden="0" customWidth="1"/>
  </x:cols>
  <x:sheetData>
    <x:row r="1">
      <x:c r="A1" s="29" t="str">
        <x:v>Mã chính sách</x:v>
      </x:c>
      <x:c r="B1" s="29" t="str">
        <x:v>Tên chính sách</x:v>
      </x:c>
      <x:c r="C1" s="29" t="str">
        <x:v>Owner</x:v>
      </x:c>
      <x:c r="D1" s="29" t="str">
        <x:v>Phiên bản</x:v>
      </x:c>
      <x:c r="E1" s="29" t="str">
        <x:v>Ngày hiệu lực</x:v>
      </x:c>
      <x:c r="F1" s="29" t="str">
        <x:v>Ngày rà soát tiếp</x:v>
      </x:c>
      <x:c r="G1" s="29" t="str">
        <x:v>Trạng thái</x:v>
      </x:c>
      <x:c r="H1" s="29" t="str">
        <x:v>Cấp phê duyệt</x:v>
      </x:c>
    </x:row>
    <x:row r="2">
      <x:c r="A2" s="12" t="str">
        <x:v>POL-001</x:v>
      </x:c>
      <x:c r="B2" s="12" t="str">
        <x:v>Pricing &amp; Discount</x:v>
      </x:c>
      <x:c r="C2" s="12" t="str">
        <x:v>Commercial Director</x:v>
      </x:c>
      <x:c r="D2" s="12" t="str">
        <x:v>V1.0</x:v>
      </x:c>
      <x:c r="E2" s="18" t="n">
        <x:v>45982</x:v>
      </x:c>
      <x:c r="F2" s="18" t="n">
        <x:v>46347</x:v>
      </x:c>
      <x:c r="G2" s="12" t="str">
        <x:v>Draft</x:v>
      </x:c>
      <x:c r="H2" s="12" t="str">
        <x:v>CEO</x:v>
      </x:c>
    </x:row>
    <x:row r="3">
      <x:c r="A3" s="12" t="str">
        <x:v>POL-002</x:v>
      </x:c>
      <x:c r="B3" s="12" t="str">
        <x:v>Inventory Management</x:v>
      </x:c>
      <x:c r="C3" s="12" t="str">
        <x:v>COO</x:v>
      </x:c>
      <x:c r="D3" s="12" t="str">
        <x:v>V4.0</x:v>
      </x:c>
      <x:c r="E3" s="18" t="n">
        <x:v>45805</x:v>
      </x:c>
      <x:c r="F3" s="18" t="n">
        <x:v>46170</x:v>
      </x:c>
      <x:c r="G3" s="12" t="str">
        <x:v>Draft</x:v>
      </x:c>
      <x:c r="H3" s="12" t="str">
        <x:v>Board</x:v>
      </x:c>
    </x:row>
    <x:row r="4">
      <x:c r="A4" s="12" t="str">
        <x:v>POL-003</x:v>
      </x:c>
      <x:c r="B4" s="12" t="str">
        <x:v>Customer Data Privacy</x:v>
      </x:c>
      <x:c r="C4" s="12" t="str">
        <x:v>CIO/Legal</x:v>
      </x:c>
      <x:c r="D4" s="12" t="str">
        <x:v>V3.0</x:v>
      </x:c>
      <x:c r="E4" s="18" t="n">
        <x:v>46024</x:v>
      </x:c>
      <x:c r="F4" s="18" t="n">
        <x:v>46389</x:v>
      </x:c>
      <x:c r="G4" s="12" t="str">
        <x:v>Effective</x:v>
      </x:c>
      <x:c r="H4" s="12" t="str">
        <x:v>CEO</x:v>
      </x:c>
    </x:row>
    <x:row r="5">
      <x:c r="A5" s="12" t="str">
        <x:v>POL-004</x:v>
      </x:c>
      <x:c r="B5" s="12" t="str">
        <x:v>Procurement</x:v>
      </x:c>
      <x:c r="C5" s="12" t="str">
        <x:v>CFO/COO</x:v>
      </x:c>
      <x:c r="D5" s="12" t="str">
        <x:v>V4.0</x:v>
      </x:c>
      <x:c r="E5" s="18" t="n">
        <x:v>45763</x:v>
      </x:c>
      <x:c r="F5" s="18" t="n">
        <x:v>46128</x:v>
      </x:c>
      <x:c r="G5" s="12" t="str">
        <x:v>Draft</x:v>
      </x:c>
      <x:c r="H5" s="12" t="str">
        <x:v>Board</x:v>
      </x:c>
    </x:row>
    <x:row r="6">
      <x:c r="A6" s="12" t="str">
        <x:v>POL-005</x:v>
      </x:c>
      <x:c r="B6" s="12" t="str">
        <x:v>Credit &amp; Collection</x:v>
      </x:c>
      <x:c r="C6" s="12" t="str">
        <x:v>CFO</x:v>
      </x:c>
      <x:c r="D6" s="12" t="str">
        <x:v>V4.0</x:v>
      </x:c>
      <x:c r="E6" s="18" t="n">
        <x:v>45838</x:v>
      </x:c>
      <x:c r="F6" s="18" t="n">
        <x:v>46203</x:v>
      </x:c>
      <x:c r="G6" s="12" t="str">
        <x:v>Effective</x:v>
      </x:c>
      <x:c r="H6" s="12" t="str">
        <x:v>CEO</x:v>
      </x:c>
    </x:row>
    <x:row r="7">
      <x:c r="A7" s="12" t="str">
        <x:v>POL-006</x:v>
      </x:c>
      <x:c r="B7" s="12" t="str">
        <x:v>Warranty</x:v>
      </x:c>
      <x:c r="C7" s="12" t="str">
        <x:v>Service Director</x:v>
      </x:c>
      <x:c r="D7" s="12" t="str">
        <x:v>V4.0</x:v>
      </x:c>
      <x:c r="E7" s="18" t="n">
        <x:v>45964</x:v>
      </x:c>
      <x:c r="F7" s="18" t="n">
        <x:v>46329</x:v>
      </x:c>
      <x:c r="G7" s="12" t="str">
        <x:v>Review Due</x:v>
      </x:c>
      <x:c r="H7" s="12" t="str">
        <x:v>CEO</x:v>
      </x:c>
    </x:row>
    <x:row r="8">
      <x:c r="A8" s="12" t="str">
        <x:v>POL-007</x:v>
      </x:c>
      <x:c r="B8" s="12" t="str">
        <x:v>Delegation of Authority</x:v>
      </x:c>
      <x:c r="C8" s="12" t="str">
        <x:v>CEO Office</x:v>
      </x:c>
      <x:c r="D8" s="12" t="str">
        <x:v>V2.0</x:v>
      </x:c>
      <x:c r="E8" s="18" t="n">
        <x:v>45832</x:v>
      </x:c>
      <x:c r="F8" s="18" t="n">
        <x:v>46197</x:v>
      </x:c>
      <x:c r="G8" s="12" t="str">
        <x:v>Review Due</x:v>
      </x:c>
      <x:c r="H8" s="12" t="str">
        <x:v>CEO</x:v>
      </x:c>
    </x:row>
    <x:row r="9">
      <x:c r="A9" s="12" t="str">
        <x:v>POL-008</x:v>
      </x:c>
      <x:c r="B9" s="12" t="str">
        <x:v>Whistleblowing</x:v>
      </x:c>
      <x:c r="C9" s="12" t="str">
        <x:v>Compliance</x:v>
      </x:c>
      <x:c r="D9" s="12" t="str">
        <x:v>V4.0</x:v>
      </x:c>
      <x:c r="E9" s="18" t="n">
        <x:v>45944</x:v>
      </x:c>
      <x:c r="F9" s="18" t="n">
        <x:v>46309</x:v>
      </x:c>
      <x:c r="G9" s="12" t="str">
        <x:v>Effective</x:v>
      </x:c>
      <x:c r="H9" s="12" t="str">
        <x:v>Board</x:v>
      </x:c>
    </x:row>
    <x:row r="10">
      <x:c r="A10" s="12" t="str">
        <x:v>POL-009</x:v>
      </x:c>
      <x:c r="B10" s="12" t="str">
        <x:v>Information Security</x:v>
      </x:c>
      <x:c r="C10" s="12" t="str">
        <x:v>CIO</x:v>
      </x:c>
      <x:c r="D10" s="12" t="str">
        <x:v>V3.0</x:v>
      </x:c>
      <x:c r="E10" s="18" t="n">
        <x:v>45780</x:v>
      </x:c>
      <x:c r="F10" s="18" t="n">
        <x:v>46145</x:v>
      </x:c>
      <x:c r="G10" s="12" t="str">
        <x:v>Review Due</x:v>
      </x:c>
      <x:c r="H10" s="12" t="str">
        <x:v>CEO</x:v>
      </x:c>
    </x:row>
    <x:row r="11">
      <x:c r="A11" s="12" t="str">
        <x:v>POL-010</x:v>
      </x:c>
      <x:c r="B11" s="12" t="str">
        <x:v>Dealer Performance Management</x:v>
      </x:c>
      <x:c r="C11" s="12" t="str">
        <x:v>COO</x:v>
      </x:c>
      <x:c r="D11" s="12" t="str">
        <x:v>V1.0</x:v>
      </x:c>
      <x:c r="E11" s="18" t="n">
        <x:v>45682</x:v>
      </x:c>
      <x:c r="F11" s="18" t="n">
        <x:v>46047</x:v>
      </x:c>
      <x:c r="G11" s="12" t="str">
        <x:v>Effective</x:v>
      </x:c>
      <x:c r="H11" s="12" t="str">
        <x:v>Board</x:v>
      </x:c>
    </x:row>
  </x:sheetData>
  <x:pageMargins left="0.7" right="0.7" top="0.75" bottom="0.75" header="0.3" footer="0.3"/>
  <x:tableParts count="1">
    <x:tablePart xmlns:r="http://schemas.openxmlformats.org/officeDocument/2006/relationships" r:id="R4035fe7eff0b4c87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14" hidden="0" customWidth="1"/>
    <x:col min="9" max="9" width="16" hidden="0" customWidth="1"/>
  </x:cols>
  <x:sheetData>
    <x:row r="1">
      <x:c r="A1" s="29" t="str">
        <x:v>Mã đại lý</x:v>
      </x:c>
      <x:c r="B1" s="29" t="str">
        <x:v>Đại lý</x:v>
      </x:c>
      <x:c r="C1" s="29" t="str">
        <x:v>Thương hiệu</x:v>
      </x:c>
      <x:c r="D1" s="29" t="str">
        <x:v>Điện năng (MWh)</x:v>
      </x:c>
      <x:c r="E1" s="29" t="str">
        <x:v>Tỷ lệ điện mặt trời</x:v>
      </x:c>
      <x:c r="F1" s="29" t="str">
        <x:v>Tái chế chất thải</x:v>
      </x:c>
      <x:c r="G1" s="29" t="str">
        <x:v>Tỷ trọng xe xanh</x:v>
      </x:c>
      <x:c r="H1" s="29" t="str">
        <x:v>Tỷ lệ nữ</x:v>
      </x:c>
      <x:c r="I1" s="29" t="str">
        <x:v>Sự cố an toàn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n">
        <x:v>113.5</x:v>
      </x:c>
      <x:c r="E2" s="34" t="n">
        <x:v>0.1966561273672408</x:v>
      </x:c>
      <x:c r="F2" s="34" t="n">
        <x:v>0.9042754413195468</x:v>
      </x:c>
      <x:c r="G2" s="34" t="n">
        <x:v>0.05</x:v>
      </x:c>
      <x:c r="H2" s="34" t="n">
        <x:v>0.5158242923968924</x:v>
      </x:c>
      <x:c r="I2" s="12" t="n">
        <x:v>1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n">
        <x:v>235.4</x:v>
      </x:c>
      <x:c r="E3" s="34" t="n">
        <x:v>0.4307857077511386</x:v>
      </x:c>
      <x:c r="F3" s="34" t="n">
        <x:v>0.7824706665213635</x:v>
      </x:c>
      <x:c r="G3" s="34" t="n">
        <x:v>0.05</x:v>
      </x:c>
      <x:c r="H3" s="34" t="n">
        <x:v>0.46851109003919544</x:v>
      </x:c>
      <x:c r="I3" s="12" t="n">
        <x:v>3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n">
        <x:v>143.7</x:v>
      </x:c>
      <x:c r="E4" s="34" t="n">
        <x:v>0.33795316349000293</x:v>
      </x:c>
      <x:c r="F4" s="34" t="n">
        <x:v>0.6553472363785273</x:v>
      </x:c>
      <x:c r="G4" s="34" t="n">
        <x:v>0.05</x:v>
      </x:c>
      <x:c r="H4" s="34" t="n">
        <x:v>0.44790338716078915</x:v>
      </x:c>
      <x:c r="I4" s="12" t="n">
        <x:v>2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n">
        <x:v>168.8</x:v>
      </x:c>
      <x:c r="E5" s="34" t="n">
        <x:v>0.39096175006688066</x:v>
      </x:c>
      <x:c r="F5" s="34" t="n">
        <x:v>0.7385691651655061</x:v>
      </x:c>
      <x:c r="G5" s="34" t="n">
        <x:v>0.05</x:v>
      </x:c>
      <x:c r="H5" s="34" t="n">
        <x:v>0.42732785801814127</x:v>
      </x:c>
      <x:c r="I5" s="12" t="n">
        <x:v>3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n">
        <x:v>107.8</x:v>
      </x:c>
      <x:c r="E6" s="34" t="n">
        <x:v>0.2953861757333393</x:v>
      </x:c>
      <x:c r="F6" s="34" t="n">
        <x:v>0.8348318636254006</x:v>
      </x:c>
      <x:c r="G6" s="34" t="n">
        <x:v>0.85</x:v>
      </x:c>
      <x:c r="H6" s="34" t="n">
        <x:v>0.43537355029814584</x:v>
      </x:c>
      <x:c r="I6" s="12" t="n">
        <x:v>0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n">
        <x:v>104.6</x:v>
      </x:c>
      <x:c r="E7" s="34" t="n">
        <x:v>0.18618635956143387</x:v>
      </x:c>
      <x:c r="F7" s="34" t="n">
        <x:v>0.7673090689532089</x:v>
      </x:c>
      <x:c r="G7" s="34" t="n">
        <x:v>0.85</x:v>
      </x:c>
      <x:c r="H7" s="34" t="n">
        <x:v>0.4927560551393006</x:v>
      </x:c>
      <x:c r="I7" s="12" t="n">
        <x:v>1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n">
        <x:v>104.8</x:v>
      </x:c>
      <x:c r="E8" s="34" t="n">
        <x:v>0.34791702480429987</x:v>
      </x:c>
      <x:c r="F8" s="34" t="n">
        <x:v>0.6689220025637952</x:v>
      </x:c>
      <x:c r="G8" s="34" t="n">
        <x:v>0.85</x:v>
      </x:c>
      <x:c r="H8" s="34" t="n">
        <x:v>0.4399578454259028</x:v>
      </x:c>
      <x:c r="I8" s="12" t="n">
        <x:v>2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n">
        <x:v>133.7</x:v>
      </x:c>
      <x:c r="E9" s="34" t="n">
        <x:v>0.186771959530175</x:v>
      </x:c>
      <x:c r="F9" s="34" t="n">
        <x:v>0.6835377332367577</x:v>
      </x:c>
      <x:c r="G9" s="34" t="n">
        <x:v>0.95</x:v>
      </x:c>
      <x:c r="H9" s="34" t="n">
        <x:v>0.42190887598601545</x:v>
      </x:c>
      <x:c r="I9" s="12" t="n">
        <x:v>1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n">
        <x:v>205.5</x:v>
      </x:c>
      <x:c r="E10" s="34" t="n">
        <x:v>0.397617009931657</x:v>
      </x:c>
      <x:c r="F10" s="34" t="n">
        <x:v>0.9531446350699871</x:v>
      </x:c>
      <x:c r="G10" s="34" t="n">
        <x:v>0.95</x:v>
      </x:c>
      <x:c r="H10" s="34" t="n">
        <x:v>0.3386880427656619</x:v>
      </x:c>
      <x:c r="I10" s="12" t="n">
        <x:v>2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n">
        <x:v>236.2</x:v>
      </x:c>
      <x:c r="E11" s="34" t="n">
        <x:v>0.07913551354350945</x:v>
      </x:c>
      <x:c r="F11" s="34" t="n">
        <x:v>0.7979558314114027</x:v>
      </x:c>
      <x:c r="G11" s="34" t="n">
        <x:v>0.95</x:v>
      </x:c>
      <x:c r="H11" s="34" t="n">
        <x:v>0.4493934501725807</x:v>
      </x:c>
      <x:c r="I11" s="12" t="n">
        <x:v>1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n">
        <x:v>229.7</x:v>
      </x:c>
      <x:c r="E12" s="34" t="n">
        <x:v>0.3215749293069728</x:v>
      </x:c>
      <x:c r="F12" s="34" t="n">
        <x:v>0.70348908788028</x:v>
      </x:c>
      <x:c r="G12" s="34" t="n">
        <x:v>0.95</x:v>
      </x:c>
      <x:c r="H12" s="34" t="n">
        <x:v>0.34315692674679765</x:v>
      </x:c>
      <x:c r="I12" s="12" t="n">
        <x:v>0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n">
        <x:v>81.8</x:v>
      </x:c>
      <x:c r="E13" s="34" t="n">
        <x:v>0.08845392300836696</x:v>
      </x:c>
      <x:c r="F13" s="34" t="n">
        <x:v>0.9115826769879866</x:v>
      </x:c>
      <x:c r="G13" s="34" t="n">
        <x:v>0.95</x:v>
      </x:c>
      <x:c r="H13" s="34" t="n">
        <x:v>0.4111869020730878</x:v>
      </x:c>
      <x:c r="I13" s="12" t="n">
        <x:v>3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n">
        <x:v>107.3</x:v>
      </x:c>
      <x:c r="E14" s="34" t="n">
        <x:v>0.23036860028479178</x:v>
      </x:c>
      <x:c r="F14" s="34" t="n">
        <x:v>0.8382314977875192</x:v>
      </x:c>
      <x:c r="G14" s="34" t="n">
        <x:v>0.95</x:v>
      </x:c>
      <x:c r="H14" s="34" t="n">
        <x:v>0.3860346228049024</x:v>
      </x:c>
      <x:c r="I14" s="12" t="n">
        <x:v>2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n">
        <x:v>153.4</x:v>
      </x:c>
      <x:c r="E15" s="34" t="n">
        <x:v>0.4381672201196454</x:v>
      </x:c>
      <x:c r="F15" s="34" t="n">
        <x:v>0.7838247137501428</x:v>
      </x:c>
      <x:c r="G15" s="34" t="n">
        <x:v>0.95</x:v>
      </x:c>
      <x:c r="H15" s="34" t="n">
        <x:v>0.4818444906824285</x:v>
      </x:c>
      <x:c r="I15" s="12" t="n">
        <x:v>3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n">
        <x:v>98.2</x:v>
      </x:c>
      <x:c r="E16" s="34" t="n">
        <x:v>0.28174145795425826</x:v>
      </x:c>
      <x:c r="F16" s="34" t="n">
        <x:v>0.7928873872269196</x:v>
      </x:c>
      <x:c r="G16" s="34" t="n">
        <x:v>0.95</x:v>
      </x:c>
      <x:c r="H16" s="34" t="n">
        <x:v>0.49832113286699287</x:v>
      </x:c>
      <x:c r="I16" s="12" t="n">
        <x:v>0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n">
        <x:v>61</x:v>
      </x:c>
      <x:c r="E17" s="34" t="n">
        <x:v>0.37449520361354993</x:v>
      </x:c>
      <x:c r="F17" s="34" t="n">
        <x:v>0.692632566652588</x:v>
      </x:c>
      <x:c r="G17" s="34" t="n">
        <x:v>0.95</x:v>
      </x:c>
      <x:c r="H17" s="34" t="n">
        <x:v>0.3524323664053765</x:v>
      </x:c>
      <x:c r="I17" s="12" t="n">
        <x:v>2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n">
        <x:v>153.9</x:v>
      </x:c>
      <x:c r="E18" s="34" t="n">
        <x:v>0.1424114989349632</x:v>
      </x:c>
      <x:c r="F18" s="34" t="n">
        <x:v>0.7502770369413831</x:v>
      </x:c>
      <x:c r="G18" s="34" t="n">
        <x:v>0.95</x:v>
      </x:c>
      <x:c r="H18" s="34" t="n">
        <x:v>0.49591192539301526</x:v>
      </x:c>
      <x:c r="I18" s="12" t="n">
        <x:v>2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n">
        <x:v>152.7</x:v>
      </x:c>
      <x:c r="E19" s="34" t="n">
        <x:v>0.40149479475936595</x:v>
      </x:c>
      <x:c r="F19" s="34" t="n">
        <x:v>0.8615086704537162</x:v>
      </x:c>
      <x:c r="G19" s="34" t="n">
        <x:v>0.18</x:v>
      </x:c>
      <x:c r="H19" s="34" t="n">
        <x:v>0.40294304012077165</x:v>
      </x:c>
      <x:c r="I19" s="12" t="n">
        <x:v>0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n">
        <x:v>70.1</x:v>
      </x:c>
      <x:c r="E20" s="34" t="n">
        <x:v>0.2958799039828172</x:v>
      </x:c>
      <x:c r="F20" s="34" t="n">
        <x:v>0.8521971748701584</x:v>
      </x:c>
      <x:c r="G20" s="34" t="n">
        <x:v>0.18</x:v>
      </x:c>
      <x:c r="H20" s="34" t="n">
        <x:v>0.3212958395021355</x:v>
      </x:c>
      <x:c r="I20" s="12" t="n">
        <x:v>3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n">
        <x:v>119.9</x:v>
      </x:c>
      <x:c r="E21" s="34" t="n">
        <x:v>0.18827868911912132</x:v>
      </x:c>
      <x:c r="F21" s="34" t="n">
        <x:v>0.7657024747323012</x:v>
      </x:c>
      <x:c r="G21" s="34" t="n">
        <x:v>0.98</x:v>
      </x:c>
      <x:c r="H21" s="34" t="n">
        <x:v>0.511098534246093</x:v>
      </x:c>
      <x:c r="I21" s="12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7eca42df272e47c6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  <x:col min="11" max="11" width="34" hidden="0" customWidth="1"/>
  </x:cols>
  <x:sheetData>
    <x:row r="1">
      <x:c r="A1" s="29" t="str">
        <x:v>Mã đại lý</x:v>
      </x:c>
      <x:c r="B1" s="29" t="str">
        <x:v>Đại lý</x:v>
      </x:c>
      <x:c r="C1" s="29" t="str">
        <x:v>Thương hiệu</x:v>
      </x:c>
      <x:c r="D1" s="29" t="str">
        <x:v>Financial Risk</x:v>
      </x:c>
      <x:c r="E1" s="29" t="str">
        <x:v>Inventory Risk</x:v>
      </x:c>
      <x:c r="F1" s="29" t="str">
        <x:v>Sales Risk</x:v>
      </x:c>
      <x:c r="G1" s="29" t="str">
        <x:v>Customer Risk</x:v>
      </x:c>
      <x:c r="H1" s="29" t="str">
        <x:v>Control Risk</x:v>
      </x:c>
      <x:c r="I1" s="29" t="str">
        <x:v>Composite EWS</x:v>
      </x:c>
      <x:c r="J1" s="29" t="str">
        <x:v>Mức cảnh báo</x:v>
      </x:c>
      <x:c r="K1" s="29" t="str">
        <x:v>Khuyến nghị</x:v>
      </x:c>
    </x:row>
    <x:row r="2">
      <x:c r="A2" s="12" t="str">
        <x:v>DLR-001</x:v>
      </x:c>
      <x:c r="B2" s="12" t="str">
        <x:v>Hà Thành Ford</x:v>
      </x:c>
      <x:c r="C2" s="12" t="str">
        <x:v>Ford</x:v>
      </x:c>
      <x:c r="D2" s="12" t="n">
        <x:v>62.3</x:v>
      </x:c>
      <x:c r="E2" s="12" t="n">
        <x:v>78.6</x:v>
      </x:c>
      <x:c r="F2" s="12" t="n">
        <x:v>69.2</x:v>
      </x:c>
      <x:c r="G2" s="12" t="n">
        <x:v>59.2</x:v>
      </x:c>
      <x:c r="H2" s="12" t="n">
        <x:v>76.4</x:v>
      </x:c>
      <x:c r="I2" s="12" t="n">
        <x:v>69.4</x:v>
      </x:c>
      <x:c r="J2" s="12" t="str">
        <x:v>Amber</x:v>
      </x:c>
      <x:c r="K2" s="12" t="str">
        <x:v>Control remediation</x:v>
      </x:c>
    </x:row>
    <x:row r="3">
      <x:c r="A3" s="12" t="str">
        <x:v>DLR-002</x:v>
      </x:c>
      <x:c r="B3" s="12" t="str">
        <x:v>Hà Thành Ford - Mỹ Đình</x:v>
      </x:c>
      <x:c r="C3" s="12" t="str">
        <x:v>Ford</x:v>
      </x:c>
      <x:c r="D3" s="12" t="n">
        <x:v>39.9</x:v>
      </x:c>
      <x:c r="E3" s="12" t="n">
        <x:v>33.2</x:v>
      </x:c>
      <x:c r="F3" s="12" t="n">
        <x:v>72.6</x:v>
      </x:c>
      <x:c r="G3" s="12" t="n">
        <x:v>62.3</x:v>
      </x:c>
      <x:c r="H3" s="12" t="n">
        <x:v>56.5</x:v>
      </x:c>
      <x:c r="I3" s="12" t="n">
        <x:v>50.6</x:v>
      </x:c>
      <x:c r="J3" s="12" t="str">
        <x:v>Green</x:v>
      </x:c>
      <x:c r="K3" s="12" t="str">
        <x:v>Normal monitoring</x:v>
      </x:c>
    </x:row>
    <x:row r="4">
      <x:c r="A4" s="12" t="str">
        <x:v>DLR-003</x:v>
      </x:c>
      <x:c r="B4" s="12" t="str">
        <x:v>Mỹ Đình Ford</x:v>
      </x:c>
      <x:c r="C4" s="12" t="str">
        <x:v>Ford</x:v>
      </x:c>
      <x:c r="D4" s="12" t="n">
        <x:v>88.5</x:v>
      </x:c>
      <x:c r="E4" s="12" t="n">
        <x:v>44</x:v>
      </x:c>
      <x:c r="F4" s="12" t="n">
        <x:v>50.7</x:v>
      </x:c>
      <x:c r="G4" s="12" t="n">
        <x:v>39.1</x:v>
      </x:c>
      <x:c r="H4" s="12" t="n">
        <x:v>31.5</x:v>
      </x:c>
      <x:c r="I4" s="12" t="n">
        <x:v>53.9</x:v>
      </x:c>
      <x:c r="J4" s="12" t="str">
        <x:v>Green</x:v>
      </x:c>
      <x:c r="K4" s="12" t="str">
        <x:v>Margin recovery</x:v>
      </x:c>
    </x:row>
    <x:row r="5">
      <x:c r="A5" s="12" t="str">
        <x:v>DLR-004</x:v>
      </x:c>
      <x:c r="B5" s="12" t="str">
        <x:v>Việt Trì Ford</x:v>
      </x:c>
      <x:c r="C5" s="12" t="str">
        <x:v>Ford</x:v>
      </x:c>
      <x:c r="D5" s="12" t="n">
        <x:v>57.7</x:v>
      </x:c>
      <x:c r="E5" s="12" t="n">
        <x:v>71.5</x:v>
      </x:c>
      <x:c r="F5" s="12" t="n">
        <x:v>38.8</x:v>
      </x:c>
      <x:c r="G5" s="12" t="n">
        <x:v>64.8</x:v>
      </x:c>
      <x:c r="H5" s="12" t="n">
        <x:v>84.3</x:v>
      </x:c>
      <x:c r="I5" s="12" t="n">
        <x:v>62.4</x:v>
      </x:c>
      <x:c r="J5" s="12" t="str">
        <x:v>Amber</x:v>
      </x:c>
      <x:c r="K5" s="12" t="str">
        <x:v>Control remediation</x:v>
      </x:c>
    </x:row>
    <x:row r="6">
      <x:c r="A6" s="12" t="str">
        <x:v>DLR-005</x:v>
      </x:c>
      <x:c r="B6" s="12" t="str">
        <x:v>BYD HTA Tây Hồ</x:v>
      </x:c>
      <x:c r="C6" s="12" t="str">
        <x:v>BYD</x:v>
      </x:c>
      <x:c r="D6" s="12" t="n">
        <x:v>72.1</x:v>
      </x:c>
      <x:c r="E6" s="12" t="n">
        <x:v>33.2</x:v>
      </x:c>
      <x:c r="F6" s="12" t="n">
        <x:v>56.3</x:v>
      </x:c>
      <x:c r="G6" s="12" t="n">
        <x:v>39.9</x:v>
      </x:c>
      <x:c r="H6" s="12" t="n">
        <x:v>72.8</x:v>
      </x:c>
      <x:c r="I6" s="12" t="n">
        <x:v>54.5</x:v>
      </x:c>
      <x:c r="J6" s="12" t="str">
        <x:v>Green</x:v>
      </x:c>
      <x:c r="K6" s="12" t="str">
        <x:v>Normal monitoring</x:v>
      </x:c>
    </x:row>
    <x:row r="7">
      <x:c r="A7" s="12" t="str">
        <x:v>DLR-006</x:v>
      </x:c>
      <x:c r="B7" s="12" t="str">
        <x:v>BYD HTA Hoàn Kiếm</x:v>
      </x:c>
      <x:c r="C7" s="12" t="str">
        <x:v>BYD</x:v>
      </x:c>
      <x:c r="D7" s="12" t="n">
        <x:v>63.3</x:v>
      </x:c>
      <x:c r="E7" s="12" t="n">
        <x:v>68.8</x:v>
      </x:c>
      <x:c r="F7" s="12" t="n">
        <x:v>72</x:v>
      </x:c>
      <x:c r="G7" s="12" t="n">
        <x:v>65.7</x:v>
      </x:c>
      <x:c r="H7" s="12" t="n">
        <x:v>33.6</x:v>
      </x:c>
      <x:c r="I7" s="12" t="n">
        <x:v>62.3</x:v>
      </x:c>
      <x:c r="J7" s="12" t="str">
        <x:v>Amber</x:v>
      </x:c>
      <x:c r="K7" s="12" t="str">
        <x:v>Inventory action plan</x:v>
      </x:c>
    </x:row>
    <x:row r="8">
      <x:c r="A8" s="12" t="str">
        <x:v>DLR-007</x:v>
      </x:c>
      <x:c r="B8" s="12" t="str">
        <x:v>BYD Hà Đông</x:v>
      </x:c>
      <x:c r="C8" s="12" t="str">
        <x:v>BYD</x:v>
      </x:c>
      <x:c r="D8" s="12" t="n">
        <x:v>46.7</x:v>
      </x:c>
      <x:c r="E8" s="12" t="n">
        <x:v>56</x:v>
      </x:c>
      <x:c r="F8" s="12" t="n">
        <x:v>32.2</x:v>
      </x:c>
      <x:c r="G8" s="12" t="n">
        <x:v>75.5</x:v>
      </x:c>
      <x:c r="H8" s="12" t="n">
        <x:v>53.3</x:v>
      </x:c>
      <x:c r="I8" s="12" t="n">
        <x:v>51.5</x:v>
      </x:c>
      <x:c r="J8" s="12" t="str">
        <x:v>Green</x:v>
      </x:c>
      <x:c r="K8" s="12" t="str">
        <x:v>Normal monitoring</x:v>
      </x:c>
    </x:row>
    <x:row r="9">
      <x:c r="A9" s="12" t="str">
        <x:v>DLR-008</x:v>
      </x:c>
      <x:c r="B9" s="12" t="str">
        <x:v>VinFast HTA Nguyễn Văn Linh</x:v>
      </x:c>
      <x:c r="C9" s="12" t="str">
        <x:v>VinFast</x:v>
      </x:c>
      <x:c r="D9" s="12" t="n">
        <x:v>57.1</x:v>
      </x:c>
      <x:c r="E9" s="12" t="n">
        <x:v>74.9</x:v>
      </x:c>
      <x:c r="F9" s="12" t="n">
        <x:v>59.7</x:v>
      </x:c>
      <x:c r="G9" s="12" t="n">
        <x:v>84.8</x:v>
      </x:c>
      <x:c r="H9" s="12" t="n">
        <x:v>68.1</x:v>
      </x:c>
      <x:c r="I9" s="12" t="n">
        <x:v>67.9</x:v>
      </x:c>
      <x:c r="J9" s="12" t="str">
        <x:v>Amber</x:v>
      </x:c>
      <x:c r="K9" s="12" t="str">
        <x:v>Control remediation</x:v>
      </x:c>
    </x:row>
    <x:row r="10">
      <x:c r="A10" s="12" t="str">
        <x:v>DLR-009</x:v>
      </x:c>
      <x:c r="B10" s="12" t="str">
        <x:v>VinFast HTA Đông Anh</x:v>
      </x:c>
      <x:c r="C10" s="12" t="str">
        <x:v>VinFast</x:v>
      </x:c>
      <x:c r="D10" s="12" t="n">
        <x:v>55.8</x:v>
      </x:c>
      <x:c r="E10" s="12" t="n">
        <x:v>44.3</x:v>
      </x:c>
      <x:c r="F10" s="12" t="n">
        <x:v>72.9</x:v>
      </x:c>
      <x:c r="G10" s="12" t="n">
        <x:v>23.8</x:v>
      </x:c>
      <x:c r="H10" s="12" t="n">
        <x:v>77.7</x:v>
      </x:c>
      <x:c r="I10" s="12" t="n">
        <x:v>54.8</x:v>
      </x:c>
      <x:c r="J10" s="12" t="str">
        <x:v>Green</x:v>
      </x:c>
      <x:c r="K10" s="12" t="str">
        <x:v>Normal monitoring</x:v>
      </x:c>
    </x:row>
    <x:row r="11">
      <x:c r="A11" s="12" t="str">
        <x:v>DLR-010</x:v>
      </x:c>
      <x:c r="B11" s="12" t="str">
        <x:v>VinFast HTA Đàm Quang Trung</x:v>
      </x:c>
      <x:c r="C11" s="12" t="str">
        <x:v>VinFast</x:v>
      </x:c>
      <x:c r="D11" s="12" t="n">
        <x:v>83.7</x:v>
      </x:c>
      <x:c r="E11" s="12" t="n">
        <x:v>88</x:v>
      </x:c>
      <x:c r="F11" s="12" t="n">
        <x:v>54.3</x:v>
      </x:c>
      <x:c r="G11" s="12" t="n">
        <x:v>51.1</x:v>
      </x:c>
      <x:c r="H11" s="12" t="n">
        <x:v>48.9</x:v>
      </x:c>
      <x:c r="I11" s="12" t="n">
        <x:v>68.8</x:v>
      </x:c>
      <x:c r="J11" s="12" t="str">
        <x:v>Amber</x:v>
      </x:c>
      <x:c r="K11" s="12" t="str">
        <x:v>Lead conversion sprint</x:v>
      </x:c>
    </x:row>
    <x:row r="12">
      <x:c r="A12" s="12" t="str">
        <x:v>DLR-011</x:v>
      </x:c>
      <x:c r="B12" s="12" t="str">
        <x:v>VinFast HTA Phạm Văn Đồng</x:v>
      </x:c>
      <x:c r="C12" s="12" t="str">
        <x:v>VinFast</x:v>
      </x:c>
      <x:c r="D12" s="12" t="n">
        <x:v>36.6</x:v>
      </x:c>
      <x:c r="E12" s="12" t="n">
        <x:v>57.6</x:v>
      </x:c>
      <x:c r="F12" s="12" t="n">
        <x:v>74.7</x:v>
      </x:c>
      <x:c r="G12" s="12" t="n">
        <x:v>45.6</x:v>
      </x:c>
      <x:c r="H12" s="12" t="n">
        <x:v>38.8</x:v>
      </x:c>
      <x:c r="I12" s="12" t="n">
        <x:v>51.2</x:v>
      </x:c>
      <x:c r="J12" s="12" t="str">
        <x:v>Green</x:v>
      </x:c>
      <x:c r="K12" s="12" t="str">
        <x:v>Inventory action plan</x:v>
      </x:c>
    </x:row>
    <x:row r="13">
      <x:c r="A13" s="12" t="str">
        <x:v>DLR-012</x:v>
      </x:c>
      <x:c r="B13" s="12" t="str">
        <x:v>VinFast HTA Võ Chí Công</x:v>
      </x:c>
      <x:c r="C13" s="12" t="str">
        <x:v>VinFast</x:v>
      </x:c>
      <x:c r="D13" s="12" t="n">
        <x:v>41.7</x:v>
      </x:c>
      <x:c r="E13" s="12" t="n">
        <x:v>33.7</x:v>
      </x:c>
      <x:c r="F13" s="12" t="n">
        <x:v>60.4</x:v>
      </x:c>
      <x:c r="G13" s="12" t="n">
        <x:v>67.6</x:v>
      </x:c>
      <x:c r="H13" s="12" t="n">
        <x:v>40.7</x:v>
      </x:c>
      <x:c r="I13" s="12" t="n">
        <x:v>47.2</x:v>
      </x:c>
      <x:c r="J13" s="12" t="str">
        <x:v>Green</x:v>
      </x:c>
      <x:c r="K13" s="12" t="str">
        <x:v>Normal monitoring</x:v>
      </x:c>
    </x:row>
    <x:row r="14">
      <x:c r="A14" s="12" t="str">
        <x:v>DLR-013</x:v>
      </x:c>
      <x:c r="B14" s="12" t="str">
        <x:v>VinFast HTA Ninh Bình</x:v>
      </x:c>
      <x:c r="C14" s="12" t="str">
        <x:v>VinFast</x:v>
      </x:c>
      <x:c r="D14" s="12" t="n">
        <x:v>71.1</x:v>
      </x:c>
      <x:c r="E14" s="12" t="n">
        <x:v>45.7</x:v>
      </x:c>
      <x:c r="F14" s="12" t="n">
        <x:v>55.5</x:v>
      </x:c>
      <x:c r="G14" s="12" t="n">
        <x:v>43.2</x:v>
      </x:c>
      <x:c r="H14" s="12" t="n">
        <x:v>40.6</x:v>
      </x:c>
      <x:c r="I14" s="12" t="n">
        <x:v>52.9</x:v>
      </x:c>
      <x:c r="J14" s="12" t="str">
        <x:v>Green</x:v>
      </x:c>
      <x:c r="K14" s="12" t="str">
        <x:v>Control remediation</x:v>
      </x:c>
    </x:row>
    <x:row r="15">
      <x:c r="A15" s="12" t="str">
        <x:v>DLR-014</x:v>
      </x:c>
      <x:c r="B15" s="12" t="str">
        <x:v>VinFast HTA Nam Từ Liêm</x:v>
      </x:c>
      <x:c r="C15" s="12" t="str">
        <x:v>VinFast</x:v>
      </x:c>
      <x:c r="D15" s="12" t="n">
        <x:v>66.3</x:v>
      </x:c>
      <x:c r="E15" s="12" t="n">
        <x:v>94.8</x:v>
      </x:c>
      <x:c r="F15" s="12" t="n">
        <x:v>74</x:v>
      </x:c>
      <x:c r="G15" s="12" t="n">
        <x:v>80.4</x:v>
      </x:c>
      <x:c r="H15" s="12" t="n">
        <x:v>60.8</x:v>
      </x:c>
      <x:c r="I15" s="12" t="n">
        <x:v>76.2</x:v>
      </x:c>
      <x:c r="J15" s="12" t="str">
        <x:v>Red</x:v>
      </x:c>
      <x:c r="K15" s="12" t="str">
        <x:v>Normal monitoring</x:v>
      </x:c>
    </x:row>
    <x:row r="16">
      <x:c r="A16" s="12" t="str">
        <x:v>DLR-015</x:v>
      </x:c>
      <x:c r="B16" s="12" t="str">
        <x:v>VinFast HTA Văn Phú</x:v>
      </x:c>
      <x:c r="C16" s="12" t="str">
        <x:v>VinFast</x:v>
      </x:c>
      <x:c r="D16" s="12" t="n">
        <x:v>59.4</x:v>
      </x:c>
      <x:c r="E16" s="12" t="n">
        <x:v>57</x:v>
      </x:c>
      <x:c r="F16" s="12" t="n">
        <x:v>58.7</x:v>
      </x:c>
      <x:c r="G16" s="12" t="n">
        <x:v>60.9</x:v>
      </x:c>
      <x:c r="H16" s="12" t="n">
        <x:v>64.3</x:v>
      </x:c>
      <x:c r="I16" s="12" t="n">
        <x:v>59.6</x:v>
      </x:c>
      <x:c r="J16" s="12" t="str">
        <x:v>Green</x:v>
      </x:c>
      <x:c r="K16" s="12" t="str">
        <x:v>Margin recovery</x:v>
      </x:c>
    </x:row>
    <x:row r="17">
      <x:c r="A17" s="12" t="str">
        <x:v>DLR-016</x:v>
      </x:c>
      <x:c r="B17" s="12" t="str">
        <x:v>VinFast HTA Mỹ Đình</x:v>
      </x:c>
      <x:c r="C17" s="12" t="str">
        <x:v>VinFast</x:v>
      </x:c>
      <x:c r="D17" s="12" t="n">
        <x:v>40.9</x:v>
      </x:c>
      <x:c r="E17" s="12" t="n">
        <x:v>76.9</x:v>
      </x:c>
      <x:c r="F17" s="12" t="n">
        <x:v>75.5</x:v>
      </x:c>
      <x:c r="G17" s="12" t="n">
        <x:v>34</x:v>
      </x:c>
      <x:c r="H17" s="12" t="n">
        <x:v>63.5</x:v>
      </x:c>
      <x:c r="I17" s="12" t="n">
        <x:v>59.2</x:v>
      </x:c>
      <x:c r="J17" s="12" t="str">
        <x:v>Green</x:v>
      </x:c>
      <x:c r="K17" s="12" t="str">
        <x:v>Margin recovery</x:v>
      </x:c>
    </x:row>
    <x:row r="18">
      <x:c r="A18" s="12" t="str">
        <x:v>DLR-017</x:v>
      </x:c>
      <x:c r="B18" s="12" t="str">
        <x:v>VinFast Quốc Oai</x:v>
      </x:c>
      <x:c r="C18" s="12" t="str">
        <x:v>VinFast</x:v>
      </x:c>
      <x:c r="D18" s="12" t="n">
        <x:v>64.7</x:v>
      </x:c>
      <x:c r="E18" s="12" t="n">
        <x:v>32.3</x:v>
      </x:c>
      <x:c r="F18" s="12" t="n">
        <x:v>73</x:v>
      </x:c>
      <x:c r="G18" s="12" t="n">
        <x:v>21.4</x:v>
      </x:c>
      <x:c r="H18" s="12" t="n">
        <x:v>36.3</x:v>
      </x:c>
      <x:c r="I18" s="12" t="n">
        <x:v>47.5</x:v>
      </x:c>
      <x:c r="J18" s="12" t="str">
        <x:v>Green</x:v>
      </x:c>
      <x:c r="K18" s="12" t="str">
        <x:v>Margin recovery</x:v>
      </x:c>
    </x:row>
    <x:row r="19">
      <x:c r="A19" s="12" t="str">
        <x:v>DLR-018</x:v>
      </x:c>
      <x:c r="B19" s="12" t="str">
        <x:v>OMODA &amp; JAECOO HTA Nam Từ Liêm</x:v>
      </x:c>
      <x:c r="C19" s="12" t="str">
        <x:v>OMODA &amp; JAECOO</x:v>
      </x:c>
      <x:c r="D19" s="12" t="n">
        <x:v>84.6</x:v>
      </x:c>
      <x:c r="E19" s="12" t="n">
        <x:v>62</x:v>
      </x:c>
      <x:c r="F19" s="12" t="n">
        <x:v>52.7</x:v>
      </x:c>
      <x:c r="G19" s="12" t="n">
        <x:v>65.7</x:v>
      </x:c>
      <x:c r="H19" s="12" t="n">
        <x:v>83.4</x:v>
      </x:c>
      <x:c r="I19" s="12" t="n">
        <x:v>69.5</x:v>
      </x:c>
      <x:c r="J19" s="12" t="str">
        <x:v>Amber</x:v>
      </x:c>
      <x:c r="K19" s="12" t="str">
        <x:v>Margin recovery</x:v>
      </x:c>
    </x:row>
    <x:row r="20">
      <x:c r="A20" s="12" t="str">
        <x:v>DLR-019</x:v>
      </x:c>
      <x:c r="B20" s="12" t="str">
        <x:v>OMODA &amp; JAECOO HTA Việt Trì</x:v>
      </x:c>
      <x:c r="C20" s="12" t="str">
        <x:v>OMODA &amp; JAECOO</x:v>
      </x:c>
      <x:c r="D20" s="12" t="n">
        <x:v>88.7</x:v>
      </x:c>
      <x:c r="E20" s="12" t="n">
        <x:v>67.6</x:v>
      </x:c>
      <x:c r="F20" s="12" t="n">
        <x:v>71.7</x:v>
      </x:c>
      <x:c r="G20" s="12" t="n">
        <x:v>43.5</x:v>
      </x:c>
      <x:c r="H20" s="12" t="n">
        <x:v>57.6</x:v>
      </x:c>
      <x:c r="I20" s="12" t="n">
        <x:v>68.6</x:v>
      </x:c>
      <x:c r="J20" s="12" t="str">
        <x:v>Amber</x:v>
      </x:c>
      <x:c r="K20" s="12" t="str">
        <x:v>Inventory action plan</x:v>
      </x:c>
    </x:row>
    <x:row r="21">
      <x:c r="A21" s="12" t="str">
        <x:v>DLR-020</x:v>
      </x:c>
      <x:c r="B21" s="12" t="str">
        <x:v>Wuling HTA Long Biên</x:v>
      </x:c>
      <x:c r="C21" s="12" t="str">
        <x:v>Wuling</x:v>
      </x:c>
      <x:c r="D21" s="12" t="n">
        <x:v>75.4</x:v>
      </x:c>
      <x:c r="E21" s="12" t="n">
        <x:v>66.2</x:v>
      </x:c>
      <x:c r="F21" s="12" t="n">
        <x:v>56.2</x:v>
      </x:c>
      <x:c r="G21" s="12" t="n">
        <x:v>83</x:v>
      </x:c>
      <x:c r="H21" s="12" t="n">
        <x:v>50.4</x:v>
      </x:c>
      <x:c r="I21" s="12" t="n">
        <x:v>66.7</x:v>
      </x:c>
      <x:c r="J21" s="12" t="str">
        <x:v>Amber</x:v>
      </x:c>
      <x:c r="K21" s="12" t="str">
        <x:v>Inventory action plan</x:v>
      </x:c>
    </x:row>
  </x:sheetData>
  <x:conditionalFormatting sqref="D2:I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cb4c072bea54e30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50" hidden="0" customWidth="1"/>
    <x:col min="5" max="5" width="52" hidden="0" customWidth="1"/>
    <x:col min="6" max="6" width="24" hidden="0" customWidth="1"/>
    <x:col min="7" max="7" width="16" hidden="0" customWidth="1"/>
  </x:cols>
  <x:sheetData>
    <x:row r="1">
      <x:c r="A1" s="29" t="str">
        <x:v>Ưu tiên</x:v>
      </x:c>
      <x:c r="B1" s="29" t="str">
        <x:v>Chủ đề</x:v>
      </x:c>
      <x:c r="C1" s="29" t="str">
        <x:v>Mức độ</x:v>
      </x:c>
      <x:c r="D1" s="29" t="str">
        <x:v>Phát hiện</x:v>
      </x:c>
      <x:c r="E1" s="29" t="str">
        <x:v>Khuyến nghị điều hành</x:v>
      </x:c>
      <x:c r="F1" s="29" t="str">
        <x:v>Owner</x:v>
      </x:c>
      <x:c r="G1" s="29" t="str">
        <x:v>SLA</x:v>
      </x:c>
    </x:row>
    <x:row r="2">
      <x:c r="A2" s="12" t="n">
        <x:v>1</x:v>
      </x:c>
      <x:c r="B2" s="12" t="str">
        <x:v>Liquidity</x:v>
      </x:c>
      <x:c r="C2" s="12" t="str">
        <x:v>High</x:v>
      </x:c>
      <x:c r="D2" s="12" t="str">
        <x:v>13-week cash headroom falls below management buffer in week 9</x:v>
      </x:c>
      <x:c r="E2" s="12" t="str">
        <x:v>Approve temporary inventory cap and weekly cash war-room</x:v>
      </x:c>
      <x:c r="F2" s="12" t="str">
        <x:v>CFO/COO</x:v>
      </x:c>
      <x:c r="G2" s="12" t="str">
        <x:v>48 hours</x:v>
      </x:c>
    </x:row>
    <x:row r="3">
      <x:c r="A3" s="12" t="n">
        <x:v>2</x:v>
      </x:c>
      <x:c r="B3" s="12" t="str">
        <x:v>Inventory</x:v>
      </x:c>
      <x:c r="C3" s="12" t="str">
        <x:v>High</x:v>
      </x:c>
      <x:c r="D3" s="12" t="str">
        <x:v>Three dealers show composite inventory risk above 80</x:v>
      </x:c>
      <x:c r="E3" s="12" t="str">
        <x:v>Reallocate stock and activate model-specific campaigns</x:v>
      </x:c>
      <x:c r="F3" s="12" t="str">
        <x:v>COO/Commercial</x:v>
      </x:c>
      <x:c r="G3" s="12" t="str">
        <x:v>7 days</x:v>
      </x:c>
    </x:row>
    <x:row r="4">
      <x:c r="A4" s="12" t="n">
        <x:v>3</x:v>
      </x:c>
      <x:c r="B4" s="12" t="str">
        <x:v>Sales Funnel</x:v>
      </x:c>
      <x:c r="C4" s="12" t="str">
        <x:v>Medium</x:v>
      </x:c>
      <x:c r="D4" s="12" t="str">
        <x:v>Lead-to-order conversion below target at selected EV dealers</x:v>
      </x:c>
      <x:c r="E4" s="12" t="str">
        <x:v>Launch conversion sprint and coaching by salesperson</x:v>
      </x:c>
      <x:c r="F4" s="12" t="str">
        <x:v>Commercial Director</x:v>
      </x:c>
      <x:c r="G4" s="12" t="str">
        <x:v>14 days</x:v>
      </x:c>
    </x:row>
    <x:row r="5">
      <x:c r="A5" s="12" t="n">
        <x:v>4</x:v>
      </x:c>
      <x:c r="B5" s="12" t="str">
        <x:v>Margin</x:v>
      </x:c>
      <x:c r="C5" s="12" t="str">
        <x:v>High</x:v>
      </x:c>
      <x:c r="D5" s="12" t="str">
        <x:v>Discount leakage concentrated in 12 transactions</x:v>
      </x:c>
      <x:c r="E5" s="12" t="str">
        <x:v>Review delegation and block discounts beyond approval threshold</x:v>
      </x:c>
      <x:c r="F5" s="12" t="str">
        <x:v>CFO/Commercial</x:v>
      </x:c>
      <x:c r="G5" s="12" t="str">
        <x:v>72 hours</x:v>
      </x:c>
    </x:row>
    <x:row r="6">
      <x:c r="A6" s="12" t="n">
        <x:v>5</x:v>
      </x:c>
      <x:c r="B6" s="12" t="str">
        <x:v>Customer</x:v>
      </x:c>
      <x:c r="C6" s="12" t="str">
        <x:v>Medium</x:v>
      </x:c>
      <x:c r="D6" s="12" t="str">
        <x:v>Delivery delays correlate with lower CSI</x:v>
      </x:c>
      <x:c r="E6" s="12" t="str">
        <x:v>Escalate registration and logistics bottlenecks</x:v>
      </x:c>
      <x:c r="F6" s="12" t="str">
        <x:v>COO/CX</x:v>
      </x:c>
      <x:c r="G6" s="12" t="str">
        <x:v>7 days</x:v>
      </x:c>
    </x:row>
    <x:row r="7">
      <x:c r="A7" s="12" t="n">
        <x:v>6</x:v>
      </x:c>
      <x:c r="B7" s="12" t="str">
        <x:v>Governance</x:v>
      </x:c>
      <x:c r="C7" s="12" t="str">
        <x:v>Medium</x:v>
      </x:c>
      <x:c r="D7" s="12" t="str">
        <x:v>Open audit findings exceed remediation SLA</x:v>
      </x:c>
      <x:c r="E7" s="12" t="str">
        <x:v>Assign accountable executives and report weekly</x:v>
      </x:c>
      <x:c r="F7" s="12" t="str">
        <x:v>Audit Committee</x:v>
      </x:c>
      <x:c r="G7" s="12" t="str">
        <x:v>14 days</x:v>
      </x:c>
    </x:row>
  </x:sheetData>
  <x:pageMargins left="0.7" right="0.7" top="0.75" bottom="0.75" header="0.3" footer="0.3"/>
  <x:tableParts count="1">
    <x:tablePart xmlns:r="http://schemas.openxmlformats.org/officeDocument/2006/relationships" r:id="Re54cc8067511462d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28" hidden="0" customWidth="1"/>
    <x:col min="5" max="5" width="22" hidden="0" customWidth="1"/>
    <x:col min="6" max="6" width="24" hidden="0" customWidth="1"/>
  </x:cols>
  <x:sheetData>
    <x:row r="1">
      <x:c r="A1" s="29" t="str">
        <x:v>Nguồn</x:v>
      </x:c>
      <x:c r="B1" s="29" t="str">
        <x:v>Bảng đích</x:v>
      </x:c>
      <x:c r="C1" s="29" t="str">
        <x:v>Tần suất</x:v>
      </x:c>
      <x:c r="D1" s="29" t="str">
        <x:v>Lớp dữ liệu</x:v>
      </x:c>
      <x:c r="E1" s="29" t="str">
        <x:v>Trạng thái kiểm soát</x:v>
      </x:c>
      <x:c r="F1" s="29" t="str">
        <x:v>Data Owner</x:v>
      </x:c>
    </x:row>
    <x:row r="2">
      <x:c r="A2" s="12" t="str">
        <x:v>DMS</x:v>
      </x:c>
      <x:c r="B2" s="12" t="str">
        <x:v>Ban_hang; Lead_Pipeline; Pricing_Discount</x:v>
      </x:c>
      <x:c r="C2" s="12" t="str">
        <x:v>Daily</x:v>
      </x:c>
      <x:c r="D2" s="12" t="str">
        <x:v>Commercial Data Mart</x:v>
      </x:c>
      <x:c r="E2" s="12" t="str">
        <x:v>Validated</x:v>
      </x:c>
      <x:c r="F2" s="12" t="str">
        <x:v>Commercial Director</x:v>
      </x:c>
    </x:row>
    <x:row r="3">
      <x:c r="A3" s="12" t="str">
        <x:v>Dealer Inventory Report</x:v>
      </x:c>
      <x:c r="B3" s="12" t="str">
        <x:v>Ton_kho; Working_Capital</x:v>
      </x:c>
      <x:c r="C3" s="12" t="str">
        <x:v>Daily</x:v>
      </x:c>
      <x:c r="D3" s="12" t="str">
        <x:v>Operations Data Mart</x:v>
      </x:c>
      <x:c r="E3" s="12" t="str">
        <x:v>Partial</x:v>
      </x:c>
      <x:c r="F3" s="12" t="str">
        <x:v>COO</x:v>
      </x:c>
    </x:row>
    <x:row r="4">
      <x:c r="A4" s="12" t="str">
        <x:v>CRM</x:v>
      </x:c>
      <x:c r="B4" s="12" t="str">
        <x:v>Customer_Funnel; CSI</x:v>
      </x:c>
      <x:c r="C4" s="12" t="str">
        <x:v>Daily</x:v>
      </x:c>
      <x:c r="D4" s="12" t="str">
        <x:v>Customer Data Mart</x:v>
      </x:c>
      <x:c r="E4" s="12" t="str">
        <x:v>Validated</x:v>
      </x:c>
      <x:c r="F4" s="12" t="str">
        <x:v>CX Director</x:v>
      </x:c>
    </x:row>
    <x:row r="5">
      <x:c r="A5" s="12" t="str">
        <x:v>ERP</x:v>
      </x:c>
      <x:c r="B5" s="12" t="str">
        <x:v>Tai_chinh; Dealer_PnL; Cash_Flow_13W</x:v>
      </x:c>
      <x:c r="C5" s="12" t="str">
        <x:v>Monthly/Weekly</x:v>
      </x:c>
      <x:c r="D5" s="12" t="str">
        <x:v>Finance Data Mart</x:v>
      </x:c>
      <x:c r="E5" s="12" t="str">
        <x:v>Validated</x:v>
      </x:c>
      <x:c r="F5" s="12" t="str">
        <x:v>CFO</x:v>
      </x:c>
    </x:row>
    <x:row r="6">
      <x:c r="A6" s="12" t="str">
        <x:v>Workshop System</x:v>
      </x:c>
      <x:c r="B6" s="12" t="str">
        <x:v>Dich_vu; Phu_tung</x:v>
      </x:c>
      <x:c r="C6" s="12" t="str">
        <x:v>Daily</x:v>
      </x:c>
      <x:c r="D6" s="12" t="str">
        <x:v>Service Data Mart</x:v>
      </x:c>
      <x:c r="E6" s="12" t="str">
        <x:v>Partial</x:v>
      </x:c>
      <x:c r="F6" s="12" t="str">
        <x:v>Service Director</x:v>
      </x:c>
    </x:row>
    <x:row r="7">
      <x:c r="A7" s="12" t="str">
        <x:v>GRC Register</x:v>
      </x:c>
      <x:c r="B7" s="12" t="str">
        <x:v>Rui_ro; RCM; Audit_Findings; Policy_Register</x:v>
      </x:c>
      <x:c r="C7" s="12" t="str">
        <x:v>Weekly</x:v>
      </x:c>
      <x:c r="D7" s="12" t="str">
        <x:v>Governance Data Mart</x:v>
      </x:c>
      <x:c r="E7" s="12" t="str">
        <x:v>Validated</x:v>
      </x:c>
      <x:c r="F7" s="12" t="str">
        <x:v>CRO</x:v>
      </x:c>
    </x:row>
    <x:row r="8">
      <x:c r="A8" s="12" t="str">
        <x:v>HRIS</x:v>
      </x:c>
      <x:c r="B8" s="12" t="str">
        <x:v>Workforce</x:v>
      </x:c>
      <x:c r="C8" s="12" t="str">
        <x:v>Monthly</x:v>
      </x:c>
      <x:c r="D8" s="12" t="str">
        <x:v>People Data Mart</x:v>
      </x:c>
      <x:c r="E8" s="12" t="str">
        <x:v>Validated</x:v>
      </x:c>
      <x:c r="F8" s="12" t="str">
        <x:v>CHRO</x:v>
      </x:c>
    </x:row>
  </x:sheetData>
  <x:pageMargins left="0.7" right="0.7" top="0.75" bottom="0.75" header="0.3" footer="0.3"/>
  <x:tableParts count="1">
    <x:tablePart xmlns:r="http://schemas.openxmlformats.org/officeDocument/2006/relationships" r:id="R68bc71a039754ed2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0" hidden="0" customWidth="1"/>
    <x:col min="4" max="4" width="24" hidden="0" customWidth="1"/>
    <x:col min="5" max="5" width="16" hidden="0" customWidth="1"/>
    <x:col min="6" max="6" width="14" hidden="0" customWidth="1"/>
    <x:col min="7" max="7" width="14" hidden="0" customWidth="1"/>
    <x:col min="8" max="8" width="22" hidden="0" customWidth="1"/>
    <x:col min="9" max="9" width="20" hidden="0" customWidth="1"/>
    <x:col min="10" max="10" width="16" hidden="0" customWidth="1"/>
    <x:col min="11" max="11" width="18" hidden="0" customWidth="1"/>
    <x:col min="12" max="12" width="16" hidden="0" customWidth="1"/>
    <x:col min="13" max="13" width="26" hidden="0" customWidth="1"/>
  </x:cols>
  <x:sheetData>
    <x:row r="1">
      <x:c r="A1" s="40" t="str">
        <x:v>Action ID</x:v>
      </x:c>
      <x:c r="B1" s="40" t="str">
        <x:v>Theme</x:v>
      </x:c>
      <x:c r="C1" s="40" t="str">
        <x:v>Action</x:v>
      </x:c>
      <x:c r="D1" s="40" t="str">
        <x:v>Owner</x:v>
      </x:c>
      <x:c r="E1" s="40" t="str">
        <x:v>Baseline KPI</x:v>
      </x:c>
      <x:c r="F1" s="40" t="str">
        <x:v>Target KPI</x:v>
      </x:c>
      <x:c r="G1" s="40" t="str">
        <x:v>Unit</x:v>
      </x:c>
      <x:c r="H1" s="40" t="str">
        <x:v>Expected Impact (bn)</x:v>
      </x:c>
      <x:c r="I1" s="40" t="str">
        <x:v>Actual Impact (bn)</x:v>
      </x:c>
      <x:c r="J1" s="40" t="str">
        <x:v>Due Date</x:v>
      </x:c>
      <x:c r="K1" s="40" t="str">
        <x:v>Status</x:v>
      </x:c>
      <x:c r="L1" s="40" t="str">
        <x:v>Confidence</x:v>
      </x:c>
      <x:c r="M1" s="40" t="str">
        <x:v>Evidence</x:v>
      </x:c>
    </x:row>
    <x:row r="2">
      <x:c r="A2" s="12" t="str">
        <x:v>ACT-001</x:v>
      </x:c>
      <x:c r="B2" s="12" t="str">
        <x:v>Audit</x:v>
      </x:c>
      <x:c r="C2" s="12" t="str">
        <x:v>Executive action 01</x:v>
      </x:c>
      <x:c r="D2" s="12" t="str">
        <x:v>Service Director</x:v>
      </x:c>
      <x:c r="E2" s="12" t="n">
        <x:v>78.3</x:v>
      </x:c>
      <x:c r="F2" s="12" t="n">
        <x:v>58.8</x:v>
      </x:c>
      <x:c r="G2" s="12" t="str">
        <x:v>%</x:v>
      </x:c>
      <x:c r="H2" s="35" t="n">
        <x:v>10.61</x:v>
      </x:c>
      <x:c r="I2" s="35" t="n">
        <x:v>3.16</x:v>
      </x:c>
      <x:c r="J2" s="18" t="n">
        <x:v>46219</x:v>
      </x:c>
      <x:c r="K2" s="12" t="str">
        <x:v>Not Started</x:v>
      </x:c>
      <x:c r="L2" s="12" t="str">
        <x:v>Medium</x:v>
      </x:c>
      <x:c r="M2" s="12" t="str">
        <x:v>CRM</x:v>
      </x:c>
    </x:row>
    <x:row r="3">
      <x:c r="A3" s="12" t="str">
        <x:v>ACT-002</x:v>
      </x:c>
      <x:c r="B3" s="12" t="str">
        <x:v>Lead Conversion</x:v>
      </x:c>
      <x:c r="C3" s="12" t="str">
        <x:v>Executive action 02</x:v>
      </x:c>
      <x:c r="D3" s="12" t="str">
        <x:v>COO</x:v>
      </x:c>
      <x:c r="E3" s="12" t="n">
        <x:v>49.5</x:v>
      </x:c>
      <x:c r="F3" s="12" t="n">
        <x:v>38.4</x:v>
      </x:c>
      <x:c r="G3" s="12" t="str">
        <x:v>Score</x:v>
      </x:c>
      <x:c r="H3" s="35" t="n">
        <x:v>9.94</x:v>
      </x:c>
      <x:c r="I3" s="35" t="n">
        <x:v>11.17</x:v>
      </x:c>
      <x:c r="J3" s="18" t="n">
        <x:v>46227</x:v>
      </x:c>
      <x:c r="K3" s="12" t="str">
        <x:v>Not Started</x:v>
      </x:c>
      <x:c r="L3" s="12" t="str">
        <x:v>Medium</x:v>
      </x:c>
      <x:c r="M3" s="12" t="str">
        <x:v>Audit evidence</x:v>
      </x:c>
    </x:row>
    <x:row r="4">
      <x:c r="A4" s="12" t="str">
        <x:v>ACT-003</x:v>
      </x:c>
      <x:c r="B4" s="12" t="str">
        <x:v>Cash</x:v>
      </x:c>
      <x:c r="C4" s="12" t="str">
        <x:v>Executive action 03</x:v>
      </x:c>
      <x:c r="D4" s="12" t="str">
        <x:v>CRO</x:v>
      </x:c>
      <x:c r="E4" s="12" t="n">
        <x:v>109</x:v>
      </x:c>
      <x:c r="F4" s="12" t="n">
        <x:v>92.4</x:v>
      </x:c>
      <x:c r="G4" s="12" t="str">
        <x:v>Score</x:v>
      </x:c>
      <x:c r="H4" s="35" t="n">
        <x:v>13.99</x:v>
      </x:c>
      <x:c r="I4" s="35" t="n">
        <x:v>9.33</x:v>
      </x:c>
      <x:c r="J4" s="18" t="n">
        <x:v>46230</x:v>
      </x:c>
      <x:c r="K4" s="12" t="str">
        <x:v>Not Started</x:v>
      </x:c>
      <x:c r="L4" s="12" t="str">
        <x:v>High</x:v>
      </x:c>
      <x:c r="M4" s="12" t="str">
        <x:v>CRM</x:v>
      </x:c>
    </x:row>
    <x:row r="5">
      <x:c r="A5" s="12" t="str">
        <x:v>ACT-004</x:v>
      </x:c>
      <x:c r="B5" s="12" t="str">
        <x:v>Lead Conversion</x:v>
      </x:c>
      <x:c r="C5" s="12" t="str">
        <x:v>Executive action 04</x:v>
      </x:c>
      <x:c r="D5" s="12" t="str">
        <x:v>CFO</x:v>
      </x:c>
      <x:c r="E5" s="12" t="n">
        <x:v>85.9</x:v>
      </x:c>
      <x:c r="F5" s="12" t="n">
        <x:v>70.1</x:v>
      </x:c>
      <x:c r="G5" s="12" t="str">
        <x:v>Score</x:v>
      </x:c>
      <x:c r="H5" s="35" t="n">
        <x:v>13.52</x:v>
      </x:c>
      <x:c r="I5" s="35" t="n">
        <x:v>11.35</x:v>
      </x:c>
      <x:c r="J5" s="18" t="n">
        <x:v>46288</x:v>
      </x:c>
      <x:c r="K5" s="12" t="str">
        <x:v>At Risk</x:v>
      </x:c>
      <x:c r="L5" s="12" t="str">
        <x:v>Medium</x:v>
      </x:c>
      <x:c r="M5" s="12" t="str">
        <x:v>CRM</x:v>
      </x:c>
    </x:row>
    <x:row r="6">
      <x:c r="A6" s="12" t="str">
        <x:v>ACT-005</x:v>
      </x:c>
      <x:c r="B6" s="12" t="str">
        <x:v>Audit</x:v>
      </x:c>
      <x:c r="C6" s="12" t="str">
        <x:v>Executive action 05</x:v>
      </x:c>
      <x:c r="D6" s="12" t="str">
        <x:v>Chief of Staff</x:v>
      </x:c>
      <x:c r="E6" s="12" t="n">
        <x:v>68.3</x:v>
      </x:c>
      <x:c r="F6" s="12" t="n">
        <x:v>49.1</x:v>
      </x:c>
      <x:c r="G6" s="12" t="str">
        <x:v>Score</x:v>
      </x:c>
      <x:c r="H6" s="35" t="n">
        <x:v>12.37</x:v>
      </x:c>
      <x:c r="I6" s="35" t="n">
        <x:v>3.74</x:v>
      </x:c>
      <x:c r="J6" s="18" t="n">
        <x:v>46293</x:v>
      </x:c>
      <x:c r="K6" s="12" t="str">
        <x:v>Completed</x:v>
      </x:c>
      <x:c r="L6" s="12" t="str">
        <x:v>Medium</x:v>
      </x:c>
      <x:c r="M6" s="12" t="str">
        <x:v>Audit evidence</x:v>
      </x:c>
    </x:row>
    <x:row r="7">
      <x:c r="A7" s="12" t="str">
        <x:v>ACT-006</x:v>
      </x:c>
      <x:c r="B7" s="12" t="str">
        <x:v>Cash</x:v>
      </x:c>
      <x:c r="C7" s="12" t="str">
        <x:v>Executive action 06</x:v>
      </x:c>
      <x:c r="D7" s="12" t="str">
        <x:v>Service Director</x:v>
      </x:c>
      <x:c r="E7" s="12" t="n">
        <x:v>108.1</x:v>
      </x:c>
      <x:c r="F7" s="12" t="n">
        <x:v>84.4</x:v>
      </x:c>
      <x:c r="G7" s="12" t="str">
        <x:v>Score</x:v>
      </x:c>
      <x:c r="H7" s="35" t="n">
        <x:v>9.54</x:v>
      </x:c>
      <x:c r="I7" s="35" t="n">
        <x:v>9.4</x:v>
      </x:c>
      <x:c r="J7" s="18" t="n">
        <x:v>46257</x:v>
      </x:c>
      <x:c r="K7" s="12" t="str">
        <x:v>In Progress</x:v>
      </x:c>
      <x:c r="L7" s="12" t="str">
        <x:v>Medium</x:v>
      </x:c>
      <x:c r="M7" s="12" t="str">
        <x:v>DMS</x:v>
      </x:c>
    </x:row>
    <x:row r="8">
      <x:c r="A8" s="12" t="str">
        <x:v>ACT-007</x:v>
      </x:c>
      <x:c r="B8" s="12" t="str">
        <x:v>Delivery</x:v>
      </x:c>
      <x:c r="C8" s="12" t="str">
        <x:v>Executive action 07</x:v>
      </x:c>
      <x:c r="D8" s="12" t="str">
        <x:v>COO</x:v>
      </x:c>
      <x:c r="E8" s="12" t="n">
        <x:v>42</x:v>
      </x:c>
      <x:c r="F8" s="12" t="n">
        <x:v>33.7</x:v>
      </x:c>
      <x:c r="G8" s="12" t="str">
        <x:v>bn VND</x:v>
      </x:c>
      <x:c r="H8" s="35" t="n">
        <x:v>23.83</x:v>
      </x:c>
      <x:c r="I8" s="35" t="n">
        <x:v>26.22</x:v>
      </x:c>
      <x:c r="J8" s="18" t="n">
        <x:v>46275</x:v>
      </x:c>
      <x:c r="K8" s="12" t="str">
        <x:v>At Risk</x:v>
      </x:c>
      <x:c r="L8" s="12" t="str">
        <x:v>High</x:v>
      </x:c>
      <x:c r="M8" s="12" t="str">
        <x:v>CRM</x:v>
      </x:c>
    </x:row>
    <x:row r="9">
      <x:c r="A9" s="12" t="str">
        <x:v>ACT-008</x:v>
      </x:c>
      <x:c r="B9" s="12" t="str">
        <x:v>Inventory</x:v>
      </x:c>
      <x:c r="C9" s="12" t="str">
        <x:v>Executive action 08</x:v>
      </x:c>
      <x:c r="D9" s="12" t="str">
        <x:v>Service Director</x:v>
      </x:c>
      <x:c r="E9" s="12" t="n">
        <x:v>94.3</x:v>
      </x:c>
      <x:c r="F9" s="12" t="n">
        <x:v>77.5</x:v>
      </x:c>
      <x:c r="G9" s="12" t="str">
        <x:v>bn VND</x:v>
      </x:c>
      <x:c r="H9" s="35" t="n">
        <x:v>16.24</x:v>
      </x:c>
      <x:c r="I9" s="35" t="n">
        <x:v>8.12</x:v>
      </x:c>
      <x:c r="J9" s="18" t="n">
        <x:v>46248</x:v>
      </x:c>
      <x:c r="K9" s="12" t="str">
        <x:v>In Progress</x:v>
      </x:c>
      <x:c r="L9" s="12" t="str">
        <x:v>Low</x:v>
      </x:c>
      <x:c r="M9" s="12" t="str">
        <x:v>DMS</x:v>
      </x:c>
    </x:row>
    <x:row r="10">
      <x:c r="A10" s="12" t="str">
        <x:v>ACT-009</x:v>
      </x:c>
      <x:c r="B10" s="12" t="str">
        <x:v>Cash</x:v>
      </x:c>
      <x:c r="C10" s="12" t="str">
        <x:v>Executive action 09</x:v>
      </x:c>
      <x:c r="D10" s="12" t="str">
        <x:v>CRO</x:v>
      </x:c>
      <x:c r="E10" s="12" t="n">
        <x:v>106.7</x:v>
      </x:c>
      <x:c r="F10" s="12" t="n">
        <x:v>94.7</x:v>
      </x:c>
      <x:c r="G10" s="12" t="str">
        <x:v>Score</x:v>
      </x:c>
      <x:c r="H10" s="35" t="n">
        <x:v>23.17</x:v>
      </x:c>
      <x:c r="I10" s="35" t="n">
        <x:v>9.23</x:v>
      </x:c>
      <x:c r="J10" s="18" t="n">
        <x:v>46297</x:v>
      </x:c>
      <x:c r="K10" s="12" t="str">
        <x:v>Completed</x:v>
      </x:c>
      <x:c r="L10" s="12" t="str">
        <x:v>Low</x:v>
      </x:c>
      <x:c r="M10" s="12" t="str">
        <x:v>DMS</x:v>
      </x:c>
    </x:row>
    <x:row r="11">
      <x:c r="A11" s="12" t="str">
        <x:v>ACT-010</x:v>
      </x:c>
      <x:c r="B11" s="12" t="str">
        <x:v>Lead Conversion</x:v>
      </x:c>
      <x:c r="C11" s="12" t="str">
        <x:v>Executive action 10</x:v>
      </x:c>
      <x:c r="D11" s="12" t="str">
        <x:v>Chief of Staff</x:v>
      </x:c>
      <x:c r="E11" s="12" t="n">
        <x:v>97.7</x:v>
      </x:c>
      <x:c r="F11" s="12" t="n">
        <x:v>79.4</x:v>
      </x:c>
      <x:c r="G11" s="12" t="str">
        <x:v>bn VND</x:v>
      </x:c>
      <x:c r="H11" s="35" t="n">
        <x:v>20.19</x:v>
      </x:c>
      <x:c r="I11" s="35" t="n">
        <x:v>21.51</x:v>
      </x:c>
      <x:c r="J11" s="18" t="n">
        <x:v>46234</x:v>
      </x:c>
      <x:c r="K11" s="12" t="str">
        <x:v>At Risk</x:v>
      </x:c>
      <x:c r="L11" s="12" t="str">
        <x:v>High</x:v>
      </x:c>
      <x:c r="M11" s="12" t="str">
        <x:v>DMS</x:v>
      </x:c>
    </x:row>
    <x:row r="12">
      <x:c r="A12" s="12" t="str">
        <x:v>ACT-011</x:v>
      </x:c>
      <x:c r="B12" s="12" t="str">
        <x:v>Audit</x:v>
      </x:c>
      <x:c r="C12" s="12" t="str">
        <x:v>Executive action 11</x:v>
      </x:c>
      <x:c r="D12" s="12" t="str">
        <x:v>COO</x:v>
      </x:c>
      <x:c r="E12" s="12" t="n">
        <x:v>69.9</x:v>
      </x:c>
      <x:c r="F12" s="12" t="n">
        <x:v>57.5</x:v>
      </x:c>
      <x:c r="G12" s="12" t="str">
        <x:v>bn VND</x:v>
      </x:c>
      <x:c r="H12" s="35" t="n">
        <x:v>17.41</x:v>
      </x:c>
      <x:c r="I12" s="35" t="n">
        <x:v>10.5</x:v>
      </x:c>
      <x:c r="J12" s="18" t="n">
        <x:v>46295</x:v>
      </x:c>
      <x:c r="K12" s="12" t="str">
        <x:v>Not Started</x:v>
      </x:c>
      <x:c r="L12" s="12" t="str">
        <x:v>Low</x:v>
      </x:c>
      <x:c r="M12" s="12" t="str">
        <x:v>Audit evidence</x:v>
      </x:c>
    </x:row>
    <x:row r="13">
      <x:c r="A13" s="12" t="str">
        <x:v>ACT-012</x:v>
      </x:c>
      <x:c r="B13" s="12" t="str">
        <x:v>Audit</x:v>
      </x:c>
      <x:c r="C13" s="12" t="str">
        <x:v>Executive action 12</x:v>
      </x:c>
      <x:c r="D13" s="12" t="str">
        <x:v>CFO</x:v>
      </x:c>
      <x:c r="E13" s="12" t="n">
        <x:v>49.5</x:v>
      </x:c>
      <x:c r="F13" s="12" t="n">
        <x:v>34.4</x:v>
      </x:c>
      <x:c r="G13" s="12" t="str">
        <x:v>bn VND</x:v>
      </x:c>
      <x:c r="H13" s="35" t="n">
        <x:v>24.14</x:v>
      </x:c>
      <x:c r="I13" s="35" t="n">
        <x:v>12.32</x:v>
      </x:c>
      <x:c r="J13" s="18" t="n">
        <x:v>46299</x:v>
      </x:c>
      <x:c r="K13" s="12" t="str">
        <x:v>Completed</x:v>
      </x:c>
      <x:c r="L13" s="12" t="str">
        <x:v>High</x:v>
      </x:c>
      <x:c r="M13" s="12" t="str">
        <x:v>Audit evidence</x:v>
      </x:c>
    </x:row>
    <x:row r="14">
      <x:c r="A14" s="12" t="str">
        <x:v>ACT-013</x:v>
      </x:c>
      <x:c r="B14" s="12" t="str">
        <x:v>Cash</x:v>
      </x:c>
      <x:c r="C14" s="12" t="str">
        <x:v>Executive action 13</x:v>
      </x:c>
      <x:c r="D14" s="12" t="str">
        <x:v>Chief of Staff</x:v>
      </x:c>
      <x:c r="E14" s="12" t="n">
        <x:v>102.2</x:v>
      </x:c>
      <x:c r="F14" s="12" t="n">
        <x:v>85.6</x:v>
      </x:c>
      <x:c r="G14" s="12" t="str">
        <x:v>%</x:v>
      </x:c>
      <x:c r="H14" s="35" t="n">
        <x:v>15.25</x:v>
      </x:c>
      <x:c r="I14" s="35" t="n">
        <x:v>13.3</x:v>
      </x:c>
      <x:c r="J14" s="18" t="n">
        <x:v>46288</x:v>
      </x:c>
      <x:c r="K14" s="12" t="str">
        <x:v>Overdue</x:v>
      </x:c>
      <x:c r="L14" s="12" t="str">
        <x:v>Medium</x:v>
      </x:c>
      <x:c r="M14" s="12" t="str">
        <x:v>CRM</x:v>
      </x:c>
    </x:row>
    <x:row r="15">
      <x:c r="A15" s="12" t="str">
        <x:v>ACT-014</x:v>
      </x:c>
      <x:c r="B15" s="12" t="str">
        <x:v>Lead Conversion</x:v>
      </x:c>
      <x:c r="C15" s="12" t="str">
        <x:v>Executive action 14</x:v>
      </x:c>
      <x:c r="D15" s="12" t="str">
        <x:v>CRO</x:v>
      </x:c>
      <x:c r="E15" s="12" t="n">
        <x:v>76.4</x:v>
      </x:c>
      <x:c r="F15" s="12" t="n">
        <x:v>52.1</x:v>
      </x:c>
      <x:c r="G15" s="12" t="str">
        <x:v>Days</x:v>
      </x:c>
      <x:c r="H15" s="35" t="n">
        <x:v>6.39</x:v>
      </x:c>
      <x:c r="I15" s="35" t="n">
        <x:v>7.32</x:v>
      </x:c>
      <x:c r="J15" s="18" t="n">
        <x:v>46221</x:v>
      </x:c>
      <x:c r="K15" s="12" t="str">
        <x:v>Completed</x:v>
      </x:c>
      <x:c r="L15" s="12" t="str">
        <x:v>High</x:v>
      </x:c>
      <x:c r="M15" s="12" t="str">
        <x:v>Management certification</x:v>
      </x:c>
    </x:row>
    <x:row r="16">
      <x:c r="A16" s="12" t="str">
        <x:v>ACT-015</x:v>
      </x:c>
      <x:c r="B16" s="12" t="str">
        <x:v>Inventory</x:v>
      </x:c>
      <x:c r="C16" s="12" t="str">
        <x:v>Executive action 15</x:v>
      </x:c>
      <x:c r="D16" s="12" t="str">
        <x:v>COO</x:v>
      </x:c>
      <x:c r="E16" s="12" t="n">
        <x:v>51.3</x:v>
      </x:c>
      <x:c r="F16" s="12" t="n">
        <x:v>40.6</x:v>
      </x:c>
      <x:c r="G16" s="12" t="str">
        <x:v>bn VND</x:v>
      </x:c>
      <x:c r="H16" s="35" t="n">
        <x:v>23.26</x:v>
      </x:c>
      <x:c r="I16" s="35" t="n">
        <x:v>7.02</x:v>
      </x:c>
      <x:c r="J16" s="18" t="n">
        <x:v>46283</x:v>
      </x:c>
      <x:c r="K16" s="12" t="str">
        <x:v>At Risk</x:v>
      </x:c>
      <x:c r="L16" s="12" t="str">
        <x:v>Low</x:v>
      </x:c>
      <x:c r="M16" s="12" t="str">
        <x:v>Audit evidence</x:v>
      </x:c>
    </x:row>
    <x:row r="17">
      <x:c r="A17" s="12" t="str">
        <x:v>ACT-016</x:v>
      </x:c>
      <x:c r="B17" s="12" t="str">
        <x:v>Lead Conversion</x:v>
      </x:c>
      <x:c r="C17" s="12" t="str">
        <x:v>Executive action 16</x:v>
      </x:c>
      <x:c r="D17" s="12" t="str">
        <x:v>CRO</x:v>
      </x:c>
      <x:c r="E17" s="12" t="n">
        <x:v>58.9</x:v>
      </x:c>
      <x:c r="F17" s="12" t="n">
        <x:v>50.6</x:v>
      </x:c>
      <x:c r="G17" s="12" t="str">
        <x:v>bn VND</x:v>
      </x:c>
      <x:c r="H17" s="35" t="n">
        <x:v>11.15</x:v>
      </x:c>
      <x:c r="I17" s="35" t="n">
        <x:v>4.14</x:v>
      </x:c>
      <x:c r="J17" s="18" t="n">
        <x:v>46247</x:v>
      </x:c>
      <x:c r="K17" s="12" t="str">
        <x:v>In Progress</x:v>
      </x:c>
      <x:c r="L17" s="12" t="str">
        <x:v>High</x:v>
      </x:c>
      <x:c r="M17" s="12" t="str">
        <x:v>Audit evidence</x:v>
      </x:c>
    </x:row>
    <x:row r="18">
      <x:c r="A18" s="12" t="str">
        <x:v>ACT-017</x:v>
      </x:c>
      <x:c r="B18" s="12" t="str">
        <x:v>Lead Conversion</x:v>
      </x:c>
      <x:c r="C18" s="12" t="str">
        <x:v>Executive action 17</x:v>
      </x:c>
      <x:c r="D18" s="12" t="str">
        <x:v>Service Director</x:v>
      </x:c>
      <x:c r="E18" s="12" t="n">
        <x:v>86.7</x:v>
      </x:c>
      <x:c r="F18" s="12" t="n">
        <x:v>61.3</x:v>
      </x:c>
      <x:c r="G18" s="12" t="str">
        <x:v>bn VND</x:v>
      </x:c>
      <x:c r="H18" s="35" t="n">
        <x:v>20.03</x:v>
      </x:c>
      <x:c r="I18" s="35" t="n">
        <x:v>9.55</x:v>
      </x:c>
      <x:c r="J18" s="18" t="n">
        <x:v>46247</x:v>
      </x:c>
      <x:c r="K18" s="12" t="str">
        <x:v>Not Started</x:v>
      </x:c>
      <x:c r="L18" s="12" t="str">
        <x:v>Low</x:v>
      </x:c>
      <x:c r="M18" s="12" t="str">
        <x:v>DMS</x:v>
      </x:c>
    </x:row>
    <x:row r="19">
      <x:c r="A19" s="12" t="str">
        <x:v>ACT-018</x:v>
      </x:c>
      <x:c r="B19" s="12" t="str">
        <x:v>Lead Conversion</x:v>
      </x:c>
      <x:c r="C19" s="12" t="str">
        <x:v>Executive action 18</x:v>
      </x:c>
      <x:c r="D19" s="12" t="str">
        <x:v>Service Director</x:v>
      </x:c>
      <x:c r="E19" s="12" t="n">
        <x:v>82.8</x:v>
      </x:c>
      <x:c r="F19" s="12" t="n">
        <x:v>60.9</x:v>
      </x:c>
      <x:c r="G19" s="12" t="str">
        <x:v>Days</x:v>
      </x:c>
      <x:c r="H19" s="35" t="n">
        <x:v>10.86</x:v>
      </x:c>
      <x:c r="I19" s="35" t="n">
        <x:v>6.91</x:v>
      </x:c>
      <x:c r="J19" s="18" t="n">
        <x:v>46268</x:v>
      </x:c>
      <x:c r="K19" s="12" t="str">
        <x:v>In Progress</x:v>
      </x:c>
      <x:c r="L19" s="12" t="str">
        <x:v>Low</x:v>
      </x:c>
      <x:c r="M19" s="12" t="str">
        <x:v>ERP</x:v>
      </x:c>
    </x:row>
    <x:row r="20">
      <x:c r="A20" s="12" t="str">
        <x:v>ACT-019</x:v>
      </x:c>
      <x:c r="B20" s="12" t="str">
        <x:v>Margin</x:v>
      </x:c>
      <x:c r="C20" s="12" t="str">
        <x:v>Executive action 19</x:v>
      </x:c>
      <x:c r="D20" s="12" t="str">
        <x:v>CFO</x:v>
      </x:c>
      <x:c r="E20" s="12" t="n">
        <x:v>46.1</x:v>
      </x:c>
      <x:c r="F20" s="12" t="n">
        <x:v>35</x:v>
      </x:c>
      <x:c r="G20" s="12" t="str">
        <x:v>%</x:v>
      </x:c>
      <x:c r="H20" s="35" t="n">
        <x:v>2.19</x:v>
      </x:c>
      <x:c r="I20" s="35" t="n">
        <x:v>1.22</x:v>
      </x:c>
      <x:c r="J20" s="18" t="n">
        <x:v>46208</x:v>
      </x:c>
      <x:c r="K20" s="12" t="str">
        <x:v>Completed</x:v>
      </x:c>
      <x:c r="L20" s="12" t="str">
        <x:v>Low</x:v>
      </x:c>
      <x:c r="M20" s="12" t="str">
        <x:v>DMS</x:v>
      </x:c>
    </x:row>
    <x:row r="21">
      <x:c r="A21" s="12" t="str">
        <x:v>ACT-020</x:v>
      </x:c>
      <x:c r="B21" s="12" t="str">
        <x:v>Cash</x:v>
      </x:c>
      <x:c r="C21" s="12" t="str">
        <x:v>Executive action 20</x:v>
      </x:c>
      <x:c r="D21" s="12" t="str">
        <x:v>CRO</x:v>
      </x:c>
      <x:c r="E21" s="12" t="n">
        <x:v>88.4</x:v>
      </x:c>
      <x:c r="F21" s="12" t="n">
        <x:v>72.2</x:v>
      </x:c>
      <x:c r="G21" s="12" t="str">
        <x:v>bn VND</x:v>
      </x:c>
      <x:c r="H21" s="35" t="n">
        <x:v>23.36</x:v>
      </x:c>
      <x:c r="I21" s="35" t="n">
        <x:v>9.76</x:v>
      </x:c>
      <x:c r="J21" s="18" t="n">
        <x:v>46220</x:v>
      </x:c>
      <x:c r="K21" s="12" t="str">
        <x:v>At Risk</x:v>
      </x:c>
      <x:c r="L21" s="12" t="str">
        <x:v>Low</x:v>
      </x:c>
      <x:c r="M21" s="12" t="str">
        <x:v>CRM</x:v>
      </x:c>
    </x:row>
    <x:row r="22">
      <x:c r="A22" s="12" t="str">
        <x:v>ACT-021</x:v>
      </x:c>
      <x:c r="B22" s="12" t="str">
        <x:v>Inventory</x:v>
      </x:c>
      <x:c r="C22" s="12" t="str">
        <x:v>Executive action 21</x:v>
      </x:c>
      <x:c r="D22" s="12" t="str">
        <x:v>COO</x:v>
      </x:c>
      <x:c r="E22" s="12" t="n">
        <x:v>107.6</x:v>
      </x:c>
      <x:c r="F22" s="12" t="n">
        <x:v>83.1</x:v>
      </x:c>
      <x:c r="G22" s="12" t="str">
        <x:v>Score</x:v>
      </x:c>
      <x:c r="H22" s="35" t="n">
        <x:v>7.25</x:v>
      </x:c>
      <x:c r="I22" s="35" t="n">
        <x:v>4.17</x:v>
      </x:c>
      <x:c r="J22" s="18" t="n">
        <x:v>46232</x:v>
      </x:c>
      <x:c r="K22" s="12" t="str">
        <x:v>In Progress</x:v>
      </x:c>
      <x:c r="L22" s="12" t="str">
        <x:v>Low</x:v>
      </x:c>
      <x:c r="M22" s="12" t="str">
        <x:v>ERP</x:v>
      </x:c>
    </x:row>
    <x:row r="23">
      <x:c r="A23" s="12" t="str">
        <x:v>ACT-022</x:v>
      </x:c>
      <x:c r="B23" s="12" t="str">
        <x:v>Margin</x:v>
      </x:c>
      <x:c r="C23" s="12" t="str">
        <x:v>Executive action 22</x:v>
      </x:c>
      <x:c r="D23" s="12" t="str">
        <x:v>Commercial Director</x:v>
      </x:c>
      <x:c r="E23" s="12" t="n">
        <x:v>73.1</x:v>
      </x:c>
      <x:c r="F23" s="12" t="n">
        <x:v>55.3</x:v>
      </x:c>
      <x:c r="G23" s="12" t="str">
        <x:v>Days</x:v>
      </x:c>
      <x:c r="H23" s="35" t="n">
        <x:v>11.25</x:v>
      </x:c>
      <x:c r="I23" s="35" t="n">
        <x:v>3.33</x:v>
      </x:c>
      <x:c r="J23" s="18" t="n">
        <x:v>46261</x:v>
      </x:c>
      <x:c r="K23" s="12" t="str">
        <x:v>At Risk</x:v>
      </x:c>
      <x:c r="L23" s="12" t="str">
        <x:v>High</x:v>
      </x:c>
      <x:c r="M23" s="12" t="str">
        <x:v>CRM</x:v>
      </x:c>
    </x:row>
    <x:row r="24">
      <x:c r="A24" s="12" t="str">
        <x:v>ACT-023</x:v>
      </x:c>
      <x:c r="B24" s="12" t="str">
        <x:v>Lead Conversion</x:v>
      </x:c>
      <x:c r="C24" s="12" t="str">
        <x:v>Executive action 23</x:v>
      </x:c>
      <x:c r="D24" s="12" t="str">
        <x:v>CRO</x:v>
      </x:c>
      <x:c r="E24" s="12" t="n">
        <x:v>92.1</x:v>
      </x:c>
      <x:c r="F24" s="12" t="n">
        <x:v>76.7</x:v>
      </x:c>
      <x:c r="G24" s="12" t="str">
        <x:v>Days</x:v>
      </x:c>
      <x:c r="H24" s="35" t="n">
        <x:v>8.05</x:v>
      </x:c>
      <x:c r="I24" s="35" t="n">
        <x:v>7.21</x:v>
      </x:c>
      <x:c r="J24" s="18" t="n">
        <x:v>46260</x:v>
      </x:c>
      <x:c r="K24" s="12" t="str">
        <x:v>Completed</x:v>
      </x:c>
      <x:c r="L24" s="12" t="str">
        <x:v>Medium</x:v>
      </x:c>
      <x:c r="M24" s="12" t="str">
        <x:v>Audit evidence</x:v>
      </x:c>
    </x:row>
    <x:row r="25">
      <x:c r="A25" s="12" t="str">
        <x:v>ACT-024</x:v>
      </x:c>
      <x:c r="B25" s="12" t="str">
        <x:v>Cash</x:v>
      </x:c>
      <x:c r="C25" s="12" t="str">
        <x:v>Executive action 24</x:v>
      </x:c>
      <x:c r="D25" s="12" t="str">
        <x:v>Commercial Director</x:v>
      </x:c>
      <x:c r="E25" s="12" t="n">
        <x:v>104.3</x:v>
      </x:c>
      <x:c r="F25" s="12" t="n">
        <x:v>90.9</x:v>
      </x:c>
      <x:c r="G25" s="12" t="str">
        <x:v>%</x:v>
      </x:c>
      <x:c r="H25" s="35" t="n">
        <x:v>20.55</x:v>
      </x:c>
      <x:c r="I25" s="35" t="n">
        <x:v>13.93</x:v>
      </x:c>
      <x:c r="J25" s="18" t="n">
        <x:v>46296</x:v>
      </x:c>
      <x:c r="K25" s="12" t="str">
        <x:v>Not Started</x:v>
      </x:c>
      <x:c r="L25" s="12" t="str">
        <x:v>Low</x:v>
      </x:c>
      <x:c r="M25" s="12" t="str">
        <x:v>CRM</x:v>
      </x:c>
    </x:row>
    <x:row r="26">
      <x:c r="A26" s="12" t="str">
        <x:v>ACT-025</x:v>
      </x:c>
      <x:c r="B26" s="12" t="str">
        <x:v>Delivery</x:v>
      </x:c>
      <x:c r="C26" s="12" t="str">
        <x:v>Executive action 25</x:v>
      </x:c>
      <x:c r="D26" s="12" t="str">
        <x:v>Commercial Director</x:v>
      </x:c>
      <x:c r="E26" s="12" t="n">
        <x:v>80.6</x:v>
      </x:c>
      <x:c r="F26" s="12" t="n">
        <x:v>61.9</x:v>
      </x:c>
      <x:c r="G26" s="12" t="str">
        <x:v>Days</x:v>
      </x:c>
      <x:c r="H26" s="35" t="n">
        <x:v>21.8</x:v>
      </x:c>
      <x:c r="I26" s="35" t="n">
        <x:v>6.85</x:v>
      </x:c>
      <x:c r="J26" s="18" t="n">
        <x:v>46300</x:v>
      </x:c>
      <x:c r="K26" s="12" t="str">
        <x:v>Overdue</x:v>
      </x:c>
      <x:c r="L26" s="12" t="str">
        <x:v>High</x:v>
      </x:c>
      <x:c r="M26" s="12" t="str">
        <x:v>CRM</x:v>
      </x:c>
    </x:row>
    <x:row r="27">
      <x:c r="A27" s="12" t="str">
        <x:v>ACT-026</x:v>
      </x:c>
      <x:c r="B27" s="12" t="str">
        <x:v>Margin</x:v>
      </x:c>
      <x:c r="C27" s="12" t="str">
        <x:v>Executive action 26</x:v>
      </x:c>
      <x:c r="D27" s="12" t="str">
        <x:v>Chief of Staff</x:v>
      </x:c>
      <x:c r="E27" s="12" t="n">
        <x:v>74.8</x:v>
      </x:c>
      <x:c r="F27" s="12" t="n">
        <x:v>61.5</x:v>
      </x:c>
      <x:c r="G27" s="12" t="str">
        <x:v>Days</x:v>
      </x:c>
      <x:c r="H27" s="35" t="n">
        <x:v>2.81</x:v>
      </x:c>
      <x:c r="I27" s="35" t="n">
        <x:v>2.41</x:v>
      </x:c>
      <x:c r="J27" s="18" t="n">
        <x:v>46212</x:v>
      </x:c>
      <x:c r="K27" s="12" t="str">
        <x:v>In Progress</x:v>
      </x:c>
      <x:c r="L27" s="12" t="str">
        <x:v>High</x:v>
      </x:c>
      <x:c r="M27" s="12" t="str">
        <x:v>Audit evidence</x:v>
      </x:c>
    </x:row>
    <x:row r="28">
      <x:c r="A28" s="12" t="str">
        <x:v>ACT-027</x:v>
      </x:c>
      <x:c r="B28" s="12" t="str">
        <x:v>Aftersales</x:v>
      </x:c>
      <x:c r="C28" s="12" t="str">
        <x:v>Executive action 27</x:v>
      </x:c>
      <x:c r="D28" s="12" t="str">
        <x:v>Chief of Staff</x:v>
      </x:c>
      <x:c r="E28" s="12" t="n">
        <x:v>83.6</x:v>
      </x:c>
      <x:c r="F28" s="12" t="n">
        <x:v>56.4</x:v>
      </x:c>
      <x:c r="G28" s="12" t="str">
        <x:v>Score</x:v>
      </x:c>
      <x:c r="H28" s="35" t="n">
        <x:v>18.05</x:v>
      </x:c>
      <x:c r="I28" s="35" t="n">
        <x:v>7.47</x:v>
      </x:c>
      <x:c r="J28" s="18" t="n">
        <x:v>46291</x:v>
      </x:c>
      <x:c r="K28" s="12" t="str">
        <x:v>In Progress</x:v>
      </x:c>
      <x:c r="L28" s="12" t="str">
        <x:v>Medium</x:v>
      </x:c>
      <x:c r="M28" s="12" t="str">
        <x:v>Management certification</x:v>
      </x:c>
    </x:row>
    <x:row r="29">
      <x:c r="A29" s="12" t="str">
        <x:v>ACT-028</x:v>
      </x:c>
      <x:c r="B29" s="12" t="str">
        <x:v>Lead Conversion</x:v>
      </x:c>
      <x:c r="C29" s="12" t="str">
        <x:v>Executive action 28</x:v>
      </x:c>
      <x:c r="D29" s="12" t="str">
        <x:v>CRO</x:v>
      </x:c>
      <x:c r="E29" s="12" t="n">
        <x:v>76.3</x:v>
      </x:c>
      <x:c r="F29" s="12" t="n">
        <x:v>63.6</x:v>
      </x:c>
      <x:c r="G29" s="12" t="str">
        <x:v>Score</x:v>
      </x:c>
      <x:c r="H29" s="35" t="n">
        <x:v>9.65</x:v>
      </x:c>
      <x:c r="I29" s="35" t="n">
        <x:v>7.49</x:v>
      </x:c>
      <x:c r="J29" s="18" t="n">
        <x:v>46238</x:v>
      </x:c>
      <x:c r="K29" s="12" t="str">
        <x:v>Completed</x:v>
      </x:c>
      <x:c r="L29" s="12" t="str">
        <x:v>High</x:v>
      </x:c>
      <x:c r="M29" s="12" t="str">
        <x:v>DMS</x:v>
      </x:c>
    </x:row>
    <x:row r="30">
      <x:c r="A30" s="12" t="str">
        <x:v>ACT-029</x:v>
      </x:c>
      <x:c r="B30" s="12" t="str">
        <x:v>Inventory</x:v>
      </x:c>
      <x:c r="C30" s="12" t="str">
        <x:v>Executive action 29</x:v>
      </x:c>
      <x:c r="D30" s="12" t="str">
        <x:v>Commercial Director</x:v>
      </x:c>
      <x:c r="E30" s="12" t="n">
        <x:v>82.7</x:v>
      </x:c>
      <x:c r="F30" s="12" t="n">
        <x:v>69.6</x:v>
      </x:c>
      <x:c r="G30" s="12" t="str">
        <x:v>Score</x:v>
      </x:c>
      <x:c r="H30" s="35" t="n">
        <x:v>20.1</x:v>
      </x:c>
      <x:c r="I30" s="35" t="n">
        <x:v>7.8</x:v>
      </x:c>
      <x:c r="J30" s="18" t="n">
        <x:v>46240</x:v>
      </x:c>
      <x:c r="K30" s="12" t="str">
        <x:v>Completed</x:v>
      </x:c>
      <x:c r="L30" s="12" t="str">
        <x:v>Low</x:v>
      </x:c>
      <x:c r="M30" s="12" t="str">
        <x:v>Management certification</x:v>
      </x:c>
    </x:row>
    <x:row r="31">
      <x:c r="A31" s="12" t="str">
        <x:v>ACT-030</x:v>
      </x:c>
      <x:c r="B31" s="12" t="str">
        <x:v>Delivery</x:v>
      </x:c>
      <x:c r="C31" s="12" t="str">
        <x:v>Executive action 30</x:v>
      </x:c>
      <x:c r="D31" s="12" t="str">
        <x:v>COO</x:v>
      </x:c>
      <x:c r="E31" s="12" t="n">
        <x:v>54.5</x:v>
      </x:c>
      <x:c r="F31" s="12" t="n">
        <x:v>45.7</x:v>
      </x:c>
      <x:c r="G31" s="12" t="str">
        <x:v>bn VND</x:v>
      </x:c>
      <x:c r="H31" s="35" t="n">
        <x:v>2.73</x:v>
      </x:c>
      <x:c r="I31" s="35" t="n">
        <x:v>2.72</x:v>
      </x:c>
      <x:c r="J31" s="18" t="n">
        <x:v>46232</x:v>
      </x:c>
      <x:c r="K31" s="12" t="str">
        <x:v>Not Started</x:v>
      </x:c>
      <x:c r="L31" s="12" t="str">
        <x:v>Medium</x:v>
      </x:c>
      <x:c r="M31" s="12" t="str">
        <x:v>Management certification</x:v>
      </x:c>
    </x:row>
  </x:sheetData>
  <x:dataValidations count="2">
    <x:dataValidation type="list" sqref="K2:K31">
      <x:formula1>"Not Started,In Progress,At Risk,Completed,Overdue"</x:formula1>
    </x:dataValidation>
    <x:dataValidation type="list" sqref="L2:L3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34d40ad8c64b62"/>
  </x:tableParts>
</x:worksheet>
</file>

<file path=xl/worksheets/sheet4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22" hidden="0" customWidth="1"/>
    <x:col min="5" max="5" width="24" hidden="0" customWidth="1"/>
  </x:cols>
  <x:sheetData>
    <x:row r="1">
      <x:c r="A1" s="40" t="str">
        <x:v>Scenario</x:v>
      </x:c>
      <x:c r="B1" s="40" t="str">
        <x:v>Driver</x:v>
      </x:c>
      <x:c r="C1" s="40" t="str">
        <x:v>Value</x:v>
      </x:c>
      <x:c r="D1" s="40" t="str">
        <x:v>Impact Area</x:v>
      </x:c>
      <x:c r="E1" s="40" t="str">
        <x:v>Owner</x:v>
      </x:c>
    </x:row>
    <x:row r="2">
      <x:c r="A2" s="12" t="str">
        <x:v>Base</x:v>
      </x:c>
      <x:c r="B2" s="12" t="str">
        <x:v>Vehicle volume growth</x:v>
      </x:c>
      <x:c r="C2" s="43" t="n">
        <x:v>0.08</x:v>
      </x:c>
      <x:c r="D2" s="12" t="str">
        <x:v>Revenue</x:v>
      </x:c>
      <x:c r="E2" s="12" t="str">
        <x:v>Commercial Director</x:v>
      </x:c>
    </x:row>
    <x:row r="3">
      <x:c r="A3" s="12" t="str">
        <x:v>Base</x:v>
      </x:c>
      <x:c r="B3" s="12" t="str">
        <x:v>Average selling price change</x:v>
      </x:c>
      <x:c r="C3" s="43" t="n">
        <x:v>0.02</x:v>
      </x:c>
      <x:c r="D3" s="12" t="str">
        <x:v>Revenue</x:v>
      </x:c>
      <x:c r="E3" s="12" t="str">
        <x:v>Commercial Director</x:v>
      </x:c>
    </x:row>
    <x:row r="4">
      <x:c r="A4" s="12" t="str">
        <x:v>Base</x:v>
      </x:c>
      <x:c r="B4" s="12" t="str">
        <x:v>Discount rate</x:v>
      </x:c>
      <x:c r="C4" s="43" t="n">
        <x:v>0.042</x:v>
      </x:c>
      <x:c r="D4" s="12" t="str">
        <x:v>Margin</x:v>
      </x:c>
      <x:c r="E4" s="12" t="str">
        <x:v>CFO</x:v>
      </x:c>
    </x:row>
    <x:row r="5">
      <x:c r="A5" s="12" t="str">
        <x:v>Base</x:v>
      </x:c>
      <x:c r="B5" s="12" t="str">
        <x:v>Aftersales revenue growth</x:v>
      </x:c>
      <x:c r="C5" s="43" t="n">
        <x:v>0.11</x:v>
      </x:c>
      <x:c r="D5" s="12" t="str">
        <x:v>Revenue</x:v>
      </x:c>
      <x:c r="E5" s="12" t="str">
        <x:v>Service Director</x:v>
      </x:c>
    </x:row>
    <x:row r="6">
      <x:c r="A6" s="12" t="str">
        <x:v>Base</x:v>
      </x:c>
      <x:c r="B6" s="12" t="str">
        <x:v>Personnel cost growth</x:v>
      </x:c>
      <x:c r="C6" s="42" t="n">
        <x:v>0.07</x:v>
      </x:c>
      <x:c r="D6" s="12" t="str">
        <x:v>OPEX</x:v>
      </x:c>
      <x:c r="E6" s="12" t="str">
        <x:v>CHRO/CFO</x:v>
      </x:c>
    </x:row>
    <x:row r="7">
      <x:c r="A7" s="12" t="str">
        <x:v>Base</x:v>
      </x:c>
      <x:c r="B7" s="12" t="str">
        <x:v>Inventory days</x:v>
      </x:c>
      <x:c r="C7" s="43" t="n">
        <x:v>58</x:v>
      </x:c>
      <x:c r="D7" s="12" t="str">
        <x:v>Working Capital</x:v>
      </x:c>
      <x:c r="E7" s="12" t="str">
        <x:v>COO</x:v>
      </x:c>
    </x:row>
    <x:row r="8">
      <x:c r="A8" s="12" t="str">
        <x:v>Base</x:v>
      </x:c>
      <x:c r="B8" s="12" t="str">
        <x:v>Interest rate</x:v>
      </x:c>
      <x:c r="C8" s="43" t="n">
        <x:v>0.075</x:v>
      </x:c>
      <x:c r="D8" s="12" t="str">
        <x:v>Finance Cost</x:v>
      </x:c>
      <x:c r="E8" s="12" t="str">
        <x:v>CFO</x:v>
      </x:c>
    </x:row>
    <x:row r="9">
      <x:c r="A9" s="12" t="str">
        <x:v>Upside</x:v>
      </x:c>
      <x:c r="B9" s="12" t="str">
        <x:v>Vehicle volume growth</x:v>
      </x:c>
      <x:c r="C9" s="43" t="n">
        <x:v>0.16</x:v>
      </x:c>
      <x:c r="D9" s="12" t="str">
        <x:v>Revenue</x:v>
      </x:c>
      <x:c r="E9" s="12" t="str">
        <x:v>Commercial Director</x:v>
      </x:c>
    </x:row>
    <x:row r="10">
      <x:c r="A10" s="12" t="str">
        <x:v>Upside</x:v>
      </x:c>
      <x:c r="B10" s="12" t="str">
        <x:v>Average selling price change</x:v>
      </x:c>
      <x:c r="C10" s="43" t="n">
        <x:v>0.035</x:v>
      </x:c>
      <x:c r="D10" s="12" t="str">
        <x:v>Revenue</x:v>
      </x:c>
      <x:c r="E10" s="12" t="str">
        <x:v>Commercial Director</x:v>
      </x:c>
    </x:row>
    <x:row r="11">
      <x:c r="A11" s="12" t="str">
        <x:v>Upside</x:v>
      </x:c>
      <x:c r="B11" s="12" t="str">
        <x:v>Discount rate</x:v>
      </x:c>
      <x:c r="C11" s="43" t="n">
        <x:v>0.035</x:v>
      </x:c>
      <x:c r="D11" s="12" t="str">
        <x:v>Margin</x:v>
      </x:c>
      <x:c r="E11" s="12" t="str">
        <x:v>CFO</x:v>
      </x:c>
    </x:row>
    <x:row r="12">
      <x:c r="A12" s="12" t="str">
        <x:v>Upside</x:v>
      </x:c>
      <x:c r="B12" s="12" t="str">
        <x:v>Aftersales revenue growth</x:v>
      </x:c>
      <x:c r="C12" s="43" t="n">
        <x:v>0.18</x:v>
      </x:c>
      <x:c r="D12" s="12" t="str">
        <x:v>Revenue</x:v>
      </x:c>
      <x:c r="E12" s="12" t="str">
        <x:v>Service Director</x:v>
      </x:c>
    </x:row>
    <x:row r="13">
      <x:c r="A13" s="12" t="str">
        <x:v>Upside</x:v>
      </x:c>
      <x:c r="B13" s="12" t="str">
        <x:v>Personnel cost growth</x:v>
      </x:c>
      <x:c r="C13" s="42" t="n">
        <x:v>0.06</x:v>
      </x:c>
      <x:c r="D13" s="12" t="str">
        <x:v>OPEX</x:v>
      </x:c>
      <x:c r="E13" s="12" t="str">
        <x:v>CHRO/CFO</x:v>
      </x:c>
    </x:row>
    <x:row r="14">
      <x:c r="A14" s="12" t="str">
        <x:v>Upside</x:v>
      </x:c>
      <x:c r="B14" s="12" t="str">
        <x:v>Inventory days</x:v>
      </x:c>
      <x:c r="C14" s="43" t="n">
        <x:v>45</x:v>
      </x:c>
      <x:c r="D14" s="12" t="str">
        <x:v>Working Capital</x:v>
      </x:c>
      <x:c r="E14" s="12" t="str">
        <x:v>COO</x:v>
      </x:c>
    </x:row>
    <x:row r="15">
      <x:c r="A15" s="12" t="str">
        <x:v>Upside</x:v>
      </x:c>
      <x:c r="B15" s="12" t="str">
        <x:v>Interest rate</x:v>
      </x:c>
      <x:c r="C15" s="43" t="n">
        <x:v>0.068</x:v>
      </x:c>
      <x:c r="D15" s="12" t="str">
        <x:v>Finance Cost</x:v>
      </x:c>
      <x:c r="E15" s="12" t="str">
        <x:v>CFO</x:v>
      </x:c>
    </x:row>
    <x:row r="16">
      <x:c r="A16" s="12" t="str">
        <x:v>Downside</x:v>
      </x:c>
      <x:c r="B16" s="12" t="str">
        <x:v>Vehicle volume growth</x:v>
      </x:c>
      <x:c r="C16" s="43" t="n">
        <x:v>-0.08</x:v>
      </x:c>
      <x:c r="D16" s="12" t="str">
        <x:v>Revenue</x:v>
      </x:c>
      <x:c r="E16" s="12" t="str">
        <x:v>Commercial Director</x:v>
      </x:c>
    </x:row>
    <x:row r="17">
      <x:c r="A17" s="12" t="str">
        <x:v>Downside</x:v>
      </x:c>
      <x:c r="B17" s="12" t="str">
        <x:v>Average selling price change</x:v>
      </x:c>
      <x:c r="C17" s="43" t="n">
        <x:v>-0.01</x:v>
      </x:c>
      <x:c r="D17" s="12" t="str">
        <x:v>Revenue</x:v>
      </x:c>
      <x:c r="E17" s="12" t="str">
        <x:v>Commercial Director</x:v>
      </x:c>
    </x:row>
    <x:row r="18">
      <x:c r="A18" s="12" t="str">
        <x:v>Downside</x:v>
      </x:c>
      <x:c r="B18" s="12" t="str">
        <x:v>Discount rate</x:v>
      </x:c>
      <x:c r="C18" s="43" t="n">
        <x:v>0.06</x:v>
      </x:c>
      <x:c r="D18" s="12" t="str">
        <x:v>Margin</x:v>
      </x:c>
      <x:c r="E18" s="12" t="str">
        <x:v>CFO</x:v>
      </x:c>
    </x:row>
    <x:row r="19">
      <x:c r="A19" s="12" t="str">
        <x:v>Downside</x:v>
      </x:c>
      <x:c r="B19" s="12" t="str">
        <x:v>Aftersales revenue growth</x:v>
      </x:c>
      <x:c r="C19" s="43" t="n">
        <x:v>0.03</x:v>
      </x:c>
      <x:c r="D19" s="12" t="str">
        <x:v>Revenue</x:v>
      </x:c>
      <x:c r="E19" s="12" t="str">
        <x:v>Service Director</x:v>
      </x:c>
    </x:row>
    <x:row r="20">
      <x:c r="A20" s="12" t="str">
        <x:v>Downside</x:v>
      </x:c>
      <x:c r="B20" s="12" t="str">
        <x:v>Personnel cost growth</x:v>
      </x:c>
      <x:c r="C20" s="42" t="n">
        <x:v>0.1</x:v>
      </x:c>
      <x:c r="D20" s="12" t="str">
        <x:v>OPEX</x:v>
      </x:c>
      <x:c r="E20" s="12" t="str">
        <x:v>CHRO/CFO</x:v>
      </x:c>
    </x:row>
    <x:row r="21">
      <x:c r="A21" s="12" t="str">
        <x:v>Downside</x:v>
      </x:c>
      <x:c r="B21" s="12" t="str">
        <x:v>Inventory days</x:v>
      </x:c>
      <x:c r="C21" s="43" t="n">
        <x:v>82</x:v>
      </x:c>
      <x:c r="D21" s="12" t="str">
        <x:v>Working Capital</x:v>
      </x:c>
      <x:c r="E21" s="12" t="str">
        <x:v>COO</x:v>
      </x:c>
    </x:row>
    <x:row r="22">
      <x:c r="A22" s="12" t="str">
        <x:v>Downside</x:v>
      </x:c>
      <x:c r="B22" s="12" t="str">
        <x:v>Interest rate</x:v>
      </x:c>
      <x:c r="C22" s="43" t="n">
        <x:v>0.092</x:v>
      </x:c>
      <x:c r="D22" s="12" t="str">
        <x:v>Finance Cost</x:v>
      </x:c>
      <x:c r="E22" s="12" t="str">
        <x:v>CFO</x:v>
      </x:c>
    </x:row>
  </x:sheetData>
  <x:pageMargins left="0.7" right="0.7" top="0.75" bottom="0.75" header="0.3" footer="0.3"/>
  <x:tableParts count="1">
    <x:tablePart xmlns:r="http://schemas.openxmlformats.org/officeDocument/2006/relationships" r:id="R3b087da680be4ace"/>
  </x:tableParts>
</x:worksheet>
</file>

<file path=xl/worksheets/sheet4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4" hidden="0" customWidth="1"/>
    <x:col min="4" max="4" width="48" hidden="0" customWidth="1"/>
    <x:col min="5" max="5" width="20" hidden="0" customWidth="1"/>
    <x:col min="6" max="6" width="16" hidden="0" customWidth="1"/>
  </x:cols>
  <x:sheetData>
    <x:row r="1">
      <x:c r="A1" s="40" t="str">
        <x:v>Order</x:v>
      </x:c>
      <x:c r="B1" s="40" t="str">
        <x:v>Section</x:v>
      </x:c>
      <x:c r="C1" s="40" t="str">
        <x:v>Source Module</x:v>
      </x:c>
      <x:c r="D1" s="40" t="str">
        <x:v>Contents</x:v>
      </x:c>
      <x:c r="E1" s="40" t="str">
        <x:v>Audience</x:v>
      </x:c>
      <x:c r="F1" s="40" t="str">
        <x:v>Requirement</x:v>
      </x:c>
    </x:row>
    <x:row r="2">
      <x:c r="A2" s="12" t="n">
        <x:v>1</x:v>
      </x:c>
      <x:c r="B2" s="12" t="str">
        <x:v>Executive Summary</x:v>
      </x:c>
      <x:c r="C2" s="12" t="str">
        <x:v>Command Center</x:v>
      </x:c>
      <x:c r="D2" s="12" t="str">
        <x:v>Revenue, EBITDA, liquidity, EWS and decisions</x:v>
      </x:c>
      <x:c r="E2" s="12" t="str">
        <x:v>Chairman/CEO</x:v>
      </x:c>
      <x:c r="F2" s="12" t="str">
        <x:v>Mandatory</x:v>
      </x:c>
    </x:row>
    <x:row r="3">
      <x:c r="A3" s="12" t="n">
        <x:v>2</x:v>
      </x:c>
      <x:c r="B3" s="12" t="str">
        <x:v>Strategic Performance</x:v>
      </x:c>
      <x:c r="C3" s="12" t="str">
        <x:v>Strategy &amp; KPI</x:v>
      </x:c>
      <x:c r="D3" s="12" t="str">
        <x:v>Strategy map, KPI attainment and key gaps</x:v>
      </x:c>
      <x:c r="E3" s="12" t="str">
        <x:v>Board</x:v>
      </x:c>
      <x:c r="F3" s="12" t="str">
        <x:v>Mandatory</x:v>
      </x:c>
    </x:row>
    <x:row r="4">
      <x:c r="A4" s="12" t="n">
        <x:v>3</x:v>
      </x:c>
      <x:c r="B4" s="12" t="str">
        <x:v>Financial Performance</x:v>
      </x:c>
      <x:c r="C4" s="12" t="str">
        <x:v>Dealer P&amp;L</x:v>
      </x:c>
      <x:c r="D4" s="12" t="str">
        <x:v>Dealer contribution, margin and variance</x:v>
      </x:c>
      <x:c r="E4" s="12" t="str">
        <x:v>Board/CFO</x:v>
      </x:c>
      <x:c r="F4" s="12" t="str">
        <x:v>Mandatory</x:v>
      </x:c>
    </x:row>
    <x:row r="5">
      <x:c r="A5" s="12" t="n">
        <x:v>4</x:v>
      </x:c>
      <x:c r="B5" s="12" t="str">
        <x:v>Cash &amp; Working Capital</x:v>
      </x:c>
      <x:c r="C5" s="12" t="str">
        <x:v>13-Week Cash</x:v>
      </x:c>
      <x:c r="D5" s="12" t="str">
        <x:v>Cash runway, CCC and inventory release</x:v>
      </x:c>
      <x:c r="E5" s="12" t="str">
        <x:v>Board/CFO</x:v>
      </x:c>
      <x:c r="F5" s="12" t="str">
        <x:v>Mandatory</x:v>
      </x:c>
    </x:row>
    <x:row r="6">
      <x:c r="A6" s="12" t="n">
        <x:v>5</x:v>
      </x:c>
      <x:c r="B6" s="12" t="str">
        <x:v>Commercial Performance</x:v>
      </x:c>
      <x:c r="C6" s="12" t="str">
        <x:v>Commercial Funnel</x:v>
      </x:c>
      <x:c r="D6" s="12" t="str">
        <x:v>Lead conversion, orders and deliveries</x:v>
      </x:c>
      <x:c r="E6" s="12" t="str">
        <x:v>CEO</x:v>
      </x:c>
      <x:c r="F6" s="12" t="str">
        <x:v>Mandatory</x:v>
      </x:c>
    </x:row>
    <x:row r="7">
      <x:c r="A7" s="12" t="n">
        <x:v>6</x:v>
      </x:c>
      <x:c r="B7" s="12" t="str">
        <x:v>Dealer Portfolio</x:v>
      </x:c>
      <x:c r="C7" s="12" t="str">
        <x:v>Dealer 360</x:v>
      </x:c>
      <x:c r="D7" s="12" t="str">
        <x:v>Health score and value-at-risk dealers</x:v>
      </x:c>
      <x:c r="E7" s="12" t="str">
        <x:v>CEO/COO</x:v>
      </x:c>
      <x:c r="F7" s="12" t="str">
        <x:v>Mandatory</x:v>
      </x:c>
    </x:row>
    <x:row r="8">
      <x:c r="A8" s="12" t="n">
        <x:v>7</x:v>
      </x:c>
      <x:c r="B8" s="12" t="str">
        <x:v>Risk &amp; Governance</x:v>
      </x:c>
      <x:c r="C8" s="12" t="str">
        <x:v>Risk &amp; EWS</x:v>
      </x:c>
      <x:c r="D8" s="12" t="str">
        <x:v>Top risks, audit findings and control breaches</x:v>
      </x:c>
      <x:c r="E8" s="12" t="str">
        <x:v>Audit Committee</x:v>
      </x:c>
      <x:c r="F8" s="12" t="str">
        <x:v>Mandatory</x:v>
      </x:c>
    </x:row>
    <x:row r="9">
      <x:c r="A9" s="12" t="n">
        <x:v>8</x:v>
      </x:c>
      <x:c r="B9" s="12" t="str">
        <x:v>Investment &amp; PMO</x:v>
      </x:c>
      <x:c r="C9" s="12" t="str">
        <x:v>PMO &amp; Investment</x:v>
      </x:c>
      <x:c r="D9" s="12" t="str">
        <x:v>Project delivery, CAPEX and investment decisions</x:v>
      </x:c>
      <x:c r="E9" s="12" t="str">
        <x:v>Board</x:v>
      </x:c>
      <x:c r="F9" s="12" t="str">
        <x:v>Optional</x:v>
      </x:c>
    </x:row>
    <x:row r="10">
      <x:c r="A10" s="12" t="n">
        <x:v>9</x:v>
      </x:c>
      <x:c r="B10" s="12" t="str">
        <x:v>People &amp; ESG</x:v>
      </x:c>
      <x:c r="C10" s="12" t="str">
        <x:v>People / ESG</x:v>
      </x:c>
      <x:c r="D10" s="12" t="str">
        <x:v>Capability, succession and sustainability</x:v>
      </x:c>
      <x:c r="E10" s="12" t="str">
        <x:v>Board</x:v>
      </x:c>
      <x:c r="F10" s="12" t="str">
        <x:v>Optional</x:v>
      </x:c>
    </x:row>
    <x:row r="11">
      <x:c r="A11" s="12" t="n">
        <x:v>10</x:v>
      </x:c>
      <x:c r="B11" s="12" t="str">
        <x:v>Decisions Required</x:v>
      </x:c>
      <x:c r="C11" s="12" t="str">
        <x:v>Chairman Office</x:v>
      </x:c>
      <x:c r="D11" s="12" t="str">
        <x:v>Decision backlog and recommended approvals</x:v>
      </x:c>
      <x:c r="E11" s="12" t="str">
        <x:v>Chairman</x:v>
      </x:c>
      <x:c r="F11" s="12" t="str">
        <x:v>Mandatory</x:v>
      </x:c>
    </x:row>
  </x:sheetData>
  <x:pageMargins left="0.7" right="0.7" top="0.75" bottom="0.75" header="0.3" footer="0.3"/>
  <x:tableParts count="1">
    <x:tablePart xmlns:r="http://schemas.openxmlformats.org/officeDocument/2006/relationships" r:id="R848340f6e07049b0"/>
  </x:tableParts>
</x:worksheet>
</file>

<file path=xl/worksheets/sheet4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52" hidden="0" customWidth="1"/>
    <x:col min="5" max="5" width="14" hidden="0" customWidth="1"/>
    <x:col min="6" max="6" width="20" hidden="0" customWidth="1"/>
  </x:cols>
  <x:sheetData>
    <x:row r="1">
      <x:c r="A1" s="40" t="str">
        <x:v>Rule ID</x:v>
      </x:c>
      <x:c r="B1" s="40" t="str">
        <x:v>Domain</x:v>
      </x:c>
      <x:c r="C1" s="40" t="str">
        <x:v>Field / Object</x:v>
      </x:c>
      <x:c r="D1" s="40" t="str">
        <x:v>Rule</x:v>
      </x:c>
      <x:c r="E1" s="40" t="str">
        <x:v>Severity</x:v>
      </x:c>
      <x:c r="F1" s="40" t="str">
        <x:v>Control Type</x:v>
      </x:c>
    </x:row>
    <x:row r="2">
      <x:c r="A2" s="12" t="str">
        <x:v>VAL-001</x:v>
      </x:c>
      <x:c r="B2" s="12" t="str">
        <x:v>Workbook</x:v>
      </x:c>
      <x:c r="C2" s="12" t="str">
        <x:v>Required sheets</x:v>
      </x:c>
      <x:c r="D2" s="12" t="str">
        <x:v>All required sheets exist</x:v>
      </x:c>
      <x:c r="E2" s="12" t="str">
        <x:v>Critical</x:v>
      </x:c>
      <x:c r="F2" s="12" t="str">
        <x:v>Automated</x:v>
      </x:c>
    </x:row>
    <x:row r="3">
      <x:c r="A3" s="12" t="str">
        <x:v>VAL-002</x:v>
      </x:c>
      <x:c r="B3" s="12" t="str">
        <x:v>Schema</x:v>
      </x:c>
      <x:c r="C3" s="12" t="str">
        <x:v>Required columns</x:v>
      </x:c>
      <x:c r="D3" s="12" t="str">
        <x:v>Mandatory columns present</x:v>
      </x:c>
      <x:c r="E3" s="12" t="str">
        <x:v>Critical</x:v>
      </x:c>
      <x:c r="F3" s="12" t="str">
        <x:v>Automated</x:v>
      </x:c>
    </x:row>
    <x:row r="4">
      <x:c r="A4" s="12" t="str">
        <x:v>VAL-003</x:v>
      </x:c>
      <x:c r="B4" s="12" t="str">
        <x:v>Master data</x:v>
      </x:c>
      <x:c r="C4" s="12" t="str">
        <x:v>Dealer code</x:v>
      </x:c>
      <x:c r="D4" s="12" t="str">
        <x:v>Dealer code exists in Don_vi</x:v>
      </x:c>
      <x:c r="E4" s="12" t="str">
        <x:v>Critical</x:v>
      </x:c>
      <x:c r="F4" s="12" t="str">
        <x:v>Automated</x:v>
      </x:c>
    </x:row>
    <x:row r="5">
      <x:c r="A5" s="12" t="str">
        <x:v>VAL-004</x:v>
      </x:c>
      <x:c r="B5" s="12" t="str">
        <x:v>Master data</x:v>
      </x:c>
      <x:c r="C5" s="12" t="str">
        <x:v>Brand mapping</x:v>
      </x:c>
      <x:c r="D5" s="12" t="str">
        <x:v>Dealer brand matches transaction brand</x:v>
      </x:c>
      <x:c r="E5" s="12" t="str">
        <x:v>High</x:v>
      </x:c>
      <x:c r="F5" s="12" t="str">
        <x:v>Automated</x:v>
      </x:c>
    </x:row>
    <x:row r="6">
      <x:c r="A6" s="12" t="str">
        <x:v>VAL-005</x:v>
      </x:c>
      <x:c r="B6" s="12" t="str">
        <x:v>Uniqueness</x:v>
      </x:c>
      <x:c r="C6" s="12" t="str">
        <x:v>Transaction ID</x:v>
      </x:c>
      <x:c r="D6" s="12" t="str">
        <x:v>No duplicated transaction IDs</x:v>
      </x:c>
      <x:c r="E6" s="12" t="str">
        <x:v>High</x:v>
      </x:c>
      <x:c r="F6" s="12" t="str">
        <x:v>Automated</x:v>
      </x:c>
    </x:row>
    <x:row r="7">
      <x:c r="A7" s="12" t="str">
        <x:v>VAL-006</x:v>
      </x:c>
      <x:c r="B7" s="12" t="str">
        <x:v>Date</x:v>
      </x:c>
      <x:c r="C7" s="12" t="str">
        <x:v>Reporting period</x:v>
      </x:c>
      <x:c r="D7" s="12" t="str">
        <x:v>Dates fall within reporting period</x:v>
      </x:c>
      <x:c r="E7" s="12" t="str">
        <x:v>Medium</x:v>
      </x:c>
      <x:c r="F7" s="12" t="str">
        <x:v>Automated</x:v>
      </x:c>
    </x:row>
    <x:row r="8">
      <x:c r="A8" s="12" t="str">
        <x:v>VAL-007</x:v>
      </x:c>
      <x:c r="B8" s="12" t="str">
        <x:v>Range</x:v>
      </x:c>
      <x:c r="C8" s="12" t="str">
        <x:v>Negative values</x:v>
      </x:c>
      <x:c r="D8" s="12" t="str">
        <x:v>Revenue, volume and inventory are non-negative</x:v>
      </x:c>
      <x:c r="E8" s="12" t="str">
        <x:v>High</x:v>
      </x:c>
      <x:c r="F8" s="12" t="str">
        <x:v>Automated</x:v>
      </x:c>
    </x:row>
    <x:row r="9">
      <x:c r="A9" s="12" t="str">
        <x:v>VAL-008</x:v>
      </x:c>
      <x:c r="B9" s="12" t="str">
        <x:v>Completeness</x:v>
      </x:c>
      <x:c r="C9" s="12" t="str">
        <x:v>Owner and due date</x:v>
      </x:c>
      <x:c r="D9" s="12" t="str">
        <x:v>Governance records include owner and deadline</x:v>
      </x:c>
      <x:c r="E9" s="12" t="str">
        <x:v>High</x:v>
      </x:c>
      <x:c r="F9" s="12" t="str">
        <x:v>Automated</x:v>
      </x:c>
    </x:row>
    <x:row r="10">
      <x:c r="A10" s="12" t="str">
        <x:v>VAL-009</x:v>
      </x:c>
      <x:c r="B10" s="12" t="str">
        <x:v>Reconciliation</x:v>
      </x:c>
      <x:c r="C10" s="12" t="str">
        <x:v>Revenue</x:v>
      </x:c>
      <x:c r="D10" s="12" t="str">
        <x:v>Sales totals reconcile to financial revenue</x:v>
      </x:c>
      <x:c r="E10" s="12" t="str">
        <x:v>High</x:v>
      </x:c>
      <x:c r="F10" s="12" t="str">
        <x:v>Semi-automated</x:v>
      </x:c>
    </x:row>
    <x:row r="11">
      <x:c r="A11" s="12" t="str">
        <x:v>VAL-010</x:v>
      </x:c>
      <x:c r="B11" s="12" t="str">
        <x:v>Reconciliation</x:v>
      </x:c>
      <x:c r="C11" s="12" t="str">
        <x:v>Inventory</x:v>
      </x:c>
      <x:c r="D11" s="12" t="str">
        <x:v>Inventory units reconcile to working-capital balances</x:v>
      </x:c>
      <x:c r="E11" s="12" t="str">
        <x:v>Medium</x:v>
      </x:c>
      <x:c r="F11" s="12" t="str">
        <x:v>Semi-automated</x:v>
      </x:c>
    </x:row>
  </x:sheetData>
  <x:pageMargins left="0.7" right="0.7" top="0.75" bottom="0.75" header="0.3" footer="0.3"/>
  <x:tableParts count="1">
    <x:tablePart xmlns:r="http://schemas.openxmlformats.org/officeDocument/2006/relationships" r:id="R1eeaadf8bc96408e"/>
  </x:tableParts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0" t="str">
        <x:v>Item</x:v>
      </x:c>
      <x:c r="B1" s="40" t="str">
        <x:v>Description</x:v>
      </x:c>
    </x:row>
    <x:row r="2">
      <x:c r="A2" s="12" t="str">
        <x:v>Scope</x:v>
      </x:c>
      <x:c r="B2" s="12" t="str">
        <x:v>Enterprise executive operating model for a synthetic multi-brand automotive retail network</x:v>
      </x:c>
    </x:row>
    <x:row r="3">
      <x:c r="A3" s="12" t="str">
        <x:v>Data classification</x:v>
      </x:c>
      <x:c r="B3" s="12" t="str">
        <x:v>All operational, financial, customer and governance values are fictional</x:v>
      </x:c>
    </x:row>
    <x:row r="4">
      <x:c r="A4" s="12" t="str">
        <x:v>Public alignment</x:v>
      </x:c>
      <x:c r="B4" s="12" t="str">
        <x:v>Dealer names and organizational references follow publicly available company information</x:v>
      </x:c>
    </x:row>
    <x:row r="5">
      <x:c r="A5" s="12" t="str">
        <x:v>Reporting currency</x:v>
      </x:c>
      <x:c r="B5" s="12" t="str">
        <x:v>VND billion unless otherwise noted</x:v>
      </x:c>
    </x:row>
    <x:row r="6">
      <x:c r="A6" s="12" t="str">
        <x:v>Version</x:v>
      </x:c>
      <x:c r="B6" s="12" t="str">
        <x:v>V4</x:v>
      </x:c>
    </x:row>
    <x:row r="7">
      <x:c r="A7" s="12" t="str">
        <x:v>Author</x:v>
      </x:c>
      <x:c r="B7" s="12" t="str">
        <x:v>Le Hoang Quan</x:v>
      </x:c>
    </x:row>
    <x:row r="8">
      <x:c r="A8" s="12" t="str">
        <x:v>Theme</x:v>
      </x:c>
      <x:c r="B8" s="12" t="str">
        <x:v>Executive Navy Dark</x:v>
      </x:c>
    </x:row>
    <x:row r="9">
      <x:c r="A9" s="12" t="str">
        <x:v>Architecture</x:v>
      </x:c>
      <x:c r="B9" s="12" t="str">
        <x:v>Multipage Streamlit with shared filters and modular business logic</x:v>
      </x:c>
    </x:row>
  </x:sheetData>
  <x:pageMargins left="0.7" right="0.7" top="0.75" bottom="0.75" header="0.3" footer="0.3"/>
  <x:tableParts count="1">
    <x:tablePart xmlns:r="http://schemas.openxmlformats.org/officeDocument/2006/relationships" r:id="R874aca5b92a14da1"/>
  </x:tableParts>
</x:worksheet>
</file>